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fileSharing readOnlyRecommended="1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f478157634d11c/Bureau/Projet data annalyst/Projet 1/analyse-statistique-inferentielle/"/>
    </mc:Choice>
  </mc:AlternateContent>
  <xr:revisionPtr revIDLastSave="25" documentId="8_{2FDA18AA-9BE0-4D3C-8102-2BFCEF67CDF1}" xr6:coauthVersionLast="47" xr6:coauthVersionMax="47" xr10:uidLastSave="{9BD61B6A-686C-4A8E-BF5C-F85917D77103}"/>
  <workbookProtection lockStructure="1"/>
  <bookViews>
    <workbookView xWindow="6100" yWindow="4080" windowWidth="7500" windowHeight="6000" tabRatio="704" xr2:uid="{00000000-000D-0000-FFFF-FFFF00000000}"/>
  </bookViews>
  <sheets>
    <sheet name="Ancienneté – SD " sheetId="4" r:id="rId1"/>
    <sheet name=" Rébellion – SD" sheetId="5" r:id="rId2"/>
    <sheet name=" Ancienneté – Absence" sheetId="6" r:id="rId3"/>
    <sheet name="Sexe-Rebellion" sheetId="7" r:id="rId4"/>
    <sheet name="Ancienneté IC" sheetId="8" r:id="rId5"/>
    <sheet name="Abus inc." sheetId="3" r:id="rId6"/>
    <sheet name="Manoeuvres beaucerons" sheetId="1" r:id="rId7"/>
    <sheet name="Salaires beaucerons" sheetId="9" r:id="rId8"/>
    <sheet name="Salaires Beaucerons Expérience " sheetId="11" r:id="rId9"/>
    <sheet name="Kansas Vamal" sheetId="2" r:id="rId10"/>
    <sheet name="Gabarit" sheetId="12" r:id="rId11"/>
  </sheets>
  <definedNames>
    <definedName name="_xlnm._FilterDatabase" localSheetId="5" hidden="1">'Abus inc.'!$C$1:$C$230</definedName>
    <definedName name="_xlnm._FilterDatabase" localSheetId="6" hidden="1">'Manoeuvres beaucerons'!$A$3:$B$153</definedName>
    <definedName name="_xlchart.v1.0" hidden="1">' Rébellion – SD'!$B$9:$B$13</definedName>
    <definedName name="_xlchart.v1.1" hidden="1">' Rébellion – SD'!$C$8</definedName>
    <definedName name="_xlchart.v1.2" hidden="1">' Rébellion – SD'!$C$9:$C$13</definedName>
    <definedName name="_xlchart.v1.3" hidden="1">' Rébellion – SD'!$D$8</definedName>
    <definedName name="_xlchart.v1.4" hidden="1">' Rébellion – SD'!$D$9:$D$13</definedName>
  </definedNames>
  <calcPr calcId="191029"/>
  <pivotCaches>
    <pivotCache cacheId="0" r:id="rId12"/>
    <pivotCache cacheId="1" r:id="rId13"/>
    <pivotCache cacheId="2" r:id="rId14"/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6" l="1"/>
  <c r="G26" i="6"/>
  <c r="G24" i="6"/>
  <c r="B31" i="12"/>
  <c r="B51" i="12" s="1"/>
  <c r="B53" i="12" s="1"/>
  <c r="B27" i="12"/>
  <c r="B42" i="12"/>
  <c r="C38" i="12"/>
  <c r="B19" i="12"/>
  <c r="B26" i="12"/>
  <c r="B22" i="12"/>
  <c r="I47" i="9"/>
  <c r="G28" i="9"/>
  <c r="I28" i="9" s="1"/>
  <c r="G5" i="9"/>
  <c r="G4" i="9"/>
  <c r="E7" i="11"/>
  <c r="E8" i="11" s="1"/>
  <c r="I2" i="11"/>
  <c r="E10" i="11" s="1"/>
  <c r="E12" i="11" s="1"/>
  <c r="G2" i="11"/>
  <c r="E2" i="11"/>
  <c r="G13" i="9"/>
  <c r="C17" i="9"/>
  <c r="G15" i="9" s="1"/>
  <c r="C18" i="9"/>
  <c r="G16" i="9" s="1"/>
  <c r="C19" i="9"/>
  <c r="G17" i="9" s="1"/>
  <c r="C20" i="9"/>
  <c r="G18" i="9" s="1"/>
  <c r="C21" i="9"/>
  <c r="G19" i="9" s="1"/>
  <c r="C16" i="9"/>
  <c r="G14" i="9" s="1"/>
  <c r="D3" i="8"/>
  <c r="B46" i="7"/>
  <c r="C3" i="3"/>
  <c r="C2" i="3"/>
  <c r="D2" i="3" s="1"/>
  <c r="B10" i="12"/>
  <c r="B11" i="12"/>
  <c r="B33" i="12" l="1"/>
  <c r="B12" i="12"/>
  <c r="C10" i="12" s="1"/>
  <c r="H13" i="9"/>
  <c r="H14" i="9"/>
  <c r="G20" i="9"/>
  <c r="C22" i="9"/>
  <c r="H15" i="9"/>
  <c r="H16" i="9"/>
  <c r="H18" i="9"/>
  <c r="H19" i="9"/>
  <c r="H17" i="9"/>
  <c r="E29" i="6"/>
  <c r="D12" i="7"/>
  <c r="C11" i="12" l="1"/>
  <c r="C12" i="12"/>
  <c r="I13" i="9"/>
  <c r="J13" i="9" s="1"/>
  <c r="K13" i="9" s="1"/>
  <c r="I18" i="9"/>
  <c r="J18" i="9" s="1"/>
  <c r="K18" i="9" s="1"/>
  <c r="I15" i="9"/>
  <c r="J15" i="9" s="1"/>
  <c r="K15" i="9" s="1"/>
  <c r="I19" i="9"/>
  <c r="J19" i="9" s="1"/>
  <c r="K19" i="9" s="1"/>
  <c r="I16" i="9"/>
  <c r="J16" i="9" s="1"/>
  <c r="K16" i="9" s="1"/>
  <c r="I14" i="9"/>
  <c r="J14" i="9" s="1"/>
  <c r="K14" i="9" s="1"/>
  <c r="I17" i="9"/>
  <c r="J17" i="9" s="1"/>
  <c r="K17" i="9" s="1"/>
  <c r="D22" i="9"/>
  <c r="D15" i="9"/>
  <c r="G3" i="9"/>
  <c r="D16" i="9"/>
  <c r="D18" i="9"/>
  <c r="D19" i="9"/>
  <c r="D20" i="9"/>
  <c r="D21" i="9"/>
  <c r="D17" i="9"/>
  <c r="H20" i="9"/>
  <c r="B40" i="7"/>
  <c r="B39" i="7"/>
  <c r="B38" i="7"/>
  <c r="B37" i="7"/>
  <c r="D13" i="7"/>
  <c r="C14" i="7"/>
  <c r="B14" i="7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5" i="3"/>
  <c r="J230" i="3" s="1"/>
  <c r="N8" i="3"/>
  <c r="C13" i="5"/>
  <c r="C12" i="5"/>
  <c r="C11" i="5"/>
  <c r="C10" i="5"/>
  <c r="C9" i="5"/>
  <c r="B13" i="5"/>
  <c r="B12" i="5"/>
  <c r="B11" i="5"/>
  <c r="B10" i="5"/>
  <c r="B9" i="5"/>
  <c r="E3" i="6"/>
  <c r="F3" i="6" s="1"/>
  <c r="D58" i="4"/>
  <c r="D56" i="4"/>
  <c r="D6" i="8" s="1"/>
  <c r="D11" i="8" s="1"/>
  <c r="D55" i="4"/>
  <c r="D5" i="8" s="1"/>
  <c r="D14" i="8" s="1"/>
  <c r="D29" i="4"/>
  <c r="E29" i="4" s="1"/>
  <c r="D13" i="8" l="1"/>
  <c r="K20" i="9"/>
  <c r="I20" i="9"/>
  <c r="D14" i="7"/>
  <c r="D57" i="4"/>
  <c r="C14" i="5"/>
  <c r="D13" i="5" s="1"/>
  <c r="E28" i="4"/>
  <c r="E27" i="4"/>
  <c r="E26" i="4"/>
  <c r="E25" i="4"/>
  <c r="E24" i="4"/>
  <c r="E23" i="4"/>
  <c r="E21" i="4"/>
  <c r="F21" i="4" s="1"/>
  <c r="F22" i="4" s="1"/>
  <c r="E22" i="4"/>
  <c r="F23" i="4" l="1"/>
  <c r="F24" i="4" s="1"/>
  <c r="F25" i="4" s="1"/>
  <c r="F26" i="4" s="1"/>
  <c r="F27" i="4" s="1"/>
  <c r="F28" i="4" s="1"/>
  <c r="C27" i="7"/>
  <c r="C40" i="7" s="1"/>
  <c r="D40" i="7" s="1"/>
  <c r="C26" i="7"/>
  <c r="B26" i="7"/>
  <c r="C37" i="7"/>
  <c r="B27" i="7"/>
  <c r="C38" i="7" s="1"/>
  <c r="D38" i="7" s="1"/>
  <c r="C39" i="7"/>
  <c r="D39" i="7" s="1"/>
  <c r="D11" i="5"/>
  <c r="D12" i="5"/>
  <c r="D10" i="5"/>
  <c r="D14" i="5"/>
  <c r="D9" i="5"/>
  <c r="D37" i="7" l="1"/>
  <c r="D41" i="7" s="1"/>
  <c r="B45" i="7" s="1"/>
</calcChain>
</file>

<file path=xl/sharedStrings.xml><?xml version="1.0" encoding="utf-8"?>
<sst xmlns="http://schemas.openxmlformats.org/spreadsheetml/2006/main" count="471" uniqueCount="201">
  <si>
    <t>Étiquettes de lignes</t>
  </si>
  <si>
    <t>Nombre d'employés</t>
  </si>
  <si>
    <t>Pourcentage d'employés</t>
  </si>
  <si>
    <t>1,5966-4,5966</t>
  </si>
  <si>
    <t>4,5966-7,5966</t>
  </si>
  <si>
    <t>7,5966-10,5966</t>
  </si>
  <si>
    <t>10,5966-13,5966</t>
  </si>
  <si>
    <t>13,5966-16,5966</t>
  </si>
  <si>
    <t>16,5966-19,5966</t>
  </si>
  <si>
    <t>19,5966-22,5966</t>
  </si>
  <si>
    <t>22,5966-25,5966</t>
  </si>
  <si>
    <t>Total général</t>
  </si>
  <si>
    <t>REPARTITION DES 225 EMPLOYÉS D'ABUS INC SELON LEURS ANCIENNETÉS</t>
  </si>
  <si>
    <t>Ancienneté</t>
  </si>
  <si>
    <t>Total géneral</t>
  </si>
  <si>
    <t>Moyenne Xbarre</t>
  </si>
  <si>
    <t>années</t>
  </si>
  <si>
    <t xml:space="preserve">Écart-type </t>
  </si>
  <si>
    <t>Coéfficient de variation</t>
  </si>
  <si>
    <t>Mediane</t>
  </si>
  <si>
    <t>Somme de 1 - Attitude négative</t>
  </si>
  <si>
    <t>Somme de 2 - Refus de l'autorité</t>
  </si>
  <si>
    <t>Somme de 3 - Bris intentionnels</t>
  </si>
  <si>
    <t>Somme de 4 - Agression</t>
  </si>
  <si>
    <t>Somme de 5 - Harcèlement</t>
  </si>
  <si>
    <t>Répartition des actes de rébellion commis par les 225 employés d'Abus inc</t>
  </si>
  <si>
    <t>Acte de rébellion</t>
  </si>
  <si>
    <t>Nombre d'acte de rebellion</t>
  </si>
  <si>
    <t>Pourcentage (%)</t>
  </si>
  <si>
    <t>Total</t>
  </si>
  <si>
    <t xml:space="preserve"> coefficient de corrélation linéaire</t>
  </si>
  <si>
    <t>R=</t>
  </si>
  <si>
    <t>Prediction pour un employé qui a 20,55 années d'ancienneté</t>
  </si>
  <si>
    <t>jours d'absences</t>
  </si>
  <si>
    <t>Prediction pour un employé qui a 42 années d'ancienneté</t>
  </si>
  <si>
    <t>Calculons la pente</t>
  </si>
  <si>
    <t>Determinons le coefficient de determination</t>
  </si>
  <si>
    <t>Sexe</t>
  </si>
  <si>
    <t>Nombre de 0 - Aucun</t>
  </si>
  <si>
    <t>Somme de Total des actes de rébellion</t>
  </si>
  <si>
    <t>Femme</t>
  </si>
  <si>
    <t>Homme</t>
  </si>
  <si>
    <t>Répartition des actes de rebellion des 225 employés  selon leurs sexes</t>
  </si>
  <si>
    <t>Aucun</t>
  </si>
  <si>
    <t>Au moins un acte de rebellion</t>
  </si>
  <si>
    <t>FORMULATION DES HYPOTHÈSES</t>
  </si>
  <si>
    <t>H0</t>
  </si>
  <si>
    <t>IL N'EXISTE PAS UN LIEN ENTRE LE SEXE DE L'EMPLOYÉ ET L'EXECUTION   D'UN ACTE DE REBELLION</t>
  </si>
  <si>
    <t>H1</t>
  </si>
  <si>
    <t>IL EXISTE UN LIEN ENTRE LE SEXE DE L'EMPLOYÉ ET L'EXECUTION  D'UN ACTE DE REBELLION</t>
  </si>
  <si>
    <t>CALCUL DES EFFECTIFS THÉORIQUES</t>
  </si>
  <si>
    <t xml:space="preserve">VERIFICATION DE LA CONDITION D'APPLICATION DU TEST </t>
  </si>
  <si>
    <t>T &gt;= 5</t>
  </si>
  <si>
    <t>CALCUL DU KHI-DEUX</t>
  </si>
  <si>
    <t>Cellule</t>
  </si>
  <si>
    <t>Observé</t>
  </si>
  <si>
    <t>Théorique</t>
  </si>
  <si>
    <t>(O-T)²/T</t>
  </si>
  <si>
    <t>Femme, Aucun</t>
  </si>
  <si>
    <t>Homme, aucun</t>
  </si>
  <si>
    <t>Femme, AR</t>
  </si>
  <si>
    <t>Homme, AR</t>
  </si>
  <si>
    <t>χ2 (Khi-deux calculé)</t>
  </si>
  <si>
    <t xml:space="preserve">Regle de decision </t>
  </si>
  <si>
    <t>on rejette  h0 si  X2 calculé&gt;X2critique</t>
  </si>
  <si>
    <t>Seuil de signification</t>
  </si>
  <si>
    <t>X2 CALCULÉ</t>
  </si>
  <si>
    <t>X2 CRITIQUE</t>
  </si>
  <si>
    <t>Prise de decision</t>
  </si>
  <si>
    <t xml:space="preserve"> 1-Éléments connus</t>
  </si>
  <si>
    <t>Niveau de confiance</t>
  </si>
  <si>
    <t>n</t>
  </si>
  <si>
    <t>Moyenne(x barre)</t>
  </si>
  <si>
    <t>Ecart type(s)</t>
  </si>
  <si>
    <t>N</t>
  </si>
  <si>
    <t>1 Loi de probabilité suivi par X barre</t>
  </si>
  <si>
    <t xml:space="preserve">X Suit une loi normale car n=225&gt;30 </t>
  </si>
  <si>
    <t>X suit N (12,58, 3,83 au carré)</t>
  </si>
  <si>
    <t xml:space="preserve"> 3 et 4 Calculons L'ecart type de Xbarre et la marge d'erreur =</t>
  </si>
  <si>
    <t>Z=</t>
  </si>
  <si>
    <t>4 Calculons les bornes</t>
  </si>
  <si>
    <t>Xbarre + E</t>
  </si>
  <si>
    <t>Xbarre - E</t>
  </si>
  <si>
    <t>5 Interpretation</t>
  </si>
  <si>
    <t>ÉCHANTILLON DE 225 EMPLOYÉS DE 
LA COMPAGNIE ABUS INC.</t>
  </si>
  <si>
    <t>ACTES DE RÉBELLION</t>
  </si>
  <si>
    <r>
      <t>Ancienneté
(</t>
    </r>
    <r>
      <rPr>
        <i/>
        <sz val="8"/>
        <color theme="0"/>
        <rFont val="Calibri"/>
        <family val="2"/>
        <scheme val="minor"/>
      </rPr>
      <t>en années</t>
    </r>
    <r>
      <rPr>
        <b/>
        <sz val="8"/>
        <color theme="0"/>
        <rFont val="Calibri"/>
        <family val="2"/>
        <scheme val="minor"/>
      </rPr>
      <t>)</t>
    </r>
  </si>
  <si>
    <r>
      <t>Nombre de jours d’absence (</t>
    </r>
    <r>
      <rPr>
        <i/>
        <sz val="8"/>
        <color theme="0"/>
        <rFont val="Calibri"/>
        <family val="2"/>
        <scheme val="minor"/>
      </rPr>
      <t>de courte durée de moins de 5 jours consécutifs</t>
    </r>
    <r>
      <rPr>
        <b/>
        <sz val="8"/>
        <color theme="0"/>
        <rFont val="Calibri"/>
        <family val="2"/>
        <scheme val="minor"/>
      </rPr>
      <t>)</t>
    </r>
  </si>
  <si>
    <t>0 - Aucun</t>
  </si>
  <si>
    <t>1 - Attitude négative</t>
  </si>
  <si>
    <t>2 - Refus de l'autorité</t>
  </si>
  <si>
    <t>3 - Bris intentionnels</t>
  </si>
  <si>
    <t>4 - Agression</t>
  </si>
  <si>
    <t>5 - Harcèlement</t>
  </si>
  <si>
    <t>Total des actes de rébellion</t>
  </si>
  <si>
    <t>total</t>
  </si>
  <si>
    <t>ÉCHANTILLON DE 150 MANŒUVRES BEAUCERONS</t>
  </si>
  <si>
    <t>Salaire</t>
  </si>
  <si>
    <t>Expérience</t>
  </si>
  <si>
    <t>Nombre de Salaire</t>
  </si>
  <si>
    <t>Nombre de Salaire2</t>
  </si>
  <si>
    <t>CALCUL DES MESURES</t>
  </si>
  <si>
    <t>&lt;20000</t>
  </si>
  <si>
    <t>Taille (n)</t>
  </si>
  <si>
    <t>20000-26000</t>
  </si>
  <si>
    <t>Moyenne (x̄)</t>
  </si>
  <si>
    <t>26000-32000</t>
  </si>
  <si>
    <t>Écart type (s)</t>
  </si>
  <si>
    <t>32000-38000</t>
  </si>
  <si>
    <t>38000-44000</t>
  </si>
  <si>
    <t>1 Hypothese</t>
  </si>
  <si>
    <t>44000-50000</t>
  </si>
  <si>
    <t xml:space="preserve">H0 : Le salaire des manœuvres beaucerons suit une loi normale </t>
  </si>
  <si>
    <t>&gt;50000</t>
  </si>
  <si>
    <t xml:space="preserve">H1 : Le salaire des manœuvres beaucerons ne suit pas  une loi normale </t>
  </si>
  <si>
    <t>2 calcul des effectifs théoriques</t>
  </si>
  <si>
    <t>REPARTITION DES 150 MANOEUVRES BEAUCERONS EN FONCTION DE LEURS SALAIRES</t>
  </si>
  <si>
    <t>Salaires</t>
  </si>
  <si>
    <t>Effectifs observés</t>
  </si>
  <si>
    <t>Pourcentage théoriques</t>
  </si>
  <si>
    <t>Effectifs théoriques</t>
  </si>
  <si>
    <t>(Écart O-T)^2</t>
  </si>
  <si>
    <t>(O-T)^2/T X2 calculé</t>
  </si>
  <si>
    <t>Nombre de manoeuvres</t>
  </si>
  <si>
    <t>Pourcentage de Manoeuvres</t>
  </si>
  <si>
    <t>Moins de 20000</t>
  </si>
  <si>
    <t>2000-26000</t>
  </si>
  <si>
    <t>3 Condition d'application du test: T&gt;=5</t>
  </si>
  <si>
    <t>seuil de signification =</t>
  </si>
  <si>
    <t xml:space="preserve"> 𝑑𝑙 =</t>
  </si>
  <si>
    <t xml:space="preserve">X2 Critique </t>
  </si>
  <si>
    <t>4 Regle de décision</t>
  </si>
  <si>
    <t>Rejeter h0 si x2 calculé &gt; x2 critique</t>
  </si>
  <si>
    <t>5 Prise de décision</t>
  </si>
  <si>
    <t xml:space="preserve">Comme le χ2 calculé 10,39&lt; χ2critique 12,59, nous acceptons H0. </t>
  </si>
  <si>
    <t xml:space="preserve">6 Interpretation </t>
  </si>
  <si>
    <t xml:space="preserve"> 7-d Calculons le salaire maximal que gagnent les trois quarts des manoeuvres beaucerons</t>
  </si>
  <si>
    <t>Salaire maximal des trois quarts (75ᵉ centile) du modèle N(36 300 ; 9 500²)</t>
  </si>
  <si>
    <t>Salaire maximal du 3ᵉ quartile (Q₃ = 75ᵉ centile) :</t>
  </si>
  <si>
    <r>
      <rPr>
        <b/>
        <sz val="10"/>
        <rFont val="Calibri"/>
        <family val="2"/>
      </rPr>
      <t>INTERPRÉTATION :</t>
    </r>
    <r>
      <rPr>
        <sz val="10"/>
        <rFont val="Calibri"/>
        <family val="2"/>
      </rPr>
      <t xml:space="preserve"> Selon le modèle N(36 300 ; 9 500²), 75 % des manœuvres beaucerons gagnent un salaire maximum de 42 707,65 $</t>
    </r>
  </si>
  <si>
    <t>Expériences</t>
  </si>
  <si>
    <t>Risque d'erreur</t>
  </si>
  <si>
    <t>Valeur testé U</t>
  </si>
  <si>
    <t>1 Formulations des hypothèses</t>
  </si>
  <si>
    <t>H0: U=</t>
  </si>
  <si>
    <t>H1: U&lt;</t>
  </si>
  <si>
    <t xml:space="preserve">2 Condition du test </t>
  </si>
  <si>
    <t>Puisque n=108&gt; 30, X suit une loi normale</t>
  </si>
  <si>
    <t>3 Écart-type population</t>
  </si>
  <si>
    <t>4 Valeur critique</t>
  </si>
  <si>
    <t>5 Enonciation de la règle de décision</t>
  </si>
  <si>
    <t>6 Prise de décision</t>
  </si>
  <si>
    <t>Puisque Xbarre = 40614,64&lt;42890,75 on rejette H0. au seuil de signification de 5% nous pouvons conclure que le salaire moyen des manoeuvres beaucerons est inferieur a  44000$.</t>
  </si>
  <si>
    <t>ÉCHANTILLON DE 2330 PIÈCES DE LA COMPAGNIE KANSAS VAMAL</t>
  </si>
  <si>
    <r>
      <t xml:space="preserve">Conformité de la pièce
</t>
    </r>
    <r>
      <rPr>
        <sz val="8"/>
        <color theme="0"/>
        <rFont val="Cambria"/>
        <family val="1"/>
        <scheme val="major"/>
      </rPr>
      <t>1 - Conforme
2 - Non conforme</t>
    </r>
  </si>
  <si>
    <t xml:space="preserve">Dénombrement des pieces non conforme </t>
  </si>
  <si>
    <t>Nombre de Conformité de la pièce</t>
  </si>
  <si>
    <t>Nombre de Conformité de la pièce2</t>
  </si>
  <si>
    <t>Piece</t>
  </si>
  <si>
    <t>Nombre</t>
  </si>
  <si>
    <t>Pourcentage</t>
  </si>
  <si>
    <t>Paramètres du test</t>
  </si>
  <si>
    <t>Proportion pi</t>
  </si>
  <si>
    <t>Seuil de signification (α)</t>
  </si>
  <si>
    <t>Z</t>
  </si>
  <si>
    <t>H0:pi=</t>
  </si>
  <si>
    <t>H1:pi&gt;</t>
  </si>
  <si>
    <t>2 condition du test</t>
  </si>
  <si>
    <t>n&gt;30</t>
  </si>
  <si>
    <t>n*pi</t>
  </si>
  <si>
    <t>&gt;500</t>
  </si>
  <si>
    <t>n(100-pi)</t>
  </si>
  <si>
    <t>P suit donc une loi normale</t>
  </si>
  <si>
    <t>3 calcul de l'écart-type P</t>
  </si>
  <si>
    <t>4 valeur critique du test</t>
  </si>
  <si>
    <t>5 regle de décision</t>
  </si>
  <si>
    <t>On rejette H0 si P&gt; 0,7272</t>
  </si>
  <si>
    <t>La proportion observé ddans l'échantillon P=17/2330</t>
  </si>
  <si>
    <t>7 Interpretation</t>
  </si>
  <si>
    <t>Puisque  0,7296%&gt;0,7272% On rejette H0</t>
  </si>
  <si>
    <t>Ecart =</t>
  </si>
  <si>
    <t>Avec un risque d'erreur de 6 %, les données indiquent que le pourcentage de pièces non conformes fournies par Kansas Vamal a augmenté significativement par rapport au 0,5 % habituel. Il serait donc judicieux pour Abus inc. d'entreprendre les démarches de recherche d'un nouveau fournisseur.</t>
  </si>
  <si>
    <t xml:space="preserve">d- On cherche P(p&lt; 0,7296 %) </t>
  </si>
  <si>
    <t>Proportion observé =</t>
  </si>
  <si>
    <t>pi=</t>
  </si>
  <si>
    <t>écart-type de P</t>
  </si>
  <si>
    <t>P=</t>
  </si>
  <si>
    <t>Rejeter H0 si la  xbarre est inférieure à 42890,75</t>
  </si>
  <si>
    <t>Au seuil de signification de 5 %, on ne peut pas rejeter H₀. Il n'y a pas d'évidence statistique permettant d'affirmer que le salaire des manœuvres œuvrant dans les usines de la région de la Beauce ne suit pas une loi normale de moyenne 36 300 $ et d'écart type 9 500 $. L'assertion du RPB est donc compatible avec les données de l'échantillon.</t>
  </si>
  <si>
    <t>[1,60 - 4,60[</t>
  </si>
  <si>
    <t>[4,60 - 7,60[</t>
  </si>
  <si>
    <t>[7,60 - 10,60[</t>
  </si>
  <si>
    <t>[10,60 - 13,60[</t>
  </si>
  <si>
    <t>[13,60 - 16,60[</t>
  </si>
  <si>
    <t>[16,60 - 19,60[</t>
  </si>
  <si>
    <t>[19,60 - 22,60[</t>
  </si>
  <si>
    <t>[22,60 - 25,60[</t>
  </si>
  <si>
    <t>jours d'absences : valeur négative, donc impossible. 42 années se situe hors de la plage observée (1,60 à 24,08 années), où le modèle n'est pas valide. Aucune prédiction fiable n'est possible à cette valeur.</t>
  </si>
  <si>
    <t>Comme le χ2 calculé (5,32) est supérieur au χ2 critique (2,71), nous rejetons H0.</t>
  </si>
  <si>
    <t>Au seuil de signification de 10 %, il existe une évidence statistique d'un lien entre le sexe de l'employé et l'exécution d'un acte de rébellion. Le seuil observé vaut 0,021 : la conclusion tiendrait aussi au seuil de 5 %. Sur 61 femmes, 9 ont commis au moins un acte (14,8 %) ; sur 164 hommes, 49 (29,9 %).</t>
  </si>
  <si>
    <t>Il y a 97 % de chances que l'ancienneté moyenne de l'ensemble des employés d'Abus inc. se situe entre 12,20 et 12,96 années. La correction de population finie s'applique parce que l'échantillon couvre 53,4 % de la population : sans elle, l'intervalle serait de 12,03 à 13,14 années, soit 32 % plus large que nécessaire.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</si>
</sst>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.00_);_(&quot;$&quot;* \(#,##0.00\);_(&quot;$&quot;* &quot;-&quot;??_);_(@_)"/>
    <numFmt numFmtId="165" formatCode="0.0000"/>
    <numFmt numFmtId="166" formatCode="0.0%"/>
    <numFmt numFmtId="167" formatCode="#,##0.00\ &quot;$&quot;"/>
    <numFmt numFmtId="168" formatCode="0.000"/>
    <numFmt numFmtId="169" formatCode="#,##0.00&quot; $&quot;"/>
    <numFmt numFmtId="170" formatCode="0.0"/>
    <numFmt numFmtId="171" formatCode="0.0000%"/>
    <numFmt numFmtId="172" formatCode="0.00000"/>
  </numFmts>
  <fonts count="29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1"/>
      <color rgb="FFFF0000"/>
      <name val="Calibri"/>
      <family val="2"/>
      <scheme val="minor"/>
    </font>
    <font>
      <sz val="8"/>
      <color theme="0"/>
      <name val="Cambria"/>
      <family val="1"/>
      <scheme val="major"/>
    </font>
    <font>
      <b/>
      <sz val="12"/>
      <color theme="1"/>
      <name val="Calibri"/>
      <family val="2"/>
      <scheme val="minor"/>
    </font>
    <font>
      <i/>
      <sz val="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1"/>
      <color rgb="FF242424"/>
      <name val="Aptos Narrow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b/>
      <u/>
      <sz val="10"/>
      <color theme="1"/>
      <name val="Calibri"/>
      <family val="2"/>
      <scheme val="minor"/>
    </font>
    <font>
      <b/>
      <sz val="11"/>
      <name val="Cambria"/>
      <family val="1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charset val="1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79998168889431442"/>
        <bgColor theme="6" tint="0.59999389629810485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D9D9D9"/>
      </patternFill>
    </fill>
    <fill>
      <patternFill patternType="solid">
        <fgColor theme="0"/>
        <bgColor rgb="FFEBF1DE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medium">
        <color theme="6" tint="-0.499984740745262"/>
      </right>
      <top/>
      <bottom style="thick">
        <color theme="0"/>
      </bottom>
      <diagonal/>
    </border>
    <border>
      <left style="thin">
        <color theme="0"/>
      </left>
      <right style="medium">
        <color theme="6" tint="-0.499984740745262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 vertical="center"/>
    </xf>
    <xf numFmtId="1" fontId="5" fillId="3" borderId="5" xfId="0" applyNumberFormat="1" applyFon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66" fontId="0" fillId="0" borderId="0" xfId="2" applyNumberFormat="1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1" fontId="5" fillId="3" borderId="7" xfId="0" applyNumberFormat="1" applyFont="1" applyFill="1" applyBorder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5" fillId="4" borderId="3" xfId="1" applyNumberFormat="1" applyFont="1" applyFill="1" applyBorder="1" applyAlignment="1">
      <alignment horizontal="center" vertical="center"/>
    </xf>
    <xf numFmtId="167" fontId="5" fillId="4" borderId="5" xfId="1" applyNumberFormat="1" applyFont="1" applyFill="1" applyBorder="1" applyAlignment="1">
      <alignment horizontal="center" vertical="center"/>
    </xf>
    <xf numFmtId="1" fontId="5" fillId="4" borderId="7" xfId="0" applyNumberFormat="1" applyFont="1" applyFill="1" applyBorder="1" applyAlignment="1">
      <alignment horizontal="center" vertical="center"/>
    </xf>
    <xf numFmtId="167" fontId="5" fillId="5" borderId="3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" fontId="5" fillId="4" borderId="0" xfId="0" applyNumberFormat="1" applyFont="1" applyFill="1" applyAlignment="1">
      <alignment horizontal="center" vertical="center"/>
    </xf>
    <xf numFmtId="0" fontId="13" fillId="0" borderId="0" xfId="0" applyFont="1"/>
    <xf numFmtId="0" fontId="13" fillId="0" borderId="0" xfId="0" pivotButton="1" applyFont="1"/>
    <xf numFmtId="165" fontId="13" fillId="0" borderId="0" xfId="0" applyNumberFormat="1" applyFont="1" applyAlignment="1">
      <alignment horizontal="left"/>
    </xf>
    <xf numFmtId="10" fontId="13" fillId="0" borderId="0" xfId="0" applyNumberFormat="1" applyFont="1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/>
    <xf numFmtId="2" fontId="0" fillId="0" borderId="0" xfId="0" applyNumberFormat="1"/>
    <xf numFmtId="0" fontId="3" fillId="6" borderId="8" xfId="0" applyFont="1" applyFill="1" applyBorder="1"/>
    <xf numFmtId="0" fontId="0" fillId="7" borderId="8" xfId="0" applyFill="1" applyBorder="1"/>
    <xf numFmtId="2" fontId="0" fillId="0" borderId="0" xfId="0" applyNumberFormat="1" applyAlignment="1">
      <alignment horizontal="center"/>
    </xf>
    <xf numFmtId="0" fontId="15" fillId="0" borderId="0" xfId="0" applyFont="1"/>
    <xf numFmtId="2" fontId="16" fillId="0" borderId="0" xfId="0" applyNumberFormat="1" applyFont="1" applyAlignment="1">
      <alignment horizontal="center"/>
    </xf>
    <xf numFmtId="1" fontId="0" fillId="0" borderId="0" xfId="0" applyNumberFormat="1"/>
    <xf numFmtId="0" fontId="3" fillId="0" borderId="13" xfId="0" applyFont="1" applyBorder="1"/>
    <xf numFmtId="0" fontId="3" fillId="0" borderId="0" xfId="0" applyFont="1"/>
    <xf numFmtId="0" fontId="16" fillId="0" borderId="0" xfId="0" applyFont="1"/>
    <xf numFmtId="10" fontId="16" fillId="0" borderId="0" xfId="2" applyNumberFormat="1" applyFont="1" applyAlignment="1">
      <alignment horizontal="center"/>
    </xf>
    <xf numFmtId="0" fontId="17" fillId="0" borderId="8" xfId="0" applyFont="1" applyBorder="1"/>
    <xf numFmtId="10" fontId="17" fillId="0" borderId="8" xfId="0" applyNumberFormat="1" applyFont="1" applyBorder="1"/>
    <xf numFmtId="0" fontId="17" fillId="0" borderId="9" xfId="0" applyFont="1" applyBorder="1"/>
    <xf numFmtId="10" fontId="17" fillId="0" borderId="9" xfId="0" applyNumberFormat="1" applyFont="1" applyBorder="1"/>
    <xf numFmtId="9" fontId="0" fillId="0" borderId="0" xfId="2" applyFont="1"/>
    <xf numFmtId="1" fontId="0" fillId="7" borderId="8" xfId="0" applyNumberFormat="1" applyFill="1" applyBorder="1"/>
    <xf numFmtId="9" fontId="0" fillId="7" borderId="8" xfId="2" applyFont="1" applyFill="1" applyBorder="1"/>
    <xf numFmtId="0" fontId="0" fillId="8" borderId="8" xfId="0" applyFill="1" applyBorder="1"/>
    <xf numFmtId="1" fontId="0" fillId="8" borderId="8" xfId="0" applyNumberFormat="1" applyFill="1" applyBorder="1"/>
    <xf numFmtId="9" fontId="0" fillId="8" borderId="8" xfId="2" applyFont="1" applyFill="1" applyBorder="1"/>
    <xf numFmtId="0" fontId="0" fillId="0" borderId="0" xfId="0" applyAlignment="1">
      <alignment horizontal="right"/>
    </xf>
    <xf numFmtId="10" fontId="0" fillId="0" borderId="0" xfId="0" applyNumberFormat="1"/>
    <xf numFmtId="1" fontId="0" fillId="0" borderId="0" xfId="0" applyNumberFormat="1" applyAlignment="1">
      <alignment vertical="center"/>
    </xf>
    <xf numFmtId="0" fontId="0" fillId="0" borderId="0" xfId="0" pivotButton="1"/>
    <xf numFmtId="0" fontId="0" fillId="0" borderId="14" xfId="0" applyBorder="1"/>
    <xf numFmtId="0" fontId="3" fillId="9" borderId="14" xfId="0" applyFont="1" applyFill="1" applyBorder="1"/>
    <xf numFmtId="165" fontId="0" fillId="0" borderId="0" xfId="0" applyNumberFormat="1"/>
    <xf numFmtId="2" fontId="0" fillId="0" borderId="14" xfId="0" applyNumberFormat="1" applyBorder="1"/>
    <xf numFmtId="0" fontId="20" fillId="0" borderId="0" xfId="0" applyFont="1"/>
    <xf numFmtId="0" fontId="0" fillId="0" borderId="0" xfId="0" applyAlignment="1">
      <alignment horizontal="center" wrapText="1"/>
    </xf>
    <xf numFmtId="0" fontId="3" fillId="9" borderId="15" xfId="0" applyFont="1" applyFill="1" applyBorder="1"/>
    <xf numFmtId="0" fontId="0" fillId="0" borderId="16" xfId="0" applyBorder="1"/>
    <xf numFmtId="0" fontId="3" fillId="9" borderId="16" xfId="0" applyFont="1" applyFill="1" applyBorder="1"/>
    <xf numFmtId="0" fontId="0" fillId="0" borderId="8" xfId="0" applyBorder="1"/>
    <xf numFmtId="2" fontId="3" fillId="0" borderId="0" xfId="0" applyNumberFormat="1" applyFont="1"/>
    <xf numFmtId="165" fontId="3" fillId="0" borderId="0" xfId="0" applyNumberFormat="1" applyFont="1"/>
    <xf numFmtId="0" fontId="3" fillId="9" borderId="8" xfId="0" applyFont="1" applyFill="1" applyBorder="1"/>
    <xf numFmtId="2" fontId="3" fillId="0" borderId="0" xfId="0" applyNumberFormat="1" applyFont="1" applyAlignment="1">
      <alignment vertical="center"/>
    </xf>
    <xf numFmtId="10" fontId="3" fillId="0" borderId="0" xfId="0" applyNumberFormat="1" applyFont="1"/>
    <xf numFmtId="165" fontId="0" fillId="0" borderId="0" xfId="0" applyNumberForma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1" fillId="11" borderId="10" xfId="0" applyFont="1" applyFill="1" applyBorder="1"/>
    <xf numFmtId="0" fontId="11" fillId="11" borderId="11" xfId="0" applyFont="1" applyFill="1" applyBorder="1"/>
    <xf numFmtId="10" fontId="11" fillId="11" borderId="12" xfId="0" applyNumberFormat="1" applyFont="1" applyFill="1" applyBorder="1"/>
    <xf numFmtId="10" fontId="3" fillId="0" borderId="0" xfId="2" applyNumberFormat="1" applyFont="1"/>
    <xf numFmtId="0" fontId="21" fillId="10" borderId="0" xfId="0" applyFont="1" applyFill="1" applyAlignment="1">
      <alignment horizontal="center"/>
    </xf>
    <xf numFmtId="0" fontId="21" fillId="9" borderId="0" xfId="0" applyFont="1" applyFill="1"/>
    <xf numFmtId="0" fontId="18" fillId="9" borderId="0" xfId="0" applyFont="1" applyFill="1"/>
    <xf numFmtId="2" fontId="21" fillId="9" borderId="0" xfId="0" applyNumberFormat="1" applyFont="1" applyFill="1"/>
    <xf numFmtId="0" fontId="3" fillId="0" borderId="0" xfId="0" applyFont="1" applyAlignment="1">
      <alignment horizontal="left" wrapText="1"/>
    </xf>
    <xf numFmtId="0" fontId="11" fillId="9" borderId="9" xfId="0" applyFont="1" applyFill="1" applyBorder="1"/>
    <xf numFmtId="167" fontId="0" fillId="0" borderId="0" xfId="0" applyNumberFormat="1"/>
    <xf numFmtId="164" fontId="0" fillId="0" borderId="0" xfId="1" applyFont="1"/>
    <xf numFmtId="0" fontId="22" fillId="0" borderId="0" xfId="0" applyFont="1" applyAlignment="1">
      <alignment horizontal="left" vertical="center" wrapText="1"/>
    </xf>
    <xf numFmtId="167" fontId="3" fillId="0" borderId="0" xfId="0" applyNumberFormat="1" applyFont="1"/>
    <xf numFmtId="0" fontId="3" fillId="12" borderId="14" xfId="0" applyFont="1" applyFill="1" applyBorder="1"/>
    <xf numFmtId="167" fontId="3" fillId="12" borderId="14" xfId="0" applyNumberFormat="1" applyFont="1" applyFill="1" applyBorder="1"/>
    <xf numFmtId="10" fontId="3" fillId="9" borderId="14" xfId="0" applyNumberFormat="1" applyFont="1" applyFill="1" applyBorder="1"/>
    <xf numFmtId="167" fontId="0" fillId="13" borderId="14" xfId="0" applyNumberFormat="1" applyFill="1" applyBorder="1"/>
    <xf numFmtId="0" fontId="0" fillId="13" borderId="14" xfId="0" applyFill="1" applyBorder="1"/>
    <xf numFmtId="10" fontId="0" fillId="13" borderId="14" xfId="0" applyNumberFormat="1" applyFill="1" applyBorder="1"/>
    <xf numFmtId="0" fontId="3" fillId="0" borderId="0" xfId="0" applyFont="1" applyAlignment="1">
      <alignment horizontal="center"/>
    </xf>
    <xf numFmtId="0" fontId="3" fillId="13" borderId="14" xfId="0" applyFont="1" applyFill="1" applyBorder="1"/>
    <xf numFmtId="0" fontId="0" fillId="12" borderId="14" xfId="0" applyFill="1" applyBorder="1"/>
    <xf numFmtId="10" fontId="0" fillId="12" borderId="14" xfId="0" applyNumberFormat="1" applyFill="1" applyBorder="1"/>
    <xf numFmtId="0" fontId="24" fillId="14" borderId="8" xfId="0" applyFont="1" applyFill="1" applyBorder="1" applyAlignment="1">
      <alignment horizontal="left" vertical="center" wrapText="1"/>
    </xf>
    <xf numFmtId="169" fontId="24" fillId="15" borderId="8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169" fontId="21" fillId="15" borderId="8" xfId="0" applyNumberFormat="1" applyFont="1" applyFill="1" applyBorder="1" applyAlignment="1">
      <alignment horizontal="center" vertical="center" wrapText="1"/>
    </xf>
    <xf numFmtId="0" fontId="21" fillId="14" borderId="8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169" fontId="21" fillId="0" borderId="0" xfId="0" applyNumberFormat="1" applyFont="1" applyAlignment="1">
      <alignment horizontal="center" vertical="center" wrapText="1"/>
    </xf>
    <xf numFmtId="169" fontId="0" fillId="0" borderId="0" xfId="0" applyNumberFormat="1"/>
    <xf numFmtId="9" fontId="0" fillId="0" borderId="8" xfId="0" applyNumberFormat="1" applyBorder="1"/>
    <xf numFmtId="0" fontId="0" fillId="16" borderId="8" xfId="0" applyFill="1" applyBorder="1"/>
    <xf numFmtId="164" fontId="3" fillId="0" borderId="0" xfId="1" applyFont="1"/>
    <xf numFmtId="0" fontId="3" fillId="0" borderId="0" xfId="0" applyFont="1" applyAlignment="1">
      <alignment wrapText="1"/>
    </xf>
    <xf numFmtId="2" fontId="0" fillId="17" borderId="0" xfId="0" applyNumberFormat="1" applyFill="1"/>
    <xf numFmtId="170" fontId="0" fillId="0" borderId="0" xfId="0" applyNumberFormat="1"/>
    <xf numFmtId="2" fontId="0" fillId="13" borderId="16" xfId="0" applyNumberFormat="1" applyFill="1" applyBorder="1"/>
    <xf numFmtId="1" fontId="3" fillId="9" borderId="16" xfId="0" applyNumberFormat="1" applyFont="1" applyFill="1" applyBorder="1"/>
    <xf numFmtId="0" fontId="0" fillId="0" borderId="0" xfId="0" applyAlignment="1">
      <alignment horizontal="left"/>
    </xf>
    <xf numFmtId="1" fontId="0" fillId="13" borderId="17" xfId="0" applyNumberFormat="1" applyFill="1" applyBorder="1"/>
    <xf numFmtId="2" fontId="3" fillId="9" borderId="18" xfId="0" applyNumberFormat="1" applyFont="1" applyFill="1" applyBorder="1"/>
    <xf numFmtId="170" fontId="22" fillId="0" borderId="8" xfId="0" applyNumberFormat="1" applyFont="1" applyBorder="1" applyAlignment="1">
      <alignment horizontal="left" vertical="center" wrapText="1"/>
    </xf>
    <xf numFmtId="2" fontId="3" fillId="9" borderId="8" xfId="0" applyNumberFormat="1" applyFont="1" applyFill="1" applyBorder="1"/>
    <xf numFmtId="0" fontId="0" fillId="0" borderId="8" xfId="0" applyBorder="1" applyAlignment="1">
      <alignment horizontal="left"/>
    </xf>
    <xf numFmtId="10" fontId="0" fillId="0" borderId="8" xfId="2" applyNumberFormat="1" applyFont="1" applyBorder="1"/>
    <xf numFmtId="10" fontId="0" fillId="0" borderId="8" xfId="0" applyNumberFormat="1" applyBorder="1"/>
    <xf numFmtId="0" fontId="3" fillId="18" borderId="8" xfId="0" applyFont="1" applyFill="1" applyBorder="1"/>
    <xf numFmtId="0" fontId="3" fillId="0" borderId="0" xfId="0" applyFont="1" applyAlignment="1">
      <alignment horizontal="right"/>
    </xf>
    <xf numFmtId="10" fontId="0" fillId="17" borderId="0" xfId="0" applyNumberFormat="1" applyFill="1" applyAlignment="1">
      <alignment horizontal="left"/>
    </xf>
    <xf numFmtId="0" fontId="0" fillId="17" borderId="0" xfId="0" applyFill="1" applyAlignment="1">
      <alignment horizontal="right"/>
    </xf>
    <xf numFmtId="171" fontId="0" fillId="0" borderId="0" xfId="2" applyNumberFormat="1" applyFont="1"/>
    <xf numFmtId="164" fontId="0" fillId="0" borderId="0" xfId="1" applyFont="1" applyFill="1"/>
    <xf numFmtId="172" fontId="0" fillId="0" borderId="0" xfId="0" applyNumberFormat="1"/>
    <xf numFmtId="165" fontId="0" fillId="17" borderId="0" xfId="0" applyNumberFormat="1" applyFill="1"/>
    <xf numFmtId="0" fontId="3" fillId="13" borderId="0" xfId="0" applyFont="1" applyFill="1" applyAlignment="1">
      <alignment wrapText="1"/>
    </xf>
    <xf numFmtId="168" fontId="0" fillId="13" borderId="0" xfId="0" applyNumberFormat="1" applyFill="1"/>
    <xf numFmtId="2" fontId="0" fillId="13" borderId="0" xfId="0" applyNumberFormat="1" applyFill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right" vertical="center" wrapText="1"/>
    </xf>
    <xf numFmtId="169" fontId="23" fillId="0" borderId="8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1" fillId="0" borderId="8" xfId="0" applyFont="1" applyBorder="1" applyAlignment="1">
      <alignment horizontal="center" vertical="center" wrapText="1"/>
    </xf>
    <xf numFmtId="0" fontId="3" fillId="0" borderId="0" xfId="0" applyFont="1"/>
    <xf numFmtId="0" fontId="22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</cellXfs>
  <cellStyles count="3">
    <cellStyle name="Monétaire" xfId="1" builtinId="4"/>
    <cellStyle name="Normal" xfId="0" builtinId="0"/>
    <cellStyle name="Pourcentage" xfId="2" builtinId="5"/>
  </cellStyles>
  <dxfs count="8"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REPARTION DES 225 EMPLOTYÉS D'ABUS INC SELON LEURS ANCIENNETÉS</a:t>
            </a:r>
          </a:p>
        </c:rich>
      </c:tx>
      <c:layout>
        <c:manualLayout>
          <c:xMode val="edge"/>
          <c:yMode val="edge"/>
          <c:x val="0.12488685979279074"/>
          <c:y val="3.18155754360376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'Ancienneté – SD '!$E$20</c:f>
              <c:strCache>
                <c:ptCount val="1"/>
                <c:pt idx="0">
                  <c:v>Pourcentage d'employés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'Ancienneté – SD '!$C$21:$C$28</c:f>
              <c:strCache>
                <c:ptCount val="8"/>
                <c:pt idx="0">
                  <c:v>[1,60 - 4,60[</c:v>
                </c:pt>
                <c:pt idx="1">
                  <c:v>[4,60 - 7,60[</c:v>
                </c:pt>
                <c:pt idx="2">
                  <c:v>[7,60 - 10,60[</c:v>
                </c:pt>
                <c:pt idx="3">
                  <c:v>[10,60 - 13,60[</c:v>
                </c:pt>
                <c:pt idx="4">
                  <c:v>[13,60 - 16,60[</c:v>
                </c:pt>
                <c:pt idx="5">
                  <c:v>[16,60 - 19,60[</c:v>
                </c:pt>
                <c:pt idx="6">
                  <c:v>[19,60 - 22,60[</c:v>
                </c:pt>
                <c:pt idx="7">
                  <c:v>[22,60 - 25,60[</c:v>
                </c:pt>
              </c:strCache>
            </c:strRef>
          </c:cat>
          <c:val>
            <c:numRef>
              <c:f>'Ancienneté – SD '!$E$21:$E$28</c:f>
              <c:numCache>
                <c:formatCode>0.00%</c:formatCode>
                <c:ptCount val="8"/>
                <c:pt idx="0">
                  <c:v>1.3333333333333334E-2</c:v>
                </c:pt>
                <c:pt idx="1">
                  <c:v>0.10222222222222223</c:v>
                </c:pt>
                <c:pt idx="2">
                  <c:v>0.16888888888888889</c:v>
                </c:pt>
                <c:pt idx="3">
                  <c:v>0.33777777777777779</c:v>
                </c:pt>
                <c:pt idx="4">
                  <c:v>0.24</c:v>
                </c:pt>
                <c:pt idx="5">
                  <c:v>9.7777777777777783E-2</c:v>
                </c:pt>
                <c:pt idx="6">
                  <c:v>3.5555555555555556E-2</c:v>
                </c:pt>
                <c:pt idx="7">
                  <c:v>4.4444444444444444E-3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4B-4855-93FD-7CED375CE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36541703"/>
        <c:axId val="139106312"/>
      </c:barChart>
      <c:catAx>
        <c:axId val="1936541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6312"/>
        <c:crosses val="autoZero"/>
        <c:auto val="1"/>
        <c:lblAlgn val="ctr"/>
        <c:lblOffset val="100"/>
        <c:noMultiLvlLbl val="0"/>
      </c:catAx>
      <c:valAx>
        <c:axId val="13910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41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CA"/>
              <a:t>Répartition du nombre de jours d'absences selon l'ancienneté des 225 employés de Abus inc.</a:t>
            </a:r>
          </a:p>
        </c:rich>
      </c:tx>
      <c:layout>
        <c:manualLayout>
          <c:xMode val="edge"/>
          <c:yMode val="edge"/>
          <c:x val="0.12802394018929453"/>
          <c:y val="4.05576679340937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704923248230335"/>
                  <c:y val="-0.36036366176661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'Abus inc.'!$B$5:$B$229</c:f>
              <c:numCache>
                <c:formatCode>0.0000</c:formatCode>
                <c:ptCount val="225"/>
                <c:pt idx="0">
                  <c:v>11.3764</c:v>
                </c:pt>
                <c:pt idx="1">
                  <c:v>10.326000000000001</c:v>
                </c:pt>
                <c:pt idx="2">
                  <c:v>12.5166</c:v>
                </c:pt>
                <c:pt idx="3">
                  <c:v>14.12</c:v>
                </c:pt>
                <c:pt idx="4">
                  <c:v>14.0055</c:v>
                </c:pt>
                <c:pt idx="5">
                  <c:v>16.342400000000001</c:v>
                </c:pt>
                <c:pt idx="6">
                  <c:v>17.2561</c:v>
                </c:pt>
                <c:pt idx="7">
                  <c:v>11.158799999999999</c:v>
                </c:pt>
                <c:pt idx="8">
                  <c:v>14.0886</c:v>
                </c:pt>
                <c:pt idx="9">
                  <c:v>13.0914</c:v>
                </c:pt>
                <c:pt idx="10">
                  <c:v>12.2659</c:v>
                </c:pt>
                <c:pt idx="11">
                  <c:v>13.494199999999999</c:v>
                </c:pt>
                <c:pt idx="12">
                  <c:v>21.724499999999999</c:v>
                </c:pt>
                <c:pt idx="13">
                  <c:v>8.3958999999999993</c:v>
                </c:pt>
                <c:pt idx="14">
                  <c:v>15.177899999999999</c:v>
                </c:pt>
                <c:pt idx="15">
                  <c:v>5.6805000000000003</c:v>
                </c:pt>
                <c:pt idx="16">
                  <c:v>6.7933000000000003</c:v>
                </c:pt>
                <c:pt idx="17">
                  <c:v>9.2333999999999996</c:v>
                </c:pt>
                <c:pt idx="18">
                  <c:v>13.485300000000001</c:v>
                </c:pt>
                <c:pt idx="19">
                  <c:v>17.4498</c:v>
                </c:pt>
                <c:pt idx="20">
                  <c:v>16.181699999999999</c:v>
                </c:pt>
                <c:pt idx="21">
                  <c:v>16.337499999999999</c:v>
                </c:pt>
                <c:pt idx="22">
                  <c:v>11.2681</c:v>
                </c:pt>
                <c:pt idx="23">
                  <c:v>11.8916</c:v>
                </c:pt>
                <c:pt idx="24">
                  <c:v>13.061400000000001</c:v>
                </c:pt>
                <c:pt idx="25">
                  <c:v>6.0372000000000003</c:v>
                </c:pt>
                <c:pt idx="26">
                  <c:v>10.7462</c:v>
                </c:pt>
                <c:pt idx="27">
                  <c:v>8.5603999999999996</c:v>
                </c:pt>
                <c:pt idx="28">
                  <c:v>10.6053</c:v>
                </c:pt>
                <c:pt idx="29">
                  <c:v>9.1946999999999992</c:v>
                </c:pt>
                <c:pt idx="30">
                  <c:v>19.9405</c:v>
                </c:pt>
                <c:pt idx="31">
                  <c:v>14.2338</c:v>
                </c:pt>
                <c:pt idx="32">
                  <c:v>10.78</c:v>
                </c:pt>
                <c:pt idx="33">
                  <c:v>16.004200000000001</c:v>
                </c:pt>
                <c:pt idx="34">
                  <c:v>14.972200000000001</c:v>
                </c:pt>
                <c:pt idx="35">
                  <c:v>13.157400000000001</c:v>
                </c:pt>
                <c:pt idx="36">
                  <c:v>15.0655</c:v>
                </c:pt>
                <c:pt idx="37">
                  <c:v>11.1943</c:v>
                </c:pt>
                <c:pt idx="38">
                  <c:v>13.3028</c:v>
                </c:pt>
                <c:pt idx="39">
                  <c:v>12.2003</c:v>
                </c:pt>
                <c:pt idx="40">
                  <c:v>13.4094</c:v>
                </c:pt>
                <c:pt idx="41">
                  <c:v>5.9664000000000001</c:v>
                </c:pt>
                <c:pt idx="42">
                  <c:v>17.845099999999999</c:v>
                </c:pt>
                <c:pt idx="43">
                  <c:v>12.293100000000001</c:v>
                </c:pt>
                <c:pt idx="44">
                  <c:v>15.2272</c:v>
                </c:pt>
                <c:pt idx="45">
                  <c:v>10.9177</c:v>
                </c:pt>
                <c:pt idx="46">
                  <c:v>3.9001999999999999</c:v>
                </c:pt>
                <c:pt idx="47">
                  <c:v>17.536799999999999</c:v>
                </c:pt>
                <c:pt idx="48">
                  <c:v>13.7194</c:v>
                </c:pt>
                <c:pt idx="49">
                  <c:v>9.9703999999999997</c:v>
                </c:pt>
                <c:pt idx="50">
                  <c:v>6.4584999999999999</c:v>
                </c:pt>
                <c:pt idx="51">
                  <c:v>12.6546</c:v>
                </c:pt>
                <c:pt idx="52">
                  <c:v>14.7081</c:v>
                </c:pt>
                <c:pt idx="53">
                  <c:v>6.2397999999999998</c:v>
                </c:pt>
                <c:pt idx="54">
                  <c:v>9.5798000000000005</c:v>
                </c:pt>
                <c:pt idx="55">
                  <c:v>7.2207999999999997</c:v>
                </c:pt>
                <c:pt idx="56">
                  <c:v>7.5712000000000002</c:v>
                </c:pt>
                <c:pt idx="57">
                  <c:v>16.269300000000001</c:v>
                </c:pt>
                <c:pt idx="58">
                  <c:v>4.9408000000000003</c:v>
                </c:pt>
                <c:pt idx="59">
                  <c:v>1.5966</c:v>
                </c:pt>
                <c:pt idx="60">
                  <c:v>13.7399</c:v>
                </c:pt>
                <c:pt idx="61">
                  <c:v>15.6328</c:v>
                </c:pt>
                <c:pt idx="62">
                  <c:v>17.756</c:v>
                </c:pt>
                <c:pt idx="63">
                  <c:v>14.2026</c:v>
                </c:pt>
                <c:pt idx="64">
                  <c:v>12.2668</c:v>
                </c:pt>
                <c:pt idx="65">
                  <c:v>10.368499999999999</c:v>
                </c:pt>
                <c:pt idx="66">
                  <c:v>7.4744999999999999</c:v>
                </c:pt>
                <c:pt idx="67">
                  <c:v>13.383699999999999</c:v>
                </c:pt>
                <c:pt idx="68">
                  <c:v>12.1677</c:v>
                </c:pt>
                <c:pt idx="69">
                  <c:v>8.9725999999999999</c:v>
                </c:pt>
                <c:pt idx="70">
                  <c:v>10.8896</c:v>
                </c:pt>
                <c:pt idx="71">
                  <c:v>14.0458</c:v>
                </c:pt>
                <c:pt idx="72">
                  <c:v>14.3087</c:v>
                </c:pt>
                <c:pt idx="73">
                  <c:v>12.994</c:v>
                </c:pt>
                <c:pt idx="74">
                  <c:v>14.4171</c:v>
                </c:pt>
                <c:pt idx="75">
                  <c:v>9.3763000000000005</c:v>
                </c:pt>
                <c:pt idx="76">
                  <c:v>11.819000000000001</c:v>
                </c:pt>
                <c:pt idx="77">
                  <c:v>19.648700000000002</c:v>
                </c:pt>
                <c:pt idx="78">
                  <c:v>14.4018</c:v>
                </c:pt>
                <c:pt idx="79">
                  <c:v>19.557200000000002</c:v>
                </c:pt>
                <c:pt idx="80">
                  <c:v>17.197299999999998</c:v>
                </c:pt>
                <c:pt idx="81">
                  <c:v>15.7805</c:v>
                </c:pt>
                <c:pt idx="82">
                  <c:v>11.7742</c:v>
                </c:pt>
                <c:pt idx="83">
                  <c:v>12.667</c:v>
                </c:pt>
                <c:pt idx="84">
                  <c:v>12.6981</c:v>
                </c:pt>
                <c:pt idx="85">
                  <c:v>10.2637</c:v>
                </c:pt>
                <c:pt idx="86">
                  <c:v>10.1691</c:v>
                </c:pt>
                <c:pt idx="87">
                  <c:v>10.4701</c:v>
                </c:pt>
                <c:pt idx="88">
                  <c:v>11.5495</c:v>
                </c:pt>
                <c:pt idx="89">
                  <c:v>12.128</c:v>
                </c:pt>
                <c:pt idx="90">
                  <c:v>10.1501</c:v>
                </c:pt>
                <c:pt idx="91">
                  <c:v>11.065200000000001</c:v>
                </c:pt>
                <c:pt idx="92">
                  <c:v>11.894600000000001</c:v>
                </c:pt>
                <c:pt idx="93">
                  <c:v>10.511100000000001</c:v>
                </c:pt>
                <c:pt idx="94">
                  <c:v>6.8468</c:v>
                </c:pt>
                <c:pt idx="95">
                  <c:v>12.0503</c:v>
                </c:pt>
                <c:pt idx="96">
                  <c:v>13.002599999999999</c:v>
                </c:pt>
                <c:pt idx="97">
                  <c:v>9.8071999999999999</c:v>
                </c:pt>
                <c:pt idx="98">
                  <c:v>9.8634000000000004</c:v>
                </c:pt>
                <c:pt idx="99">
                  <c:v>9.7149999999999999</c:v>
                </c:pt>
                <c:pt idx="100">
                  <c:v>7.1642000000000001</c:v>
                </c:pt>
                <c:pt idx="101">
                  <c:v>11.6174</c:v>
                </c:pt>
                <c:pt idx="102">
                  <c:v>17.0807</c:v>
                </c:pt>
                <c:pt idx="103">
                  <c:v>6.8228999999999997</c:v>
                </c:pt>
                <c:pt idx="104">
                  <c:v>13.8804</c:v>
                </c:pt>
                <c:pt idx="105">
                  <c:v>10.883699999999999</c:v>
                </c:pt>
                <c:pt idx="106">
                  <c:v>13.3178</c:v>
                </c:pt>
                <c:pt idx="107">
                  <c:v>12.700799999999999</c:v>
                </c:pt>
                <c:pt idx="108">
                  <c:v>8.4990000000000006</c:v>
                </c:pt>
                <c:pt idx="109">
                  <c:v>13.0886</c:v>
                </c:pt>
                <c:pt idx="110">
                  <c:v>13.2607</c:v>
                </c:pt>
                <c:pt idx="111">
                  <c:v>14.5105</c:v>
                </c:pt>
                <c:pt idx="112">
                  <c:v>16.7638</c:v>
                </c:pt>
                <c:pt idx="113">
                  <c:v>16.584199999999999</c:v>
                </c:pt>
                <c:pt idx="114">
                  <c:v>19.087599999999998</c:v>
                </c:pt>
                <c:pt idx="115">
                  <c:v>15.984</c:v>
                </c:pt>
                <c:pt idx="116">
                  <c:v>17.8154</c:v>
                </c:pt>
                <c:pt idx="117">
                  <c:v>18.4725</c:v>
                </c:pt>
                <c:pt idx="118">
                  <c:v>18.814800000000002</c:v>
                </c:pt>
                <c:pt idx="119">
                  <c:v>16.254200000000001</c:v>
                </c:pt>
                <c:pt idx="120">
                  <c:v>8.6990999999999996</c:v>
                </c:pt>
                <c:pt idx="121">
                  <c:v>20.411200000000001</c:v>
                </c:pt>
                <c:pt idx="122">
                  <c:v>16.490300000000001</c:v>
                </c:pt>
                <c:pt idx="123">
                  <c:v>14.7171</c:v>
                </c:pt>
                <c:pt idx="124">
                  <c:v>15.5214</c:v>
                </c:pt>
                <c:pt idx="125">
                  <c:v>10.6333</c:v>
                </c:pt>
                <c:pt idx="126">
                  <c:v>12.738</c:v>
                </c:pt>
                <c:pt idx="127">
                  <c:v>11.1356</c:v>
                </c:pt>
                <c:pt idx="128">
                  <c:v>13.916700000000001</c:v>
                </c:pt>
                <c:pt idx="129">
                  <c:v>7.4516</c:v>
                </c:pt>
                <c:pt idx="130">
                  <c:v>12.519600000000001</c:v>
                </c:pt>
                <c:pt idx="131">
                  <c:v>10.367800000000001</c:v>
                </c:pt>
                <c:pt idx="132">
                  <c:v>16.4069</c:v>
                </c:pt>
                <c:pt idx="133">
                  <c:v>10.722899999999999</c:v>
                </c:pt>
                <c:pt idx="134">
                  <c:v>19.229299999999999</c:v>
                </c:pt>
                <c:pt idx="135">
                  <c:v>11.3154</c:v>
                </c:pt>
                <c:pt idx="136">
                  <c:v>20.9541</c:v>
                </c:pt>
                <c:pt idx="137">
                  <c:v>10.11</c:v>
                </c:pt>
                <c:pt idx="138">
                  <c:v>13.014799999999999</c:v>
                </c:pt>
                <c:pt idx="139">
                  <c:v>3.5758000000000001</c:v>
                </c:pt>
                <c:pt idx="140">
                  <c:v>12.8203</c:v>
                </c:pt>
                <c:pt idx="141">
                  <c:v>16.327100000000002</c:v>
                </c:pt>
                <c:pt idx="142">
                  <c:v>16.089600000000001</c:v>
                </c:pt>
                <c:pt idx="143">
                  <c:v>21.433299999999999</c:v>
                </c:pt>
                <c:pt idx="144">
                  <c:v>10.8316</c:v>
                </c:pt>
                <c:pt idx="145">
                  <c:v>13.024900000000001</c:v>
                </c:pt>
                <c:pt idx="146">
                  <c:v>18.4621</c:v>
                </c:pt>
                <c:pt idx="147">
                  <c:v>13.431900000000001</c:v>
                </c:pt>
                <c:pt idx="148">
                  <c:v>10.944100000000001</c:v>
                </c:pt>
                <c:pt idx="149">
                  <c:v>11.973800000000001</c:v>
                </c:pt>
                <c:pt idx="150">
                  <c:v>12.577199999999999</c:v>
                </c:pt>
                <c:pt idx="151">
                  <c:v>19.648900000000001</c:v>
                </c:pt>
                <c:pt idx="152">
                  <c:v>15.119300000000001</c:v>
                </c:pt>
                <c:pt idx="153">
                  <c:v>15.789</c:v>
                </c:pt>
                <c:pt idx="154">
                  <c:v>10.8399</c:v>
                </c:pt>
                <c:pt idx="155">
                  <c:v>6.6681999999999997</c:v>
                </c:pt>
                <c:pt idx="156">
                  <c:v>12.5129</c:v>
                </c:pt>
                <c:pt idx="157">
                  <c:v>11.095499999999999</c:v>
                </c:pt>
                <c:pt idx="158">
                  <c:v>5.0448000000000004</c:v>
                </c:pt>
                <c:pt idx="159">
                  <c:v>11.948399999999999</c:v>
                </c:pt>
                <c:pt idx="160">
                  <c:v>7.2039999999999997</c:v>
                </c:pt>
                <c:pt idx="161">
                  <c:v>17.286300000000001</c:v>
                </c:pt>
                <c:pt idx="162">
                  <c:v>18.443999999999999</c:v>
                </c:pt>
                <c:pt idx="163">
                  <c:v>8.7126000000000001</c:v>
                </c:pt>
                <c:pt idx="164">
                  <c:v>12.834099999999999</c:v>
                </c:pt>
                <c:pt idx="165">
                  <c:v>14.725</c:v>
                </c:pt>
                <c:pt idx="166">
                  <c:v>14.0299</c:v>
                </c:pt>
                <c:pt idx="167">
                  <c:v>14.754799999999999</c:v>
                </c:pt>
                <c:pt idx="168">
                  <c:v>11.554500000000001</c:v>
                </c:pt>
                <c:pt idx="169">
                  <c:v>16.547699999999999</c:v>
                </c:pt>
                <c:pt idx="170">
                  <c:v>15.647500000000001</c:v>
                </c:pt>
                <c:pt idx="171">
                  <c:v>12.0464</c:v>
                </c:pt>
                <c:pt idx="172">
                  <c:v>5.3756000000000004</c:v>
                </c:pt>
                <c:pt idx="173">
                  <c:v>6.4698000000000002</c:v>
                </c:pt>
                <c:pt idx="174">
                  <c:v>16.610900000000001</c:v>
                </c:pt>
                <c:pt idx="175">
                  <c:v>7.1136999999999997</c:v>
                </c:pt>
                <c:pt idx="176">
                  <c:v>24.0777</c:v>
                </c:pt>
                <c:pt idx="177">
                  <c:v>11.2203</c:v>
                </c:pt>
                <c:pt idx="178">
                  <c:v>6.9306000000000001</c:v>
                </c:pt>
                <c:pt idx="179">
                  <c:v>12.8992</c:v>
                </c:pt>
                <c:pt idx="180">
                  <c:v>7.8992000000000004</c:v>
                </c:pt>
                <c:pt idx="181">
                  <c:v>10.5571</c:v>
                </c:pt>
                <c:pt idx="182">
                  <c:v>16.1602</c:v>
                </c:pt>
                <c:pt idx="183">
                  <c:v>8.6679999999999993</c:v>
                </c:pt>
                <c:pt idx="184">
                  <c:v>12.215999999999999</c:v>
                </c:pt>
                <c:pt idx="185">
                  <c:v>9.2451000000000008</c:v>
                </c:pt>
                <c:pt idx="186">
                  <c:v>10.093500000000001</c:v>
                </c:pt>
                <c:pt idx="187">
                  <c:v>10.6067</c:v>
                </c:pt>
                <c:pt idx="188">
                  <c:v>5.6554000000000002</c:v>
                </c:pt>
                <c:pt idx="189">
                  <c:v>12.9682</c:v>
                </c:pt>
                <c:pt idx="190">
                  <c:v>14.189299999999999</c:v>
                </c:pt>
                <c:pt idx="191">
                  <c:v>11.364800000000001</c:v>
                </c:pt>
                <c:pt idx="192">
                  <c:v>13.571199999999999</c:v>
                </c:pt>
                <c:pt idx="193">
                  <c:v>10.422499999999999</c:v>
                </c:pt>
                <c:pt idx="194">
                  <c:v>14.8201</c:v>
                </c:pt>
                <c:pt idx="195">
                  <c:v>9.4482999999999997</c:v>
                </c:pt>
                <c:pt idx="196">
                  <c:v>8.9825999999999997</c:v>
                </c:pt>
                <c:pt idx="197">
                  <c:v>12.017899999999999</c:v>
                </c:pt>
                <c:pt idx="198">
                  <c:v>15.8551</c:v>
                </c:pt>
                <c:pt idx="199">
                  <c:v>7.7704000000000004</c:v>
                </c:pt>
                <c:pt idx="200">
                  <c:v>11.854200000000001</c:v>
                </c:pt>
                <c:pt idx="201">
                  <c:v>15.975</c:v>
                </c:pt>
                <c:pt idx="202">
                  <c:v>16.1494</c:v>
                </c:pt>
                <c:pt idx="203">
                  <c:v>13.7681</c:v>
                </c:pt>
                <c:pt idx="204">
                  <c:v>15.4306</c:v>
                </c:pt>
                <c:pt idx="205">
                  <c:v>8.2667000000000002</c:v>
                </c:pt>
                <c:pt idx="206">
                  <c:v>16.604099999999999</c:v>
                </c:pt>
                <c:pt idx="207">
                  <c:v>13.636699999999999</c:v>
                </c:pt>
                <c:pt idx="208">
                  <c:v>13.348100000000001</c:v>
                </c:pt>
                <c:pt idx="209">
                  <c:v>14.120900000000001</c:v>
                </c:pt>
                <c:pt idx="210">
                  <c:v>10.752700000000001</c:v>
                </c:pt>
                <c:pt idx="211">
                  <c:v>10.4452</c:v>
                </c:pt>
                <c:pt idx="212">
                  <c:v>7.9965000000000002</c:v>
                </c:pt>
                <c:pt idx="213">
                  <c:v>8.3396000000000008</c:v>
                </c:pt>
                <c:pt idx="214">
                  <c:v>10.984299999999999</c:v>
                </c:pt>
                <c:pt idx="215">
                  <c:v>15.308999999999999</c:v>
                </c:pt>
                <c:pt idx="216">
                  <c:v>5.2542999999999997</c:v>
                </c:pt>
                <c:pt idx="217">
                  <c:v>9.3995999999999995</c:v>
                </c:pt>
                <c:pt idx="218">
                  <c:v>10.5855</c:v>
                </c:pt>
                <c:pt idx="219">
                  <c:v>17.819299999999998</c:v>
                </c:pt>
                <c:pt idx="220">
                  <c:v>19.654299999999999</c:v>
                </c:pt>
                <c:pt idx="221">
                  <c:v>18.659500000000001</c:v>
                </c:pt>
                <c:pt idx="222">
                  <c:v>10.6066</c:v>
                </c:pt>
                <c:pt idx="223">
                  <c:v>14.1511</c:v>
                </c:pt>
                <c:pt idx="224">
                  <c:v>17.711500000000001</c:v>
                </c:pt>
              </c:numCache>
            </c:numRef>
          </c:xVal>
          <c:yVal>
            <c:numRef>
              <c:f>'Abus inc.'!$C$5:$C$229</c:f>
              <c:numCache>
                <c:formatCode>0</c:formatCode>
                <c:ptCount val="225"/>
                <c:pt idx="0">
                  <c:v>26</c:v>
                </c:pt>
                <c:pt idx="1">
                  <c:v>29</c:v>
                </c:pt>
                <c:pt idx="2">
                  <c:v>25</c:v>
                </c:pt>
                <c:pt idx="3">
                  <c:v>26</c:v>
                </c:pt>
                <c:pt idx="4">
                  <c:v>23</c:v>
                </c:pt>
                <c:pt idx="5">
                  <c:v>0</c:v>
                </c:pt>
                <c:pt idx="6">
                  <c:v>15</c:v>
                </c:pt>
                <c:pt idx="7">
                  <c:v>29</c:v>
                </c:pt>
                <c:pt idx="8">
                  <c:v>21</c:v>
                </c:pt>
                <c:pt idx="9">
                  <c:v>24</c:v>
                </c:pt>
                <c:pt idx="10">
                  <c:v>25</c:v>
                </c:pt>
                <c:pt idx="11">
                  <c:v>21</c:v>
                </c:pt>
                <c:pt idx="12">
                  <c:v>9</c:v>
                </c:pt>
                <c:pt idx="13">
                  <c:v>30</c:v>
                </c:pt>
                <c:pt idx="14">
                  <c:v>17</c:v>
                </c:pt>
                <c:pt idx="15">
                  <c:v>44</c:v>
                </c:pt>
                <c:pt idx="16">
                  <c:v>33</c:v>
                </c:pt>
                <c:pt idx="17">
                  <c:v>31</c:v>
                </c:pt>
                <c:pt idx="18">
                  <c:v>26</c:v>
                </c:pt>
                <c:pt idx="19">
                  <c:v>18</c:v>
                </c:pt>
                <c:pt idx="20">
                  <c:v>16</c:v>
                </c:pt>
                <c:pt idx="21">
                  <c:v>20</c:v>
                </c:pt>
                <c:pt idx="22">
                  <c:v>25</c:v>
                </c:pt>
                <c:pt idx="23">
                  <c:v>25</c:v>
                </c:pt>
                <c:pt idx="24">
                  <c:v>24</c:v>
                </c:pt>
                <c:pt idx="25">
                  <c:v>40</c:v>
                </c:pt>
                <c:pt idx="26">
                  <c:v>34</c:v>
                </c:pt>
                <c:pt idx="27">
                  <c:v>33</c:v>
                </c:pt>
                <c:pt idx="28">
                  <c:v>30</c:v>
                </c:pt>
                <c:pt idx="29">
                  <c:v>30</c:v>
                </c:pt>
                <c:pt idx="30">
                  <c:v>10</c:v>
                </c:pt>
                <c:pt idx="31">
                  <c:v>26</c:v>
                </c:pt>
                <c:pt idx="32">
                  <c:v>34</c:v>
                </c:pt>
                <c:pt idx="33">
                  <c:v>0</c:v>
                </c:pt>
                <c:pt idx="34">
                  <c:v>18</c:v>
                </c:pt>
                <c:pt idx="35">
                  <c:v>21</c:v>
                </c:pt>
                <c:pt idx="36">
                  <c:v>21</c:v>
                </c:pt>
                <c:pt idx="37">
                  <c:v>29</c:v>
                </c:pt>
                <c:pt idx="38">
                  <c:v>25</c:v>
                </c:pt>
                <c:pt idx="39">
                  <c:v>27</c:v>
                </c:pt>
                <c:pt idx="40">
                  <c:v>0</c:v>
                </c:pt>
                <c:pt idx="41">
                  <c:v>39</c:v>
                </c:pt>
                <c:pt idx="42">
                  <c:v>19</c:v>
                </c:pt>
                <c:pt idx="43">
                  <c:v>26</c:v>
                </c:pt>
                <c:pt idx="44">
                  <c:v>25</c:v>
                </c:pt>
                <c:pt idx="45">
                  <c:v>25</c:v>
                </c:pt>
                <c:pt idx="46">
                  <c:v>45</c:v>
                </c:pt>
                <c:pt idx="47">
                  <c:v>20</c:v>
                </c:pt>
                <c:pt idx="48">
                  <c:v>22</c:v>
                </c:pt>
                <c:pt idx="49">
                  <c:v>30</c:v>
                </c:pt>
                <c:pt idx="50">
                  <c:v>41</c:v>
                </c:pt>
                <c:pt idx="51">
                  <c:v>24</c:v>
                </c:pt>
                <c:pt idx="52">
                  <c:v>21</c:v>
                </c:pt>
                <c:pt idx="53">
                  <c:v>42</c:v>
                </c:pt>
                <c:pt idx="54">
                  <c:v>30</c:v>
                </c:pt>
                <c:pt idx="55">
                  <c:v>34</c:v>
                </c:pt>
                <c:pt idx="56">
                  <c:v>35</c:v>
                </c:pt>
                <c:pt idx="57">
                  <c:v>23</c:v>
                </c:pt>
                <c:pt idx="58">
                  <c:v>37</c:v>
                </c:pt>
                <c:pt idx="59">
                  <c:v>50</c:v>
                </c:pt>
                <c:pt idx="60">
                  <c:v>24</c:v>
                </c:pt>
                <c:pt idx="61">
                  <c:v>17</c:v>
                </c:pt>
                <c:pt idx="62">
                  <c:v>12</c:v>
                </c:pt>
                <c:pt idx="63">
                  <c:v>24</c:v>
                </c:pt>
                <c:pt idx="64">
                  <c:v>25</c:v>
                </c:pt>
                <c:pt idx="65">
                  <c:v>33</c:v>
                </c:pt>
                <c:pt idx="66">
                  <c:v>33</c:v>
                </c:pt>
                <c:pt idx="67">
                  <c:v>24</c:v>
                </c:pt>
                <c:pt idx="68">
                  <c:v>31</c:v>
                </c:pt>
                <c:pt idx="69">
                  <c:v>0</c:v>
                </c:pt>
                <c:pt idx="70">
                  <c:v>0</c:v>
                </c:pt>
                <c:pt idx="71">
                  <c:v>19</c:v>
                </c:pt>
                <c:pt idx="72">
                  <c:v>19</c:v>
                </c:pt>
                <c:pt idx="73">
                  <c:v>23</c:v>
                </c:pt>
                <c:pt idx="74">
                  <c:v>22</c:v>
                </c:pt>
                <c:pt idx="75">
                  <c:v>28</c:v>
                </c:pt>
                <c:pt idx="76">
                  <c:v>24</c:v>
                </c:pt>
                <c:pt idx="77">
                  <c:v>13</c:v>
                </c:pt>
                <c:pt idx="78">
                  <c:v>18</c:v>
                </c:pt>
                <c:pt idx="79">
                  <c:v>8</c:v>
                </c:pt>
                <c:pt idx="80">
                  <c:v>17</c:v>
                </c:pt>
                <c:pt idx="81">
                  <c:v>23</c:v>
                </c:pt>
                <c:pt idx="82">
                  <c:v>25</c:v>
                </c:pt>
                <c:pt idx="83">
                  <c:v>22</c:v>
                </c:pt>
                <c:pt idx="84">
                  <c:v>29</c:v>
                </c:pt>
                <c:pt idx="85">
                  <c:v>33</c:v>
                </c:pt>
                <c:pt idx="86">
                  <c:v>31</c:v>
                </c:pt>
                <c:pt idx="87">
                  <c:v>34</c:v>
                </c:pt>
                <c:pt idx="88">
                  <c:v>27</c:v>
                </c:pt>
                <c:pt idx="89">
                  <c:v>23</c:v>
                </c:pt>
                <c:pt idx="90">
                  <c:v>35</c:v>
                </c:pt>
                <c:pt idx="91">
                  <c:v>0</c:v>
                </c:pt>
                <c:pt idx="92">
                  <c:v>25</c:v>
                </c:pt>
                <c:pt idx="93">
                  <c:v>34</c:v>
                </c:pt>
                <c:pt idx="94">
                  <c:v>35</c:v>
                </c:pt>
                <c:pt idx="95">
                  <c:v>26</c:v>
                </c:pt>
                <c:pt idx="96">
                  <c:v>25</c:v>
                </c:pt>
                <c:pt idx="97">
                  <c:v>31</c:v>
                </c:pt>
                <c:pt idx="98">
                  <c:v>34</c:v>
                </c:pt>
                <c:pt idx="99">
                  <c:v>30</c:v>
                </c:pt>
                <c:pt idx="100">
                  <c:v>34</c:v>
                </c:pt>
                <c:pt idx="101">
                  <c:v>29</c:v>
                </c:pt>
                <c:pt idx="102">
                  <c:v>16</c:v>
                </c:pt>
                <c:pt idx="103">
                  <c:v>38</c:v>
                </c:pt>
                <c:pt idx="104">
                  <c:v>23</c:v>
                </c:pt>
                <c:pt idx="105">
                  <c:v>28</c:v>
                </c:pt>
                <c:pt idx="106">
                  <c:v>27</c:v>
                </c:pt>
                <c:pt idx="107">
                  <c:v>23</c:v>
                </c:pt>
                <c:pt idx="108">
                  <c:v>30</c:v>
                </c:pt>
                <c:pt idx="109">
                  <c:v>26</c:v>
                </c:pt>
                <c:pt idx="110">
                  <c:v>28</c:v>
                </c:pt>
                <c:pt idx="111">
                  <c:v>21</c:v>
                </c:pt>
                <c:pt idx="112">
                  <c:v>17</c:v>
                </c:pt>
                <c:pt idx="113">
                  <c:v>20</c:v>
                </c:pt>
                <c:pt idx="114">
                  <c:v>12</c:v>
                </c:pt>
                <c:pt idx="115">
                  <c:v>21</c:v>
                </c:pt>
                <c:pt idx="116">
                  <c:v>0</c:v>
                </c:pt>
                <c:pt idx="117">
                  <c:v>10</c:v>
                </c:pt>
                <c:pt idx="118">
                  <c:v>15</c:v>
                </c:pt>
                <c:pt idx="119">
                  <c:v>19</c:v>
                </c:pt>
                <c:pt idx="120">
                  <c:v>30</c:v>
                </c:pt>
                <c:pt idx="121">
                  <c:v>11</c:v>
                </c:pt>
                <c:pt idx="122">
                  <c:v>15</c:v>
                </c:pt>
                <c:pt idx="123">
                  <c:v>21</c:v>
                </c:pt>
                <c:pt idx="124">
                  <c:v>21</c:v>
                </c:pt>
                <c:pt idx="125">
                  <c:v>34</c:v>
                </c:pt>
                <c:pt idx="126">
                  <c:v>24</c:v>
                </c:pt>
                <c:pt idx="127">
                  <c:v>27</c:v>
                </c:pt>
                <c:pt idx="128">
                  <c:v>26</c:v>
                </c:pt>
                <c:pt idx="129">
                  <c:v>38</c:v>
                </c:pt>
                <c:pt idx="130">
                  <c:v>30</c:v>
                </c:pt>
                <c:pt idx="131">
                  <c:v>29</c:v>
                </c:pt>
                <c:pt idx="132">
                  <c:v>17</c:v>
                </c:pt>
                <c:pt idx="133">
                  <c:v>30</c:v>
                </c:pt>
                <c:pt idx="134">
                  <c:v>13</c:v>
                </c:pt>
                <c:pt idx="135">
                  <c:v>30</c:v>
                </c:pt>
                <c:pt idx="136">
                  <c:v>5</c:v>
                </c:pt>
                <c:pt idx="137">
                  <c:v>0</c:v>
                </c:pt>
                <c:pt idx="138">
                  <c:v>0</c:v>
                </c:pt>
                <c:pt idx="139">
                  <c:v>40</c:v>
                </c:pt>
                <c:pt idx="140">
                  <c:v>28</c:v>
                </c:pt>
                <c:pt idx="141">
                  <c:v>22</c:v>
                </c:pt>
                <c:pt idx="142">
                  <c:v>0</c:v>
                </c:pt>
                <c:pt idx="143">
                  <c:v>9</c:v>
                </c:pt>
                <c:pt idx="144">
                  <c:v>29</c:v>
                </c:pt>
                <c:pt idx="145">
                  <c:v>22</c:v>
                </c:pt>
                <c:pt idx="146">
                  <c:v>12</c:v>
                </c:pt>
                <c:pt idx="147">
                  <c:v>22</c:v>
                </c:pt>
                <c:pt idx="148">
                  <c:v>25</c:v>
                </c:pt>
                <c:pt idx="149">
                  <c:v>25</c:v>
                </c:pt>
                <c:pt idx="150">
                  <c:v>24</c:v>
                </c:pt>
                <c:pt idx="151">
                  <c:v>13</c:v>
                </c:pt>
                <c:pt idx="152">
                  <c:v>19</c:v>
                </c:pt>
                <c:pt idx="153">
                  <c:v>18</c:v>
                </c:pt>
                <c:pt idx="154">
                  <c:v>27</c:v>
                </c:pt>
                <c:pt idx="155">
                  <c:v>40</c:v>
                </c:pt>
                <c:pt idx="156">
                  <c:v>25</c:v>
                </c:pt>
                <c:pt idx="157">
                  <c:v>27</c:v>
                </c:pt>
                <c:pt idx="158">
                  <c:v>39</c:v>
                </c:pt>
                <c:pt idx="159">
                  <c:v>23</c:v>
                </c:pt>
                <c:pt idx="160">
                  <c:v>36</c:v>
                </c:pt>
                <c:pt idx="161">
                  <c:v>15</c:v>
                </c:pt>
                <c:pt idx="162">
                  <c:v>14</c:v>
                </c:pt>
                <c:pt idx="163">
                  <c:v>33</c:v>
                </c:pt>
                <c:pt idx="164">
                  <c:v>23</c:v>
                </c:pt>
                <c:pt idx="165">
                  <c:v>23</c:v>
                </c:pt>
                <c:pt idx="166">
                  <c:v>21</c:v>
                </c:pt>
                <c:pt idx="167">
                  <c:v>24</c:v>
                </c:pt>
                <c:pt idx="168">
                  <c:v>0</c:v>
                </c:pt>
                <c:pt idx="169">
                  <c:v>21</c:v>
                </c:pt>
                <c:pt idx="170">
                  <c:v>24</c:v>
                </c:pt>
                <c:pt idx="171">
                  <c:v>29</c:v>
                </c:pt>
                <c:pt idx="172">
                  <c:v>0</c:v>
                </c:pt>
                <c:pt idx="173">
                  <c:v>39</c:v>
                </c:pt>
                <c:pt idx="174">
                  <c:v>16</c:v>
                </c:pt>
                <c:pt idx="175">
                  <c:v>35</c:v>
                </c:pt>
                <c:pt idx="176">
                  <c:v>4</c:v>
                </c:pt>
                <c:pt idx="177">
                  <c:v>25</c:v>
                </c:pt>
                <c:pt idx="178">
                  <c:v>37</c:v>
                </c:pt>
                <c:pt idx="179">
                  <c:v>24</c:v>
                </c:pt>
                <c:pt idx="180">
                  <c:v>39</c:v>
                </c:pt>
                <c:pt idx="181">
                  <c:v>29</c:v>
                </c:pt>
                <c:pt idx="182">
                  <c:v>19</c:v>
                </c:pt>
                <c:pt idx="183">
                  <c:v>37</c:v>
                </c:pt>
                <c:pt idx="184">
                  <c:v>29</c:v>
                </c:pt>
                <c:pt idx="185">
                  <c:v>32</c:v>
                </c:pt>
                <c:pt idx="186">
                  <c:v>27</c:v>
                </c:pt>
                <c:pt idx="187">
                  <c:v>33</c:v>
                </c:pt>
                <c:pt idx="188">
                  <c:v>36</c:v>
                </c:pt>
                <c:pt idx="189">
                  <c:v>24</c:v>
                </c:pt>
                <c:pt idx="190">
                  <c:v>21</c:v>
                </c:pt>
                <c:pt idx="191">
                  <c:v>24</c:v>
                </c:pt>
                <c:pt idx="192">
                  <c:v>23</c:v>
                </c:pt>
                <c:pt idx="193">
                  <c:v>0</c:v>
                </c:pt>
                <c:pt idx="194">
                  <c:v>17</c:v>
                </c:pt>
                <c:pt idx="195">
                  <c:v>29</c:v>
                </c:pt>
                <c:pt idx="196">
                  <c:v>37</c:v>
                </c:pt>
                <c:pt idx="197">
                  <c:v>23</c:v>
                </c:pt>
                <c:pt idx="198">
                  <c:v>22</c:v>
                </c:pt>
                <c:pt idx="199">
                  <c:v>34</c:v>
                </c:pt>
                <c:pt idx="200">
                  <c:v>25</c:v>
                </c:pt>
                <c:pt idx="201">
                  <c:v>15</c:v>
                </c:pt>
                <c:pt idx="202">
                  <c:v>18</c:v>
                </c:pt>
                <c:pt idx="203">
                  <c:v>23</c:v>
                </c:pt>
                <c:pt idx="204">
                  <c:v>21</c:v>
                </c:pt>
                <c:pt idx="205">
                  <c:v>35</c:v>
                </c:pt>
                <c:pt idx="206">
                  <c:v>0</c:v>
                </c:pt>
                <c:pt idx="207">
                  <c:v>23</c:v>
                </c:pt>
                <c:pt idx="208">
                  <c:v>23</c:v>
                </c:pt>
                <c:pt idx="209">
                  <c:v>0</c:v>
                </c:pt>
                <c:pt idx="210">
                  <c:v>31</c:v>
                </c:pt>
                <c:pt idx="211">
                  <c:v>28</c:v>
                </c:pt>
                <c:pt idx="212">
                  <c:v>31</c:v>
                </c:pt>
                <c:pt idx="213">
                  <c:v>36</c:v>
                </c:pt>
                <c:pt idx="214">
                  <c:v>28</c:v>
                </c:pt>
                <c:pt idx="215">
                  <c:v>23</c:v>
                </c:pt>
                <c:pt idx="216">
                  <c:v>45</c:v>
                </c:pt>
                <c:pt idx="217">
                  <c:v>29</c:v>
                </c:pt>
                <c:pt idx="218">
                  <c:v>27</c:v>
                </c:pt>
                <c:pt idx="219">
                  <c:v>11</c:v>
                </c:pt>
                <c:pt idx="220">
                  <c:v>16</c:v>
                </c:pt>
                <c:pt idx="221">
                  <c:v>0</c:v>
                </c:pt>
                <c:pt idx="222">
                  <c:v>34</c:v>
                </c:pt>
                <c:pt idx="223">
                  <c:v>22</c:v>
                </c:pt>
                <c:pt idx="224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8-466E-AE1C-E5FBDC2A5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9023"/>
        <c:axId val="196760463"/>
      </c:scatterChart>
      <c:valAx>
        <c:axId val="19675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760463"/>
        <c:crosses val="autoZero"/>
        <c:crossBetween val="midCat"/>
      </c:valAx>
      <c:valAx>
        <c:axId val="19676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75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Répartition des actes de rébellion commis par les 225 employés de Abus inc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CA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</a:rPr>
            <a:t>Répartition des actes de rébellion commis par les 225 employés de Abus inc</a:t>
          </a:r>
        </a:p>
      </cx:txPr>
    </cx:title>
    <cx:plotArea>
      <cx:plotAreaRegion>
        <cx:series layoutId="clusteredColumn" uniqueId="{D8C5C3BB-5E6E-44A3-B196-D99A793AA116}" formatIdx="0">
          <cx:tx>
            <cx:txData>
              <cx:f>_xlchart.v1.1</cx:f>
              <cx:v>Nombre d'acte de rebellion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240CB644-5D87-49BA-B136-E310F17C43D0}" formatIdx="1">
          <cx:axisId val="2"/>
        </cx:series>
        <cx:series layoutId="clusteredColumn" hidden="1" uniqueId="{69473108-8B27-4C32-AB94-879FEA006A30}" formatIdx="2">
          <cx:tx>
            <cx:txData>
              <cx:f>_xlchart.v1.3</cx:f>
              <cx:v>Pourcentage (%)</cx:v>
            </cx:txData>
          </cx:tx>
          <cx:dataId val="1"/>
          <cx:layoutPr>
            <cx:aggregation/>
          </cx:layoutPr>
          <cx:axisId val="1"/>
        </cx:series>
        <cx:series layoutId="paretoLine" ownerIdx="2" uniqueId="{8317388B-1740-4146-9F7D-7AA03A9A6CED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704715</xdr:colOff>
      <xdr:row>30</xdr:row>
      <xdr:rowOff>116268</xdr:rowOff>
    </xdr:from>
    <xdr:to>
      <xdr:col>4</xdr:col>
      <xdr:colOff>1824506</xdr:colOff>
      <xdr:row>52</xdr:row>
      <xdr:rowOff>95609</xdr:rowOff>
    </xdr:to>
    <xdr:graphicFrame macro="">
      <xdr:nvGraphicFramePr>
        <xdr:cNvPr id="2" name="Graphique 3">
          <a:extLst>
            <a:ext uri="{FF2B5EF4-FFF2-40B4-BE49-F238E27FC236}">
              <a16:creationId xmlns:a16="http://schemas.microsoft.com/office/drawing/2014/main" id="{E814BA7F-85B0-469B-3864-D7A30B5FB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1543050</xdr:colOff>
      <xdr:row>17</xdr:row>
      <xdr:rowOff>104775</xdr:rowOff>
    </xdr:from>
    <xdr:to>
      <xdr:col>5</xdr:col>
      <xdr:colOff>292100</xdr:colOff>
      <xdr:row>34</xdr:row>
      <xdr:rowOff>41275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2">
              <a:extLst>
                <a:ext uri="{FF2B5EF4-FFF2-40B4-BE49-F238E27FC236}">
                  <a16:creationId xmlns:a16="http://schemas.microsoft.com/office/drawing/2014/main" id="{C0DE2853-E4A6-7080-0178-61182D1A05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3050" y="2911475"/>
              <a:ext cx="70675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</xdr:row>
      <xdr:rowOff>53975</xdr:rowOff>
    </xdr:from>
    <xdr:to>
      <xdr:col>7</xdr:col>
      <xdr:colOff>679450</xdr:colOff>
      <xdr:row>20</xdr:row>
      <xdr:rowOff>82550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0B75D7EB-2F2B-C57D-1F09-155762A58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sa Ouedraogo" refreshedDate="46113.407237268519" createdVersion="8" refreshedVersion="8" minRefreshableVersion="3" recordCount="225" xr:uid="{19D89AF1-F291-4281-AE1E-E1D6A0097FFA}">
  <cacheSource type="worksheet">
    <worksheetSource ref="E4:I229" sheet="Abus inc."/>
  </cacheSource>
  <cacheFields count="5">
    <cacheField name="1 - Attitude négative" numFmtId="1">
      <sharedItems containsSemiMixedTypes="0" containsString="0" containsNumber="1" containsInteger="1" minValue="0" maxValue="5"/>
    </cacheField>
    <cacheField name="2 - Refus de l'autorité" numFmtId="1">
      <sharedItems containsSemiMixedTypes="0" containsString="0" containsNumber="1" containsInteger="1" minValue="0" maxValue="5"/>
    </cacheField>
    <cacheField name="3 - Bris intentionnels" numFmtId="1">
      <sharedItems containsSemiMixedTypes="0" containsString="0" containsNumber="1" containsInteger="1" minValue="0" maxValue="2"/>
    </cacheField>
    <cacheField name="4 - Agression" numFmtId="1">
      <sharedItems containsSemiMixedTypes="0" containsString="0" containsNumber="1" containsInteger="1" minValue="0" maxValue="1"/>
    </cacheField>
    <cacheField name="5 - Harcèlement" numFmtId="1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8.893918518515" createdVersion="8" refreshedVersion="8" minRefreshableVersion="3" recordCount="225" xr:uid="{0B778A78-1CDA-4501-8585-F1D60C591FC2}">
  <cacheSource type="worksheet">
    <worksheetSource ref="A4:J229" sheet="Abus inc."/>
  </cacheSource>
  <cacheFields count="10">
    <cacheField name="Sexe" numFmtId="49">
      <sharedItems count="2">
        <s v="Femme"/>
        <s v="Homme"/>
      </sharedItems>
    </cacheField>
    <cacheField name="Ancienneté_x000a_(en années)" numFmtId="165">
      <sharedItems containsSemiMixedTypes="0" containsString="0" containsNumber="1" minValue="1.5966" maxValue="24.0777" count="225">
        <n v="11.3764"/>
        <n v="10.326000000000001"/>
        <n v="12.5166"/>
        <n v="14.12"/>
        <n v="14.0055"/>
        <n v="16.342400000000001"/>
        <n v="17.2561"/>
        <n v="11.158799999999999"/>
        <n v="14.0886"/>
        <n v="13.0914"/>
        <n v="12.2659"/>
        <n v="13.494199999999999"/>
        <n v="21.724499999999999"/>
        <n v="8.3958999999999993"/>
        <n v="15.177899999999999"/>
        <n v="5.6805000000000003"/>
        <n v="6.7933000000000003"/>
        <n v="9.2333999999999996"/>
        <n v="13.485300000000001"/>
        <n v="17.4498"/>
        <n v="16.181699999999999"/>
        <n v="16.337499999999999"/>
        <n v="11.2681"/>
        <n v="11.8916"/>
        <n v="13.061400000000001"/>
        <n v="6.0372000000000003"/>
        <n v="10.7462"/>
        <n v="8.5603999999999996"/>
        <n v="10.6053"/>
        <n v="9.1946999999999992"/>
        <n v="19.9405"/>
        <n v="14.2338"/>
        <n v="10.78"/>
        <n v="16.004200000000001"/>
        <n v="14.972200000000001"/>
        <n v="13.157400000000001"/>
        <n v="15.0655"/>
        <n v="11.1943"/>
        <n v="13.3028"/>
        <n v="12.2003"/>
        <n v="13.4094"/>
        <n v="5.9664000000000001"/>
        <n v="17.845099999999999"/>
        <n v="12.293100000000001"/>
        <n v="15.2272"/>
        <n v="10.9177"/>
        <n v="3.9001999999999999"/>
        <n v="17.536799999999999"/>
        <n v="13.7194"/>
        <n v="9.9703999999999997"/>
        <n v="6.4584999999999999"/>
        <n v="12.6546"/>
        <n v="14.7081"/>
        <n v="6.2397999999999998"/>
        <n v="9.5798000000000005"/>
        <n v="7.2207999999999997"/>
        <n v="7.5712000000000002"/>
        <n v="16.269300000000001"/>
        <n v="4.9408000000000003"/>
        <n v="1.5966"/>
        <n v="13.7399"/>
        <n v="15.6328"/>
        <n v="17.756"/>
        <n v="14.2026"/>
        <n v="12.2668"/>
        <n v="10.368499999999999"/>
        <n v="7.4744999999999999"/>
        <n v="13.383699999999999"/>
        <n v="12.1677"/>
        <n v="8.9725999999999999"/>
        <n v="10.8896"/>
        <n v="14.0458"/>
        <n v="14.3087"/>
        <n v="12.994"/>
        <n v="14.4171"/>
        <n v="9.3763000000000005"/>
        <n v="11.819000000000001"/>
        <n v="19.648700000000002"/>
        <n v="14.4018"/>
        <n v="19.557200000000002"/>
        <n v="17.197299999999998"/>
        <n v="15.7805"/>
        <n v="11.7742"/>
        <n v="12.667"/>
        <n v="12.6981"/>
        <n v="10.2637"/>
        <n v="10.1691"/>
        <n v="10.4701"/>
        <n v="11.5495"/>
        <n v="12.128"/>
        <n v="10.1501"/>
        <n v="11.065200000000001"/>
        <n v="11.894600000000001"/>
        <n v="10.511100000000001"/>
        <n v="6.8468"/>
        <n v="12.0503"/>
        <n v="13.002599999999999"/>
        <n v="9.8071999999999999"/>
        <n v="9.8634000000000004"/>
        <n v="9.7149999999999999"/>
        <n v="7.1642000000000001"/>
        <n v="11.6174"/>
        <n v="17.0807"/>
        <n v="6.8228999999999997"/>
        <n v="13.8804"/>
        <n v="10.883699999999999"/>
        <n v="13.3178"/>
        <n v="12.700799999999999"/>
        <n v="8.4990000000000006"/>
        <n v="13.0886"/>
        <n v="13.2607"/>
        <n v="14.5105"/>
        <n v="16.7638"/>
        <n v="16.584199999999999"/>
        <n v="19.087599999999998"/>
        <n v="15.984"/>
        <n v="17.8154"/>
        <n v="18.4725"/>
        <n v="18.814800000000002"/>
        <n v="16.254200000000001"/>
        <n v="8.6990999999999996"/>
        <n v="20.411200000000001"/>
        <n v="16.490300000000001"/>
        <n v="14.7171"/>
        <n v="15.5214"/>
        <n v="10.6333"/>
        <n v="12.738"/>
        <n v="11.1356"/>
        <n v="13.916700000000001"/>
        <n v="7.4516"/>
        <n v="12.519600000000001"/>
        <n v="10.367800000000001"/>
        <n v="16.4069"/>
        <n v="10.722899999999999"/>
        <n v="19.229299999999999"/>
        <n v="11.3154"/>
        <n v="20.9541"/>
        <n v="10.11"/>
        <n v="13.014799999999999"/>
        <n v="3.5758000000000001"/>
        <n v="12.8203"/>
        <n v="16.327100000000002"/>
        <n v="16.089600000000001"/>
        <n v="21.433299999999999"/>
        <n v="10.8316"/>
        <n v="13.024900000000001"/>
        <n v="18.4621"/>
        <n v="13.431900000000001"/>
        <n v="10.944100000000001"/>
        <n v="11.973800000000001"/>
        <n v="12.577199999999999"/>
        <n v="19.648900000000001"/>
        <n v="15.119300000000001"/>
        <n v="15.789"/>
        <n v="10.8399"/>
        <n v="6.6681999999999997"/>
        <n v="12.5129"/>
        <n v="11.095499999999999"/>
        <n v="5.0448000000000004"/>
        <n v="11.948399999999999"/>
        <n v="7.2039999999999997"/>
        <n v="17.286300000000001"/>
        <n v="18.443999999999999"/>
        <n v="8.7126000000000001"/>
        <n v="12.834099999999999"/>
        <n v="14.725"/>
        <n v="14.0299"/>
        <n v="14.754799999999999"/>
        <n v="11.554500000000001"/>
        <n v="16.547699999999999"/>
        <n v="15.647500000000001"/>
        <n v="12.0464"/>
        <n v="5.3756000000000004"/>
        <n v="6.4698000000000002"/>
        <n v="16.610900000000001"/>
        <n v="7.1136999999999997"/>
        <n v="24.0777"/>
        <n v="11.2203"/>
        <n v="6.9306000000000001"/>
        <n v="12.8992"/>
        <n v="7.8992000000000004"/>
        <n v="10.5571"/>
        <n v="16.1602"/>
        <n v="8.6679999999999993"/>
        <n v="12.215999999999999"/>
        <n v="9.2451000000000008"/>
        <n v="10.093500000000001"/>
        <n v="10.6067"/>
        <n v="5.6554000000000002"/>
        <n v="12.9682"/>
        <n v="14.189299999999999"/>
        <n v="11.364800000000001"/>
        <n v="13.571199999999999"/>
        <n v="10.422499999999999"/>
        <n v="14.8201"/>
        <n v="9.4482999999999997"/>
        <n v="8.9825999999999997"/>
        <n v="12.017899999999999"/>
        <n v="15.8551"/>
        <n v="7.7704000000000004"/>
        <n v="11.854200000000001"/>
        <n v="15.975"/>
        <n v="16.1494"/>
        <n v="13.7681"/>
        <n v="15.4306"/>
        <n v="8.2667000000000002"/>
        <n v="16.604099999999999"/>
        <n v="13.636699999999999"/>
        <n v="13.348100000000001"/>
        <n v="14.120900000000001"/>
        <n v="10.752700000000001"/>
        <n v="10.4452"/>
        <n v="7.9965000000000002"/>
        <n v="8.3396000000000008"/>
        <n v="10.984299999999999"/>
        <n v="15.308999999999999"/>
        <n v="5.2542999999999997"/>
        <n v="9.3995999999999995"/>
        <n v="10.5855"/>
        <n v="17.819299999999998"/>
        <n v="19.654299999999999"/>
        <n v="18.659500000000001"/>
        <n v="10.6066"/>
        <n v="14.1511"/>
        <n v="17.711500000000001"/>
      </sharedItems>
      <fieldGroup base="1">
        <rangePr startNum="1.5966" endNum="24.0777" groupInterval="3"/>
        <groupItems count="10">
          <s v="&lt;1,5966"/>
          <s v="1,5966-4,5966"/>
          <s v="4,5966-7,5966"/>
          <s v="7,5966-10,5966"/>
          <s v="10,5966-13,5966"/>
          <s v="13,5966-16,5966"/>
          <s v="16,5966-19,5966"/>
          <s v="19,5966-22,5966"/>
          <s v="22,5966-25,5966"/>
          <s v="&gt;25,5966"/>
        </groupItems>
      </fieldGroup>
    </cacheField>
    <cacheField name="Nombre de jours d’absence (de courte durée de moins de 5 jours consécutifs)" numFmtId="1">
      <sharedItems containsSemiMixedTypes="0" containsString="0" containsNumber="1" containsInteger="1" minValue="0" maxValue="50"/>
    </cacheField>
    <cacheField name="0 - Aucun" numFmtId="1">
      <sharedItems containsSemiMixedTypes="0" containsString="0" containsNumber="1" containsInteger="1" minValue="0" maxValue="1"/>
    </cacheField>
    <cacheField name="1 - Attitude négative" numFmtId="1">
      <sharedItems containsString="0" containsBlank="1" containsNumber="1" containsInteger="1" minValue="0" maxValue="5"/>
    </cacheField>
    <cacheField name="2 - Refus de l'autorité" numFmtId="1">
      <sharedItems containsSemiMixedTypes="0" containsString="0" containsNumber="1" containsInteger="1" minValue="0" maxValue="5"/>
    </cacheField>
    <cacheField name="3 - Bris intentionnels" numFmtId="1">
      <sharedItems containsSemiMixedTypes="0" containsString="0" containsNumber="1" containsInteger="1" minValue="0" maxValue="2"/>
    </cacheField>
    <cacheField name="4 - Agression" numFmtId="1">
      <sharedItems containsSemiMixedTypes="0" containsString="0" containsNumber="1" containsInteger="1" minValue="0" maxValue="1"/>
    </cacheField>
    <cacheField name="5 - Harcèlement" numFmtId="1">
      <sharedItems containsSemiMixedTypes="0" containsString="0" containsNumber="1" containsInteger="1" minValue="0" maxValue="2"/>
    </cacheField>
    <cacheField name="Total des actes de rébellion" numFmtId="1">
      <sharedItems containsSemiMixedTypes="0" containsString="0" containsNumber="1" containsInteger="1" minValue="0" maxValue="6" count="7">
        <n v="0"/>
        <n v="2"/>
        <n v="4"/>
        <n v="5"/>
        <n v="1"/>
        <n v="6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7.842513773146" createdVersion="8" refreshedVersion="8" minRefreshableVersion="3" recordCount="150" xr:uid="{4615239D-3D04-4091-B020-9C0B22F14738}">
  <cacheSource type="worksheet">
    <worksheetSource ref="A3:B153" sheet="Manoeuvres beaucerons"/>
  </cacheSource>
  <cacheFields count="2">
    <cacheField name="Salaire" numFmtId="167">
      <sharedItems containsSemiMixedTypes="0" containsString="0" containsNumber="1" minValue="11418.710000000001" maxValue="72330.039999999994" count="150">
        <n v="11418.710000000001"/>
        <n v="14077.17"/>
        <n v="20412.25"/>
        <n v="17613.400000000001"/>
        <n v="18744.54"/>
        <n v="21135.99"/>
        <n v="25494.510000000002"/>
        <n v="23026.85"/>
        <n v="24464.49"/>
        <n v="21940.13"/>
        <n v="27339.879999999997"/>
        <n v="26555.71"/>
        <n v="20757.12"/>
        <n v="19158.12"/>
        <n v="26792.359999999997"/>
        <n v="29239.289999999997"/>
        <n v="28247.969999999998"/>
        <n v="26136.95"/>
        <n v="29053.200000000001"/>
        <n v="30118.18"/>
        <n v="31202.9"/>
        <n v="30078.44"/>
        <n v="26578.260000000002"/>
        <n v="29980.79"/>
        <n v="32080.760000000002"/>
        <n v="30677.61"/>
        <n v="31357.530000000002"/>
        <n v="31900.100000000002"/>
        <n v="29881.439999999999"/>
        <n v="33137.490000000005"/>
        <n v="24398.15"/>
        <n v="32212.690000000002"/>
        <n v="31681.32"/>
        <n v="30727.649999999998"/>
        <n v="27081.010000000002"/>
        <n v="31312.69"/>
        <n v="32864.25"/>
        <n v="34245.03"/>
        <n v="32498.41"/>
        <n v="34247.199999999997"/>
        <n v="28998.31"/>
        <n v="33096.050000000003"/>
        <n v="36884.61"/>
        <n v="28677.280000000002"/>
        <n v="34106.410000000003"/>
        <n v="33063.42"/>
        <n v="33908.42"/>
        <n v="32749.95"/>
        <n v="32226.81"/>
        <n v="36294.629999999997"/>
        <n v="35296.46"/>
        <n v="31558.639999999999"/>
        <n v="33249.99"/>
        <n v="35912.100000000006"/>
        <n v="36357.07"/>
        <n v="30613.11"/>
        <n v="31886.47"/>
        <n v="34419.170000000006"/>
        <n v="36848.469999999994"/>
        <n v="34516.800000000003"/>
        <n v="36420.960000000006"/>
        <n v="38232.25"/>
        <n v="38740.83"/>
        <n v="37684.700000000004"/>
        <n v="33801.360000000001"/>
        <n v="39073.94"/>
        <n v="32890.75"/>
        <n v="35049.950000000004"/>
        <n v="31779.989999999998"/>
        <n v="34632.99"/>
        <n v="36077.240000000005"/>
        <n v="33706.240000000005"/>
        <n v="33372.76"/>
        <n v="34215.660000000003"/>
        <n v="37738.25"/>
        <n v="39720.769999999997"/>
        <n v="40602.89"/>
        <n v="38220.549999999996"/>
        <n v="35239.93"/>
        <n v="38326.39"/>
        <n v="33866.26"/>
        <n v="33777.93"/>
        <n v="40416.370000000003"/>
        <n v="36654.46"/>
        <n v="41825.550000000003"/>
        <n v="40941.78"/>
        <n v="36617.35"/>
        <n v="38480.32"/>
        <n v="35698.509999999995"/>
        <n v="41659.1"/>
        <n v="36593.259999999995"/>
        <n v="42678.12"/>
        <n v="34232.79"/>
        <n v="42669.799999999996"/>
        <n v="37985.719999999994"/>
        <n v="43083.060000000005"/>
        <n v="43292.960000000006"/>
        <n v="43439.619999999995"/>
        <n v="39953.67"/>
        <n v="39892.53"/>
        <n v="42644.5"/>
        <n v="43214.97"/>
        <n v="37187.910000000003"/>
        <n v="36523.32"/>
        <n v="35975.200000000004"/>
        <n v="43257.799999999996"/>
        <n v="38631.43"/>
        <n v="35325.990000000005"/>
        <n v="37284.67"/>
        <n v="46463.359999999993"/>
        <n v="42090.080000000002"/>
        <n v="37893.549999999996"/>
        <n v="39090.269999999997"/>
        <n v="39460.300000000003"/>
        <n v="44898.200000000004"/>
        <n v="41496.619999999995"/>
        <n v="41297.219999999994"/>
        <n v="48463.08"/>
        <n v="45015.05"/>
        <n v="41740.92"/>
        <n v="40413.269999999997"/>
        <n v="43877.35"/>
        <n v="47999.630000000005"/>
        <n v="41500.21"/>
        <n v="40523.26"/>
        <n v="43463.43"/>
        <n v="43369.159999999996"/>
        <n v="39851.619999999995"/>
        <n v="48827.1"/>
        <n v="42028.049999999996"/>
        <n v="46160.420000000006"/>
        <n v="42130.8"/>
        <n v="43163.32"/>
        <n v="44212.259999999995"/>
        <n v="49527.96"/>
        <n v="51328.11"/>
        <n v="43248.19"/>
        <n v="47804.39"/>
        <n v="48033.35"/>
        <n v="49630.16"/>
        <n v="45970.75"/>
        <n v="48634.420000000006"/>
        <n v="52010.23"/>
        <n v="49868.479999999996"/>
        <n v="51704.83"/>
        <n v="55239.24"/>
        <n v="54491.189999999995"/>
        <n v="63148.46"/>
        <n v="60080.15"/>
        <n v="72330.039999999994"/>
      </sharedItems>
      <fieldGroup base="0">
        <rangePr autoStart="0" autoEnd="0" startNum="20000" endNum="50000" groupInterval="6000"/>
        <groupItems count="7">
          <s v="&lt;20000"/>
          <s v="20000-26000"/>
          <s v="26000-32000"/>
          <s v="32000-38000"/>
          <s v="38000-44000"/>
          <s v="44000-50000"/>
          <s v="&gt;50000"/>
        </groupItems>
      </fieldGroup>
    </cacheField>
    <cacheField name="Expérience" numFmtId="1">
      <sharedItems containsSemiMixedTypes="0" containsString="0" containsNumber="1" containsInteger="1" minValue="2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sa Ouedraogo" refreshedDate="46156.922082754631" createdVersion="8" refreshedVersion="8" minRefreshableVersion="3" recordCount="2330" xr:uid="{D685E58E-29D9-4E0C-9C94-EF6EE8DEE8AD}">
  <cacheSource type="worksheet">
    <worksheetSource ref="A3:A2333" sheet="Kansas Vamal"/>
  </cacheSource>
  <cacheFields count="1">
    <cacheField name="Conformité de la pièce_x000a_1 - Conforme_x000a_2 - Non conforme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n v="0"/>
    <n v="0"/>
    <n v="0"/>
    <n v="0"/>
    <n v="0"/>
  </r>
  <r>
    <n v="0"/>
    <n v="2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4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5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2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2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1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5"/>
    <n v="0"/>
    <n v="0"/>
    <n v="0"/>
    <n v="0"/>
  </r>
  <r>
    <n v="0"/>
    <n v="0"/>
    <n v="0"/>
    <n v="0"/>
    <n v="0"/>
  </r>
  <r>
    <n v="0"/>
    <n v="0"/>
    <n v="0"/>
    <n v="0"/>
    <n v="0"/>
  </r>
  <r>
    <n v="4"/>
    <n v="0"/>
    <n v="0"/>
    <n v="0"/>
    <n v="2"/>
  </r>
  <r>
    <n v="0"/>
    <n v="0"/>
    <n v="0"/>
    <n v="0"/>
    <n v="0"/>
  </r>
  <r>
    <n v="0"/>
    <n v="0"/>
    <n v="0"/>
    <n v="0"/>
    <n v="1"/>
  </r>
  <r>
    <n v="0"/>
    <n v="0"/>
    <n v="0"/>
    <n v="0"/>
    <n v="0"/>
  </r>
  <r>
    <n v="0"/>
    <n v="0"/>
    <n v="0"/>
    <n v="0"/>
    <n v="0"/>
  </r>
  <r>
    <n v="0"/>
    <n v="0"/>
    <n v="0"/>
    <n v="0"/>
    <n v="1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1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2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3"/>
    <n v="1"/>
    <n v="0"/>
    <n v="0"/>
    <n v="0"/>
  </r>
  <r>
    <n v="0"/>
    <n v="0"/>
    <n v="0"/>
    <n v="0"/>
    <n v="2"/>
  </r>
  <r>
    <n v="0"/>
    <n v="0"/>
    <n v="0"/>
    <n v="0"/>
    <n v="0"/>
  </r>
  <r>
    <n v="0"/>
    <n v="0"/>
    <n v="0"/>
    <n v="0"/>
    <n v="0"/>
  </r>
  <r>
    <n v="4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2"/>
    <n v="3"/>
    <n v="0"/>
    <n v="0"/>
    <n v="0"/>
  </r>
  <r>
    <n v="0"/>
    <n v="0"/>
    <n v="0"/>
    <n v="0"/>
    <n v="0"/>
  </r>
  <r>
    <n v="1"/>
    <n v="0"/>
    <n v="0"/>
    <n v="0"/>
    <n v="0"/>
  </r>
  <r>
    <n v="0"/>
    <n v="0"/>
    <n v="0"/>
    <n v="0"/>
    <n v="0"/>
  </r>
  <r>
    <n v="0"/>
    <n v="0"/>
    <n v="0"/>
    <n v="0"/>
    <n v="0"/>
  </r>
  <r>
    <n v="2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1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5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1"/>
  </r>
  <r>
    <n v="0"/>
    <n v="0"/>
    <n v="0"/>
    <n v="0"/>
    <n v="0"/>
  </r>
  <r>
    <n v="0"/>
    <n v="0"/>
    <n v="0"/>
    <n v="0"/>
    <n v="0"/>
  </r>
  <r>
    <n v="5"/>
    <n v="0"/>
    <n v="0"/>
    <n v="0"/>
    <n v="0"/>
  </r>
  <r>
    <n v="0"/>
    <n v="2"/>
    <n v="0"/>
    <n v="0"/>
    <n v="0"/>
  </r>
  <r>
    <n v="0"/>
    <n v="1"/>
    <n v="0"/>
    <n v="0"/>
    <n v="0"/>
  </r>
  <r>
    <n v="2"/>
    <n v="0"/>
    <n v="0"/>
    <n v="0"/>
    <n v="0"/>
  </r>
  <r>
    <n v="0"/>
    <n v="0"/>
    <n v="0"/>
    <n v="0"/>
    <n v="0"/>
  </r>
  <r>
    <n v="0"/>
    <n v="3"/>
    <n v="0"/>
    <n v="0"/>
    <n v="0"/>
  </r>
  <r>
    <n v="0"/>
    <n v="0"/>
    <n v="0"/>
    <n v="0"/>
    <n v="1"/>
  </r>
  <r>
    <n v="0"/>
    <n v="0"/>
    <n v="0"/>
    <n v="0"/>
    <n v="1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1"/>
    <n v="0"/>
  </r>
  <r>
    <n v="0"/>
    <n v="0"/>
    <n v="0"/>
    <n v="1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2"/>
    <n v="0"/>
    <n v="0"/>
  </r>
  <r>
    <n v="0"/>
    <n v="0"/>
    <n v="0"/>
    <n v="0"/>
    <n v="1"/>
  </r>
  <r>
    <n v="4"/>
    <n v="0"/>
    <n v="0"/>
    <n v="1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1"/>
    <n v="0"/>
    <n v="0"/>
    <n v="0"/>
    <n v="0"/>
  </r>
  <r>
    <n v="0"/>
    <n v="0"/>
    <n v="0"/>
    <n v="0"/>
    <n v="0"/>
  </r>
  <r>
    <n v="2"/>
    <n v="0"/>
    <n v="1"/>
    <n v="0"/>
    <n v="0"/>
  </r>
  <r>
    <n v="0"/>
    <n v="0"/>
    <n v="0"/>
    <n v="0"/>
    <n v="0"/>
  </r>
  <r>
    <n v="3"/>
    <n v="0"/>
    <n v="0"/>
    <n v="0"/>
    <n v="0"/>
  </r>
  <r>
    <n v="0"/>
    <n v="0"/>
    <n v="0"/>
    <n v="0"/>
    <n v="0"/>
  </r>
  <r>
    <n v="0"/>
    <n v="0"/>
    <n v="0"/>
    <n v="0"/>
    <n v="2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2"/>
    <n v="0"/>
    <n v="0"/>
    <n v="0"/>
  </r>
  <r>
    <n v="1"/>
    <n v="0"/>
    <n v="0"/>
    <n v="0"/>
    <n v="0"/>
  </r>
  <r>
    <n v="0"/>
    <n v="0"/>
    <n v="0"/>
    <n v="0"/>
    <n v="0"/>
  </r>
  <r>
    <n v="0"/>
    <n v="0"/>
    <n v="0"/>
    <n v="0"/>
    <n v="0"/>
  </r>
  <r>
    <n v="3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4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4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4"/>
    <n v="0"/>
    <n v="0"/>
    <n v="0"/>
    <n v="0"/>
  </r>
  <r>
    <n v="1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2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1"/>
  </r>
  <r>
    <n v="0"/>
    <n v="0"/>
    <n v="0"/>
    <n v="0"/>
    <n v="0"/>
  </r>
  <r>
    <n v="0"/>
    <n v="0"/>
    <n v="0"/>
    <n v="0"/>
    <n v="0"/>
  </r>
  <r>
    <n v="0"/>
    <n v="0"/>
    <n v="0"/>
    <n v="0"/>
    <n v="2"/>
  </r>
  <r>
    <n v="3"/>
    <n v="0"/>
    <n v="0"/>
    <n v="0"/>
    <n v="0"/>
  </r>
  <r>
    <n v="0"/>
    <n v="0"/>
    <n v="0"/>
    <n v="0"/>
    <n v="0"/>
  </r>
  <r>
    <n v="0"/>
    <n v="0"/>
    <n v="0"/>
    <n v="0"/>
    <n v="0"/>
  </r>
  <r>
    <n v="0"/>
    <n v="4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2"/>
  </r>
  <r>
    <n v="0"/>
    <n v="0"/>
    <n v="0"/>
    <n v="0"/>
    <n v="0"/>
  </r>
  <r>
    <n v="5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5"/>
    <n v="0"/>
    <n v="0"/>
    <n v="0"/>
  </r>
  <r>
    <n v="0"/>
    <n v="0"/>
    <n v="0"/>
    <n v="0"/>
    <n v="0"/>
  </r>
  <r>
    <n v="0"/>
    <n v="1"/>
    <n v="0"/>
    <n v="0"/>
    <n v="0"/>
  </r>
  <r>
    <n v="0"/>
    <n v="0"/>
    <n v="0"/>
    <n v="0"/>
    <n v="0"/>
  </r>
  <r>
    <n v="0"/>
    <n v="0"/>
    <n v="2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5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0"/>
    <n v="1"/>
    <n v="0"/>
    <n v="0"/>
    <n v="0"/>
  </r>
  <r>
    <n v="0"/>
    <n v="0"/>
    <n v="0"/>
    <n v="0"/>
    <n v="0"/>
  </r>
  <r>
    <n v="0"/>
    <n v="0"/>
    <n v="0"/>
    <n v="0"/>
    <n v="2"/>
  </r>
  <r>
    <n v="0"/>
    <n v="0"/>
    <n v="0"/>
    <n v="0"/>
    <n v="0"/>
  </r>
  <r>
    <n v="0"/>
    <n v="0"/>
    <n v="0"/>
    <n v="0"/>
    <n v="0"/>
  </r>
  <r>
    <n v="0"/>
    <n v="0"/>
    <n v="0"/>
    <n v="0"/>
    <n v="0"/>
  </r>
  <r>
    <n v="1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x v="0"/>
    <n v="26"/>
    <n v="1"/>
    <n v="0"/>
    <n v="0"/>
    <n v="0"/>
    <n v="0"/>
    <n v="0"/>
    <x v="0"/>
  </r>
  <r>
    <x v="1"/>
    <x v="1"/>
    <n v="29"/>
    <n v="0"/>
    <n v="0"/>
    <n v="2"/>
    <n v="0"/>
    <n v="0"/>
    <n v="0"/>
    <x v="1"/>
  </r>
  <r>
    <x v="1"/>
    <x v="2"/>
    <n v="25"/>
    <n v="1"/>
    <n v="0"/>
    <n v="0"/>
    <n v="0"/>
    <n v="0"/>
    <n v="0"/>
    <x v="0"/>
  </r>
  <r>
    <x v="0"/>
    <x v="3"/>
    <n v="26"/>
    <n v="1"/>
    <n v="0"/>
    <n v="0"/>
    <n v="0"/>
    <n v="0"/>
    <n v="0"/>
    <x v="0"/>
  </r>
  <r>
    <x v="0"/>
    <x v="4"/>
    <n v="23"/>
    <n v="1"/>
    <n v="0"/>
    <n v="0"/>
    <n v="0"/>
    <n v="0"/>
    <n v="0"/>
    <x v="0"/>
  </r>
  <r>
    <x v="0"/>
    <x v="5"/>
    <n v="0"/>
    <n v="1"/>
    <n v="0"/>
    <n v="0"/>
    <n v="0"/>
    <n v="0"/>
    <n v="0"/>
    <x v="0"/>
  </r>
  <r>
    <x v="1"/>
    <x v="6"/>
    <n v="15"/>
    <n v="0"/>
    <n v="4"/>
    <n v="0"/>
    <n v="0"/>
    <n v="0"/>
    <n v="0"/>
    <x v="2"/>
  </r>
  <r>
    <x v="1"/>
    <x v="7"/>
    <n v="29"/>
    <n v="1"/>
    <n v="0"/>
    <n v="0"/>
    <n v="0"/>
    <n v="0"/>
    <n v="0"/>
    <x v="0"/>
  </r>
  <r>
    <x v="1"/>
    <x v="8"/>
    <n v="21"/>
    <n v="1"/>
    <m/>
    <n v="0"/>
    <n v="0"/>
    <n v="0"/>
    <n v="0"/>
    <x v="0"/>
  </r>
  <r>
    <x v="1"/>
    <x v="9"/>
    <n v="24"/>
    <n v="1"/>
    <n v="0"/>
    <n v="0"/>
    <n v="0"/>
    <n v="0"/>
    <n v="0"/>
    <x v="0"/>
  </r>
  <r>
    <x v="1"/>
    <x v="10"/>
    <n v="25"/>
    <n v="1"/>
    <n v="0"/>
    <n v="0"/>
    <n v="0"/>
    <n v="0"/>
    <n v="0"/>
    <x v="0"/>
  </r>
  <r>
    <x v="1"/>
    <x v="11"/>
    <n v="21"/>
    <n v="1"/>
    <n v="0"/>
    <n v="0"/>
    <n v="0"/>
    <n v="0"/>
    <n v="0"/>
    <x v="0"/>
  </r>
  <r>
    <x v="1"/>
    <x v="12"/>
    <n v="9"/>
    <n v="1"/>
    <n v="0"/>
    <n v="0"/>
    <n v="0"/>
    <n v="0"/>
    <n v="0"/>
    <x v="0"/>
  </r>
  <r>
    <x v="1"/>
    <x v="13"/>
    <n v="30"/>
    <n v="0"/>
    <n v="5"/>
    <n v="0"/>
    <n v="0"/>
    <n v="0"/>
    <n v="0"/>
    <x v="3"/>
  </r>
  <r>
    <x v="0"/>
    <x v="14"/>
    <n v="17"/>
    <n v="1"/>
    <n v="0"/>
    <n v="0"/>
    <n v="0"/>
    <n v="0"/>
    <n v="0"/>
    <x v="0"/>
  </r>
  <r>
    <x v="1"/>
    <x v="15"/>
    <n v="44"/>
    <n v="1"/>
    <n v="0"/>
    <n v="0"/>
    <n v="0"/>
    <n v="0"/>
    <n v="0"/>
    <x v="0"/>
  </r>
  <r>
    <x v="0"/>
    <x v="16"/>
    <n v="33"/>
    <n v="0"/>
    <n v="0"/>
    <n v="0"/>
    <n v="2"/>
    <n v="0"/>
    <n v="0"/>
    <x v="1"/>
  </r>
  <r>
    <x v="0"/>
    <x v="17"/>
    <n v="31"/>
    <n v="1"/>
    <n v="0"/>
    <n v="0"/>
    <n v="0"/>
    <n v="0"/>
    <n v="0"/>
    <x v="0"/>
  </r>
  <r>
    <x v="0"/>
    <x v="18"/>
    <n v="26"/>
    <n v="1"/>
    <n v="0"/>
    <n v="0"/>
    <n v="0"/>
    <n v="0"/>
    <n v="0"/>
    <x v="0"/>
  </r>
  <r>
    <x v="1"/>
    <x v="19"/>
    <n v="18"/>
    <n v="1"/>
    <n v="0"/>
    <n v="0"/>
    <n v="0"/>
    <n v="0"/>
    <n v="0"/>
    <x v="0"/>
  </r>
  <r>
    <x v="0"/>
    <x v="20"/>
    <n v="16"/>
    <n v="0"/>
    <n v="0"/>
    <n v="0"/>
    <n v="0"/>
    <n v="0"/>
    <n v="2"/>
    <x v="1"/>
  </r>
  <r>
    <x v="1"/>
    <x v="21"/>
    <n v="20"/>
    <n v="1"/>
    <n v="0"/>
    <n v="0"/>
    <n v="0"/>
    <n v="0"/>
    <n v="0"/>
    <x v="0"/>
  </r>
  <r>
    <x v="0"/>
    <x v="22"/>
    <n v="25"/>
    <n v="1"/>
    <n v="0"/>
    <n v="0"/>
    <n v="0"/>
    <n v="0"/>
    <n v="0"/>
    <x v="0"/>
  </r>
  <r>
    <x v="0"/>
    <x v="23"/>
    <n v="25"/>
    <n v="1"/>
    <n v="0"/>
    <n v="0"/>
    <n v="0"/>
    <n v="0"/>
    <n v="0"/>
    <x v="0"/>
  </r>
  <r>
    <x v="0"/>
    <x v="24"/>
    <n v="24"/>
    <n v="1"/>
    <n v="0"/>
    <n v="0"/>
    <n v="0"/>
    <n v="0"/>
    <n v="0"/>
    <x v="0"/>
  </r>
  <r>
    <x v="0"/>
    <x v="25"/>
    <n v="40"/>
    <n v="1"/>
    <n v="0"/>
    <n v="0"/>
    <n v="0"/>
    <n v="0"/>
    <n v="0"/>
    <x v="0"/>
  </r>
  <r>
    <x v="1"/>
    <x v="26"/>
    <n v="34"/>
    <n v="0"/>
    <n v="0"/>
    <n v="0"/>
    <n v="1"/>
    <n v="0"/>
    <n v="0"/>
    <x v="4"/>
  </r>
  <r>
    <x v="1"/>
    <x v="27"/>
    <n v="33"/>
    <n v="1"/>
    <n v="0"/>
    <n v="0"/>
    <n v="0"/>
    <n v="0"/>
    <n v="0"/>
    <x v="0"/>
  </r>
  <r>
    <x v="1"/>
    <x v="28"/>
    <n v="30"/>
    <n v="1"/>
    <n v="0"/>
    <n v="0"/>
    <n v="0"/>
    <n v="0"/>
    <n v="0"/>
    <x v="0"/>
  </r>
  <r>
    <x v="1"/>
    <x v="29"/>
    <n v="30"/>
    <n v="1"/>
    <n v="0"/>
    <n v="0"/>
    <n v="0"/>
    <n v="0"/>
    <n v="0"/>
    <x v="0"/>
  </r>
  <r>
    <x v="0"/>
    <x v="30"/>
    <n v="10"/>
    <n v="1"/>
    <n v="0"/>
    <n v="0"/>
    <n v="0"/>
    <n v="0"/>
    <n v="0"/>
    <x v="0"/>
  </r>
  <r>
    <x v="1"/>
    <x v="31"/>
    <n v="26"/>
    <n v="1"/>
    <n v="0"/>
    <n v="0"/>
    <n v="0"/>
    <n v="0"/>
    <n v="0"/>
    <x v="0"/>
  </r>
  <r>
    <x v="1"/>
    <x v="32"/>
    <n v="34"/>
    <n v="1"/>
    <n v="0"/>
    <n v="0"/>
    <n v="0"/>
    <n v="0"/>
    <n v="0"/>
    <x v="0"/>
  </r>
  <r>
    <x v="1"/>
    <x v="33"/>
    <n v="0"/>
    <n v="1"/>
    <n v="0"/>
    <n v="0"/>
    <n v="0"/>
    <n v="0"/>
    <n v="0"/>
    <x v="0"/>
  </r>
  <r>
    <x v="0"/>
    <x v="34"/>
    <n v="18"/>
    <n v="1"/>
    <n v="0"/>
    <n v="0"/>
    <n v="0"/>
    <n v="0"/>
    <n v="0"/>
    <x v="0"/>
  </r>
  <r>
    <x v="1"/>
    <x v="35"/>
    <n v="21"/>
    <n v="1"/>
    <n v="0"/>
    <n v="0"/>
    <n v="0"/>
    <n v="0"/>
    <n v="0"/>
    <x v="0"/>
  </r>
  <r>
    <x v="1"/>
    <x v="36"/>
    <n v="21"/>
    <n v="1"/>
    <n v="0"/>
    <n v="0"/>
    <n v="0"/>
    <n v="0"/>
    <n v="0"/>
    <x v="0"/>
  </r>
  <r>
    <x v="1"/>
    <x v="37"/>
    <n v="29"/>
    <n v="0"/>
    <n v="5"/>
    <n v="0"/>
    <n v="0"/>
    <n v="0"/>
    <n v="0"/>
    <x v="3"/>
  </r>
  <r>
    <x v="0"/>
    <x v="38"/>
    <n v="25"/>
    <n v="1"/>
    <n v="0"/>
    <n v="0"/>
    <n v="0"/>
    <n v="0"/>
    <n v="0"/>
    <x v="0"/>
  </r>
  <r>
    <x v="0"/>
    <x v="39"/>
    <n v="27"/>
    <n v="1"/>
    <n v="0"/>
    <n v="0"/>
    <n v="0"/>
    <n v="0"/>
    <n v="0"/>
    <x v="0"/>
  </r>
  <r>
    <x v="1"/>
    <x v="40"/>
    <n v="0"/>
    <n v="0"/>
    <n v="4"/>
    <n v="0"/>
    <n v="0"/>
    <n v="0"/>
    <n v="2"/>
    <x v="5"/>
  </r>
  <r>
    <x v="1"/>
    <x v="41"/>
    <n v="39"/>
    <n v="1"/>
    <n v="0"/>
    <n v="0"/>
    <n v="0"/>
    <n v="0"/>
    <n v="0"/>
    <x v="0"/>
  </r>
  <r>
    <x v="1"/>
    <x v="42"/>
    <n v="19"/>
    <n v="0"/>
    <n v="0"/>
    <n v="0"/>
    <n v="0"/>
    <n v="0"/>
    <n v="1"/>
    <x v="4"/>
  </r>
  <r>
    <x v="1"/>
    <x v="43"/>
    <n v="26"/>
    <n v="1"/>
    <n v="0"/>
    <n v="0"/>
    <n v="0"/>
    <n v="0"/>
    <n v="0"/>
    <x v="0"/>
  </r>
  <r>
    <x v="1"/>
    <x v="44"/>
    <n v="25"/>
    <n v="1"/>
    <n v="0"/>
    <n v="0"/>
    <n v="0"/>
    <n v="0"/>
    <n v="0"/>
    <x v="0"/>
  </r>
  <r>
    <x v="1"/>
    <x v="45"/>
    <n v="25"/>
    <n v="0"/>
    <n v="0"/>
    <n v="0"/>
    <n v="0"/>
    <n v="0"/>
    <n v="1"/>
    <x v="4"/>
  </r>
  <r>
    <x v="1"/>
    <x v="46"/>
    <n v="45"/>
    <n v="1"/>
    <n v="0"/>
    <n v="0"/>
    <n v="0"/>
    <n v="0"/>
    <n v="0"/>
    <x v="0"/>
  </r>
  <r>
    <x v="1"/>
    <x v="47"/>
    <n v="20"/>
    <n v="1"/>
    <n v="0"/>
    <n v="0"/>
    <n v="0"/>
    <n v="0"/>
    <n v="0"/>
    <x v="0"/>
  </r>
  <r>
    <x v="0"/>
    <x v="48"/>
    <n v="22"/>
    <n v="1"/>
    <n v="0"/>
    <n v="0"/>
    <n v="0"/>
    <n v="0"/>
    <n v="0"/>
    <x v="0"/>
  </r>
  <r>
    <x v="1"/>
    <x v="49"/>
    <n v="30"/>
    <n v="0"/>
    <n v="0"/>
    <n v="0"/>
    <n v="1"/>
    <n v="0"/>
    <n v="0"/>
    <x v="4"/>
  </r>
  <r>
    <x v="1"/>
    <x v="50"/>
    <n v="41"/>
    <n v="1"/>
    <n v="0"/>
    <n v="0"/>
    <n v="0"/>
    <n v="0"/>
    <n v="0"/>
    <x v="0"/>
  </r>
  <r>
    <x v="1"/>
    <x v="51"/>
    <n v="24"/>
    <n v="1"/>
    <n v="0"/>
    <n v="0"/>
    <n v="0"/>
    <n v="0"/>
    <n v="0"/>
    <x v="0"/>
  </r>
  <r>
    <x v="1"/>
    <x v="52"/>
    <n v="21"/>
    <n v="1"/>
    <n v="0"/>
    <n v="0"/>
    <n v="0"/>
    <n v="0"/>
    <n v="0"/>
    <x v="0"/>
  </r>
  <r>
    <x v="1"/>
    <x v="53"/>
    <n v="42"/>
    <n v="1"/>
    <n v="0"/>
    <n v="0"/>
    <n v="0"/>
    <n v="0"/>
    <n v="0"/>
    <x v="0"/>
  </r>
  <r>
    <x v="1"/>
    <x v="54"/>
    <n v="30"/>
    <n v="1"/>
    <n v="0"/>
    <n v="0"/>
    <n v="0"/>
    <n v="0"/>
    <n v="0"/>
    <x v="0"/>
  </r>
  <r>
    <x v="0"/>
    <x v="55"/>
    <n v="34"/>
    <n v="0"/>
    <n v="0"/>
    <n v="2"/>
    <n v="0"/>
    <n v="0"/>
    <n v="0"/>
    <x v="1"/>
  </r>
  <r>
    <x v="0"/>
    <x v="56"/>
    <n v="35"/>
    <n v="1"/>
    <n v="0"/>
    <n v="0"/>
    <n v="0"/>
    <n v="0"/>
    <n v="0"/>
    <x v="0"/>
  </r>
  <r>
    <x v="1"/>
    <x v="57"/>
    <n v="23"/>
    <n v="1"/>
    <n v="0"/>
    <n v="0"/>
    <n v="0"/>
    <n v="0"/>
    <n v="0"/>
    <x v="0"/>
  </r>
  <r>
    <x v="0"/>
    <x v="58"/>
    <n v="37"/>
    <n v="1"/>
    <n v="0"/>
    <n v="0"/>
    <n v="0"/>
    <n v="0"/>
    <n v="0"/>
    <x v="0"/>
  </r>
  <r>
    <x v="1"/>
    <x v="59"/>
    <n v="50"/>
    <n v="1"/>
    <n v="0"/>
    <n v="0"/>
    <n v="0"/>
    <n v="0"/>
    <n v="0"/>
    <x v="0"/>
  </r>
  <r>
    <x v="0"/>
    <x v="60"/>
    <n v="24"/>
    <n v="1"/>
    <n v="0"/>
    <n v="0"/>
    <n v="0"/>
    <n v="0"/>
    <n v="0"/>
    <x v="0"/>
  </r>
  <r>
    <x v="1"/>
    <x v="61"/>
    <n v="17"/>
    <n v="1"/>
    <n v="0"/>
    <n v="0"/>
    <n v="0"/>
    <n v="0"/>
    <n v="0"/>
    <x v="0"/>
  </r>
  <r>
    <x v="1"/>
    <x v="62"/>
    <n v="12"/>
    <n v="1"/>
    <n v="0"/>
    <n v="0"/>
    <n v="0"/>
    <n v="0"/>
    <n v="0"/>
    <x v="0"/>
  </r>
  <r>
    <x v="1"/>
    <x v="63"/>
    <n v="24"/>
    <n v="1"/>
    <n v="0"/>
    <n v="0"/>
    <n v="0"/>
    <n v="0"/>
    <n v="0"/>
    <x v="0"/>
  </r>
  <r>
    <x v="1"/>
    <x v="64"/>
    <n v="25"/>
    <n v="1"/>
    <n v="0"/>
    <n v="0"/>
    <n v="0"/>
    <n v="0"/>
    <n v="0"/>
    <x v="0"/>
  </r>
  <r>
    <x v="1"/>
    <x v="65"/>
    <n v="33"/>
    <n v="1"/>
    <n v="0"/>
    <n v="0"/>
    <n v="0"/>
    <n v="0"/>
    <n v="0"/>
    <x v="0"/>
  </r>
  <r>
    <x v="0"/>
    <x v="66"/>
    <n v="33"/>
    <n v="1"/>
    <n v="0"/>
    <n v="0"/>
    <n v="0"/>
    <n v="0"/>
    <n v="0"/>
    <x v="0"/>
  </r>
  <r>
    <x v="1"/>
    <x v="67"/>
    <n v="24"/>
    <n v="1"/>
    <n v="0"/>
    <n v="0"/>
    <n v="0"/>
    <n v="0"/>
    <n v="0"/>
    <x v="0"/>
  </r>
  <r>
    <x v="1"/>
    <x v="68"/>
    <n v="31"/>
    <n v="1"/>
    <n v="0"/>
    <n v="0"/>
    <n v="0"/>
    <n v="0"/>
    <n v="0"/>
    <x v="0"/>
  </r>
  <r>
    <x v="1"/>
    <x v="69"/>
    <n v="0"/>
    <n v="1"/>
    <n v="0"/>
    <n v="0"/>
    <n v="0"/>
    <n v="0"/>
    <n v="0"/>
    <x v="0"/>
  </r>
  <r>
    <x v="1"/>
    <x v="70"/>
    <n v="0"/>
    <n v="0"/>
    <n v="3"/>
    <n v="1"/>
    <n v="0"/>
    <n v="0"/>
    <n v="0"/>
    <x v="2"/>
  </r>
  <r>
    <x v="0"/>
    <x v="71"/>
    <n v="19"/>
    <n v="0"/>
    <n v="0"/>
    <n v="0"/>
    <n v="0"/>
    <n v="0"/>
    <n v="2"/>
    <x v="1"/>
  </r>
  <r>
    <x v="0"/>
    <x v="72"/>
    <n v="19"/>
    <n v="1"/>
    <n v="0"/>
    <n v="0"/>
    <n v="0"/>
    <n v="0"/>
    <n v="0"/>
    <x v="0"/>
  </r>
  <r>
    <x v="0"/>
    <x v="73"/>
    <n v="23"/>
    <n v="1"/>
    <n v="0"/>
    <n v="0"/>
    <n v="0"/>
    <n v="0"/>
    <n v="0"/>
    <x v="0"/>
  </r>
  <r>
    <x v="1"/>
    <x v="74"/>
    <n v="22"/>
    <n v="0"/>
    <n v="4"/>
    <n v="0"/>
    <n v="0"/>
    <n v="0"/>
    <n v="0"/>
    <x v="2"/>
  </r>
  <r>
    <x v="1"/>
    <x v="75"/>
    <n v="28"/>
    <n v="1"/>
    <n v="0"/>
    <n v="0"/>
    <n v="0"/>
    <n v="0"/>
    <n v="0"/>
    <x v="0"/>
  </r>
  <r>
    <x v="1"/>
    <x v="76"/>
    <n v="24"/>
    <n v="1"/>
    <n v="0"/>
    <n v="0"/>
    <n v="0"/>
    <n v="0"/>
    <n v="0"/>
    <x v="0"/>
  </r>
  <r>
    <x v="1"/>
    <x v="77"/>
    <n v="13"/>
    <n v="1"/>
    <n v="0"/>
    <n v="0"/>
    <n v="0"/>
    <n v="0"/>
    <n v="0"/>
    <x v="0"/>
  </r>
  <r>
    <x v="1"/>
    <x v="78"/>
    <n v="18"/>
    <n v="0"/>
    <n v="2"/>
    <n v="3"/>
    <n v="0"/>
    <n v="0"/>
    <n v="0"/>
    <x v="3"/>
  </r>
  <r>
    <x v="0"/>
    <x v="79"/>
    <n v="8"/>
    <n v="1"/>
    <n v="0"/>
    <n v="0"/>
    <n v="0"/>
    <n v="0"/>
    <n v="0"/>
    <x v="0"/>
  </r>
  <r>
    <x v="1"/>
    <x v="80"/>
    <n v="17"/>
    <n v="0"/>
    <n v="1"/>
    <n v="0"/>
    <n v="0"/>
    <n v="0"/>
    <n v="0"/>
    <x v="4"/>
  </r>
  <r>
    <x v="1"/>
    <x v="81"/>
    <n v="23"/>
    <n v="1"/>
    <n v="0"/>
    <n v="0"/>
    <n v="0"/>
    <n v="0"/>
    <n v="0"/>
    <x v="0"/>
  </r>
  <r>
    <x v="1"/>
    <x v="82"/>
    <n v="25"/>
    <n v="1"/>
    <n v="0"/>
    <n v="0"/>
    <n v="0"/>
    <n v="0"/>
    <n v="0"/>
    <x v="0"/>
  </r>
  <r>
    <x v="1"/>
    <x v="83"/>
    <n v="22"/>
    <n v="0"/>
    <n v="2"/>
    <n v="0"/>
    <n v="0"/>
    <n v="0"/>
    <n v="0"/>
    <x v="1"/>
  </r>
  <r>
    <x v="1"/>
    <x v="84"/>
    <n v="29"/>
    <n v="1"/>
    <n v="0"/>
    <n v="0"/>
    <n v="0"/>
    <n v="0"/>
    <n v="0"/>
    <x v="0"/>
  </r>
  <r>
    <x v="1"/>
    <x v="85"/>
    <n v="33"/>
    <n v="1"/>
    <n v="0"/>
    <n v="0"/>
    <n v="0"/>
    <n v="0"/>
    <n v="0"/>
    <x v="0"/>
  </r>
  <r>
    <x v="1"/>
    <x v="86"/>
    <n v="31"/>
    <n v="1"/>
    <n v="0"/>
    <n v="0"/>
    <n v="0"/>
    <n v="0"/>
    <n v="0"/>
    <x v="0"/>
  </r>
  <r>
    <x v="1"/>
    <x v="87"/>
    <n v="34"/>
    <n v="1"/>
    <n v="0"/>
    <n v="0"/>
    <n v="0"/>
    <n v="0"/>
    <n v="0"/>
    <x v="0"/>
  </r>
  <r>
    <x v="1"/>
    <x v="88"/>
    <n v="27"/>
    <n v="1"/>
    <n v="0"/>
    <n v="0"/>
    <n v="0"/>
    <n v="0"/>
    <n v="0"/>
    <x v="0"/>
  </r>
  <r>
    <x v="1"/>
    <x v="89"/>
    <n v="23"/>
    <n v="0"/>
    <n v="1"/>
    <n v="0"/>
    <n v="0"/>
    <n v="0"/>
    <n v="0"/>
    <x v="4"/>
  </r>
  <r>
    <x v="1"/>
    <x v="90"/>
    <n v="35"/>
    <n v="1"/>
    <n v="0"/>
    <n v="0"/>
    <n v="0"/>
    <n v="0"/>
    <n v="0"/>
    <x v="0"/>
  </r>
  <r>
    <x v="1"/>
    <x v="91"/>
    <n v="0"/>
    <n v="1"/>
    <n v="0"/>
    <n v="0"/>
    <n v="0"/>
    <n v="0"/>
    <n v="0"/>
    <x v="0"/>
  </r>
  <r>
    <x v="1"/>
    <x v="92"/>
    <n v="25"/>
    <n v="1"/>
    <n v="0"/>
    <n v="0"/>
    <n v="0"/>
    <n v="0"/>
    <n v="0"/>
    <x v="0"/>
  </r>
  <r>
    <x v="1"/>
    <x v="93"/>
    <n v="34"/>
    <n v="0"/>
    <n v="5"/>
    <n v="0"/>
    <n v="0"/>
    <n v="0"/>
    <n v="0"/>
    <x v="3"/>
  </r>
  <r>
    <x v="1"/>
    <x v="94"/>
    <n v="35"/>
    <n v="1"/>
    <n v="0"/>
    <n v="0"/>
    <n v="0"/>
    <n v="0"/>
    <n v="0"/>
    <x v="0"/>
  </r>
  <r>
    <x v="1"/>
    <x v="95"/>
    <n v="26"/>
    <n v="1"/>
    <n v="0"/>
    <n v="0"/>
    <n v="0"/>
    <n v="0"/>
    <n v="0"/>
    <x v="0"/>
  </r>
  <r>
    <x v="1"/>
    <x v="96"/>
    <n v="25"/>
    <n v="1"/>
    <n v="0"/>
    <n v="0"/>
    <n v="0"/>
    <n v="0"/>
    <n v="0"/>
    <x v="0"/>
  </r>
  <r>
    <x v="0"/>
    <x v="97"/>
    <n v="31"/>
    <n v="1"/>
    <n v="0"/>
    <n v="0"/>
    <n v="0"/>
    <n v="0"/>
    <n v="0"/>
    <x v="0"/>
  </r>
  <r>
    <x v="1"/>
    <x v="98"/>
    <n v="34"/>
    <n v="0"/>
    <n v="0"/>
    <n v="0"/>
    <n v="0"/>
    <n v="0"/>
    <n v="1"/>
    <x v="4"/>
  </r>
  <r>
    <x v="1"/>
    <x v="99"/>
    <n v="30"/>
    <n v="1"/>
    <n v="0"/>
    <n v="0"/>
    <n v="0"/>
    <n v="0"/>
    <n v="0"/>
    <x v="0"/>
  </r>
  <r>
    <x v="0"/>
    <x v="100"/>
    <n v="34"/>
    <n v="1"/>
    <n v="0"/>
    <n v="0"/>
    <n v="0"/>
    <n v="0"/>
    <n v="0"/>
    <x v="0"/>
  </r>
  <r>
    <x v="1"/>
    <x v="101"/>
    <n v="29"/>
    <n v="0"/>
    <n v="5"/>
    <n v="0"/>
    <n v="0"/>
    <n v="0"/>
    <n v="0"/>
    <x v="3"/>
  </r>
  <r>
    <x v="1"/>
    <x v="102"/>
    <n v="16"/>
    <n v="0"/>
    <n v="0"/>
    <n v="2"/>
    <n v="0"/>
    <n v="0"/>
    <n v="0"/>
    <x v="1"/>
  </r>
  <r>
    <x v="1"/>
    <x v="103"/>
    <n v="38"/>
    <n v="0"/>
    <n v="0"/>
    <n v="1"/>
    <n v="0"/>
    <n v="0"/>
    <n v="0"/>
    <x v="4"/>
  </r>
  <r>
    <x v="1"/>
    <x v="104"/>
    <n v="23"/>
    <n v="0"/>
    <n v="2"/>
    <n v="0"/>
    <n v="0"/>
    <n v="0"/>
    <n v="0"/>
    <x v="1"/>
  </r>
  <r>
    <x v="0"/>
    <x v="105"/>
    <n v="28"/>
    <n v="1"/>
    <n v="0"/>
    <n v="0"/>
    <n v="0"/>
    <n v="0"/>
    <n v="0"/>
    <x v="0"/>
  </r>
  <r>
    <x v="1"/>
    <x v="106"/>
    <n v="27"/>
    <n v="0"/>
    <n v="0"/>
    <n v="3"/>
    <n v="0"/>
    <n v="0"/>
    <n v="0"/>
    <x v="6"/>
  </r>
  <r>
    <x v="1"/>
    <x v="107"/>
    <n v="23"/>
    <n v="0"/>
    <n v="0"/>
    <n v="0"/>
    <n v="0"/>
    <n v="0"/>
    <n v="1"/>
    <x v="4"/>
  </r>
  <r>
    <x v="0"/>
    <x v="108"/>
    <n v="30"/>
    <n v="0"/>
    <n v="0"/>
    <n v="0"/>
    <n v="0"/>
    <n v="0"/>
    <n v="1"/>
    <x v="4"/>
  </r>
  <r>
    <x v="1"/>
    <x v="109"/>
    <n v="26"/>
    <n v="1"/>
    <n v="0"/>
    <n v="0"/>
    <n v="0"/>
    <n v="0"/>
    <n v="0"/>
    <x v="0"/>
  </r>
  <r>
    <x v="1"/>
    <x v="110"/>
    <n v="28"/>
    <n v="1"/>
    <n v="0"/>
    <n v="0"/>
    <n v="0"/>
    <n v="0"/>
    <n v="0"/>
    <x v="0"/>
  </r>
  <r>
    <x v="1"/>
    <x v="111"/>
    <n v="21"/>
    <n v="1"/>
    <n v="0"/>
    <n v="0"/>
    <n v="0"/>
    <n v="0"/>
    <n v="0"/>
    <x v="0"/>
  </r>
  <r>
    <x v="1"/>
    <x v="112"/>
    <n v="17"/>
    <n v="0"/>
    <n v="0"/>
    <n v="0"/>
    <n v="0"/>
    <n v="1"/>
    <n v="0"/>
    <x v="4"/>
  </r>
  <r>
    <x v="1"/>
    <x v="113"/>
    <n v="20"/>
    <n v="0"/>
    <n v="0"/>
    <n v="0"/>
    <n v="0"/>
    <n v="1"/>
    <n v="0"/>
    <x v="4"/>
  </r>
  <r>
    <x v="1"/>
    <x v="114"/>
    <n v="12"/>
    <n v="1"/>
    <n v="0"/>
    <n v="0"/>
    <n v="0"/>
    <n v="0"/>
    <n v="0"/>
    <x v="0"/>
  </r>
  <r>
    <x v="1"/>
    <x v="115"/>
    <n v="21"/>
    <n v="1"/>
    <n v="0"/>
    <n v="0"/>
    <n v="0"/>
    <n v="0"/>
    <n v="0"/>
    <x v="0"/>
  </r>
  <r>
    <x v="0"/>
    <x v="116"/>
    <n v="0"/>
    <n v="1"/>
    <n v="0"/>
    <n v="0"/>
    <n v="0"/>
    <n v="0"/>
    <n v="0"/>
    <x v="0"/>
  </r>
  <r>
    <x v="1"/>
    <x v="117"/>
    <n v="10"/>
    <n v="0"/>
    <n v="0"/>
    <n v="0"/>
    <n v="2"/>
    <n v="0"/>
    <n v="0"/>
    <x v="1"/>
  </r>
  <r>
    <x v="1"/>
    <x v="118"/>
    <n v="15"/>
    <n v="0"/>
    <n v="0"/>
    <n v="0"/>
    <n v="0"/>
    <n v="0"/>
    <n v="1"/>
    <x v="4"/>
  </r>
  <r>
    <x v="1"/>
    <x v="119"/>
    <n v="19"/>
    <n v="0"/>
    <n v="4"/>
    <n v="0"/>
    <n v="0"/>
    <n v="1"/>
    <n v="0"/>
    <x v="3"/>
  </r>
  <r>
    <x v="1"/>
    <x v="120"/>
    <n v="30"/>
    <n v="1"/>
    <n v="0"/>
    <n v="0"/>
    <n v="0"/>
    <n v="0"/>
    <n v="0"/>
    <x v="0"/>
  </r>
  <r>
    <x v="1"/>
    <x v="121"/>
    <n v="11"/>
    <n v="1"/>
    <n v="0"/>
    <n v="0"/>
    <n v="0"/>
    <n v="0"/>
    <n v="0"/>
    <x v="0"/>
  </r>
  <r>
    <x v="1"/>
    <x v="122"/>
    <n v="15"/>
    <n v="1"/>
    <n v="0"/>
    <n v="0"/>
    <n v="0"/>
    <n v="0"/>
    <n v="0"/>
    <x v="0"/>
  </r>
  <r>
    <x v="1"/>
    <x v="123"/>
    <n v="21"/>
    <n v="1"/>
    <n v="0"/>
    <n v="0"/>
    <n v="0"/>
    <n v="0"/>
    <n v="0"/>
    <x v="0"/>
  </r>
  <r>
    <x v="1"/>
    <x v="124"/>
    <n v="21"/>
    <n v="1"/>
    <n v="0"/>
    <n v="0"/>
    <n v="0"/>
    <n v="0"/>
    <n v="0"/>
    <x v="0"/>
  </r>
  <r>
    <x v="1"/>
    <x v="125"/>
    <n v="34"/>
    <n v="0"/>
    <n v="1"/>
    <n v="0"/>
    <n v="0"/>
    <n v="0"/>
    <n v="0"/>
    <x v="4"/>
  </r>
  <r>
    <x v="0"/>
    <x v="126"/>
    <n v="24"/>
    <n v="1"/>
    <n v="0"/>
    <n v="0"/>
    <n v="0"/>
    <n v="0"/>
    <n v="0"/>
    <x v="0"/>
  </r>
  <r>
    <x v="1"/>
    <x v="127"/>
    <n v="27"/>
    <n v="0"/>
    <n v="2"/>
    <n v="0"/>
    <n v="1"/>
    <n v="0"/>
    <n v="0"/>
    <x v="6"/>
  </r>
  <r>
    <x v="1"/>
    <x v="128"/>
    <n v="26"/>
    <n v="1"/>
    <n v="0"/>
    <n v="0"/>
    <n v="0"/>
    <n v="0"/>
    <n v="0"/>
    <x v="0"/>
  </r>
  <r>
    <x v="1"/>
    <x v="129"/>
    <n v="38"/>
    <n v="0"/>
    <n v="3"/>
    <n v="0"/>
    <n v="0"/>
    <n v="0"/>
    <n v="0"/>
    <x v="6"/>
  </r>
  <r>
    <x v="1"/>
    <x v="130"/>
    <n v="30"/>
    <n v="1"/>
    <n v="0"/>
    <n v="0"/>
    <n v="0"/>
    <n v="0"/>
    <n v="0"/>
    <x v="0"/>
  </r>
  <r>
    <x v="1"/>
    <x v="131"/>
    <n v="29"/>
    <n v="0"/>
    <n v="0"/>
    <n v="0"/>
    <n v="0"/>
    <n v="0"/>
    <n v="2"/>
    <x v="1"/>
  </r>
  <r>
    <x v="1"/>
    <x v="132"/>
    <n v="17"/>
    <n v="1"/>
    <n v="0"/>
    <n v="0"/>
    <n v="0"/>
    <n v="0"/>
    <n v="0"/>
    <x v="0"/>
  </r>
  <r>
    <x v="1"/>
    <x v="133"/>
    <n v="30"/>
    <n v="1"/>
    <n v="0"/>
    <n v="0"/>
    <n v="0"/>
    <n v="0"/>
    <n v="0"/>
    <x v="0"/>
  </r>
  <r>
    <x v="1"/>
    <x v="134"/>
    <n v="13"/>
    <n v="1"/>
    <n v="0"/>
    <n v="0"/>
    <n v="0"/>
    <n v="0"/>
    <n v="0"/>
    <x v="0"/>
  </r>
  <r>
    <x v="1"/>
    <x v="135"/>
    <n v="30"/>
    <n v="1"/>
    <n v="0"/>
    <n v="0"/>
    <n v="0"/>
    <n v="0"/>
    <n v="0"/>
    <x v="0"/>
  </r>
  <r>
    <x v="0"/>
    <x v="136"/>
    <n v="5"/>
    <n v="1"/>
    <n v="0"/>
    <n v="0"/>
    <n v="0"/>
    <n v="0"/>
    <n v="0"/>
    <x v="0"/>
  </r>
  <r>
    <x v="1"/>
    <x v="137"/>
    <n v="0"/>
    <n v="1"/>
    <n v="0"/>
    <n v="0"/>
    <n v="0"/>
    <n v="0"/>
    <n v="0"/>
    <x v="0"/>
  </r>
  <r>
    <x v="1"/>
    <x v="138"/>
    <n v="0"/>
    <n v="1"/>
    <n v="0"/>
    <n v="0"/>
    <n v="0"/>
    <n v="0"/>
    <n v="0"/>
    <x v="0"/>
  </r>
  <r>
    <x v="1"/>
    <x v="139"/>
    <n v="40"/>
    <n v="1"/>
    <n v="0"/>
    <n v="0"/>
    <n v="0"/>
    <n v="0"/>
    <n v="0"/>
    <x v="0"/>
  </r>
  <r>
    <x v="1"/>
    <x v="140"/>
    <n v="28"/>
    <n v="1"/>
    <n v="0"/>
    <n v="0"/>
    <n v="0"/>
    <n v="0"/>
    <n v="0"/>
    <x v="0"/>
  </r>
  <r>
    <x v="0"/>
    <x v="141"/>
    <n v="22"/>
    <n v="1"/>
    <n v="0"/>
    <n v="0"/>
    <n v="0"/>
    <n v="0"/>
    <n v="0"/>
    <x v="0"/>
  </r>
  <r>
    <x v="0"/>
    <x v="142"/>
    <n v="0"/>
    <n v="1"/>
    <n v="0"/>
    <n v="0"/>
    <n v="0"/>
    <n v="0"/>
    <n v="0"/>
    <x v="0"/>
  </r>
  <r>
    <x v="0"/>
    <x v="143"/>
    <n v="9"/>
    <n v="0"/>
    <n v="0"/>
    <n v="2"/>
    <n v="0"/>
    <n v="0"/>
    <n v="0"/>
    <x v="1"/>
  </r>
  <r>
    <x v="1"/>
    <x v="144"/>
    <n v="29"/>
    <n v="0"/>
    <n v="1"/>
    <n v="0"/>
    <n v="0"/>
    <n v="0"/>
    <n v="0"/>
    <x v="4"/>
  </r>
  <r>
    <x v="0"/>
    <x v="145"/>
    <n v="22"/>
    <n v="1"/>
    <n v="0"/>
    <n v="0"/>
    <n v="0"/>
    <n v="0"/>
    <n v="0"/>
    <x v="0"/>
  </r>
  <r>
    <x v="1"/>
    <x v="146"/>
    <n v="12"/>
    <n v="1"/>
    <n v="0"/>
    <n v="0"/>
    <n v="0"/>
    <n v="0"/>
    <n v="0"/>
    <x v="0"/>
  </r>
  <r>
    <x v="1"/>
    <x v="147"/>
    <n v="22"/>
    <n v="0"/>
    <n v="3"/>
    <n v="0"/>
    <n v="0"/>
    <n v="0"/>
    <n v="0"/>
    <x v="6"/>
  </r>
  <r>
    <x v="1"/>
    <x v="148"/>
    <n v="25"/>
    <n v="1"/>
    <n v="0"/>
    <n v="0"/>
    <n v="0"/>
    <n v="0"/>
    <n v="0"/>
    <x v="0"/>
  </r>
  <r>
    <x v="0"/>
    <x v="149"/>
    <n v="25"/>
    <n v="1"/>
    <n v="0"/>
    <n v="0"/>
    <n v="0"/>
    <n v="0"/>
    <n v="0"/>
    <x v="0"/>
  </r>
  <r>
    <x v="1"/>
    <x v="150"/>
    <n v="24"/>
    <n v="1"/>
    <n v="0"/>
    <n v="0"/>
    <n v="0"/>
    <n v="0"/>
    <n v="0"/>
    <x v="0"/>
  </r>
  <r>
    <x v="1"/>
    <x v="151"/>
    <n v="13"/>
    <n v="0"/>
    <n v="0"/>
    <n v="4"/>
    <n v="0"/>
    <n v="0"/>
    <n v="0"/>
    <x v="2"/>
  </r>
  <r>
    <x v="1"/>
    <x v="152"/>
    <n v="19"/>
    <n v="1"/>
    <n v="0"/>
    <n v="0"/>
    <n v="0"/>
    <n v="0"/>
    <n v="0"/>
    <x v="0"/>
  </r>
  <r>
    <x v="1"/>
    <x v="153"/>
    <n v="18"/>
    <n v="1"/>
    <n v="0"/>
    <n v="0"/>
    <n v="0"/>
    <n v="0"/>
    <n v="0"/>
    <x v="0"/>
  </r>
  <r>
    <x v="0"/>
    <x v="154"/>
    <n v="27"/>
    <n v="1"/>
    <n v="0"/>
    <n v="0"/>
    <n v="0"/>
    <n v="0"/>
    <n v="0"/>
    <x v="0"/>
  </r>
  <r>
    <x v="1"/>
    <x v="155"/>
    <n v="40"/>
    <n v="1"/>
    <n v="0"/>
    <n v="0"/>
    <n v="0"/>
    <n v="0"/>
    <n v="0"/>
    <x v="0"/>
  </r>
  <r>
    <x v="0"/>
    <x v="156"/>
    <n v="25"/>
    <n v="1"/>
    <n v="0"/>
    <n v="0"/>
    <n v="0"/>
    <n v="0"/>
    <n v="0"/>
    <x v="0"/>
  </r>
  <r>
    <x v="1"/>
    <x v="157"/>
    <n v="27"/>
    <n v="1"/>
    <n v="0"/>
    <n v="0"/>
    <n v="0"/>
    <n v="0"/>
    <n v="0"/>
    <x v="0"/>
  </r>
  <r>
    <x v="1"/>
    <x v="158"/>
    <n v="39"/>
    <n v="0"/>
    <n v="0"/>
    <n v="4"/>
    <n v="0"/>
    <n v="0"/>
    <n v="0"/>
    <x v="2"/>
  </r>
  <r>
    <x v="0"/>
    <x v="159"/>
    <n v="23"/>
    <n v="1"/>
    <n v="0"/>
    <n v="0"/>
    <n v="0"/>
    <n v="0"/>
    <n v="0"/>
    <x v="0"/>
  </r>
  <r>
    <x v="0"/>
    <x v="160"/>
    <n v="36"/>
    <n v="1"/>
    <n v="0"/>
    <n v="0"/>
    <n v="0"/>
    <n v="0"/>
    <n v="0"/>
    <x v="0"/>
  </r>
  <r>
    <x v="1"/>
    <x v="161"/>
    <n v="15"/>
    <n v="1"/>
    <n v="0"/>
    <n v="0"/>
    <n v="0"/>
    <n v="0"/>
    <n v="0"/>
    <x v="0"/>
  </r>
  <r>
    <x v="1"/>
    <x v="162"/>
    <n v="14"/>
    <n v="1"/>
    <n v="0"/>
    <n v="0"/>
    <n v="0"/>
    <n v="0"/>
    <n v="0"/>
    <x v="0"/>
  </r>
  <r>
    <x v="0"/>
    <x v="163"/>
    <n v="33"/>
    <n v="1"/>
    <n v="0"/>
    <n v="0"/>
    <n v="0"/>
    <n v="0"/>
    <n v="0"/>
    <x v="0"/>
  </r>
  <r>
    <x v="1"/>
    <x v="164"/>
    <n v="23"/>
    <n v="1"/>
    <n v="0"/>
    <n v="0"/>
    <n v="0"/>
    <n v="0"/>
    <n v="0"/>
    <x v="0"/>
  </r>
  <r>
    <x v="1"/>
    <x v="165"/>
    <n v="23"/>
    <n v="1"/>
    <n v="0"/>
    <n v="0"/>
    <n v="0"/>
    <n v="0"/>
    <n v="0"/>
    <x v="0"/>
  </r>
  <r>
    <x v="1"/>
    <x v="166"/>
    <n v="21"/>
    <n v="0"/>
    <n v="4"/>
    <n v="0"/>
    <n v="0"/>
    <n v="0"/>
    <n v="0"/>
    <x v="2"/>
  </r>
  <r>
    <x v="1"/>
    <x v="167"/>
    <n v="24"/>
    <n v="0"/>
    <n v="1"/>
    <n v="0"/>
    <n v="0"/>
    <n v="0"/>
    <n v="0"/>
    <x v="4"/>
  </r>
  <r>
    <x v="0"/>
    <x v="168"/>
    <n v="0"/>
    <n v="1"/>
    <n v="0"/>
    <n v="0"/>
    <n v="0"/>
    <n v="0"/>
    <n v="0"/>
    <x v="0"/>
  </r>
  <r>
    <x v="1"/>
    <x v="169"/>
    <n v="21"/>
    <n v="1"/>
    <n v="0"/>
    <n v="0"/>
    <n v="0"/>
    <n v="0"/>
    <n v="0"/>
    <x v="0"/>
  </r>
  <r>
    <x v="1"/>
    <x v="170"/>
    <n v="24"/>
    <n v="1"/>
    <n v="0"/>
    <n v="0"/>
    <n v="0"/>
    <n v="0"/>
    <n v="0"/>
    <x v="0"/>
  </r>
  <r>
    <x v="0"/>
    <x v="171"/>
    <n v="29"/>
    <n v="1"/>
    <n v="0"/>
    <n v="0"/>
    <n v="0"/>
    <n v="0"/>
    <n v="0"/>
    <x v="0"/>
  </r>
  <r>
    <x v="1"/>
    <x v="172"/>
    <n v="0"/>
    <n v="1"/>
    <n v="0"/>
    <n v="0"/>
    <n v="0"/>
    <n v="0"/>
    <n v="0"/>
    <x v="0"/>
  </r>
  <r>
    <x v="1"/>
    <x v="173"/>
    <n v="39"/>
    <n v="0"/>
    <n v="0"/>
    <n v="0"/>
    <n v="2"/>
    <n v="0"/>
    <n v="0"/>
    <x v="1"/>
  </r>
  <r>
    <x v="0"/>
    <x v="174"/>
    <n v="16"/>
    <n v="1"/>
    <n v="0"/>
    <n v="0"/>
    <n v="0"/>
    <n v="0"/>
    <n v="0"/>
    <x v="0"/>
  </r>
  <r>
    <x v="1"/>
    <x v="175"/>
    <n v="35"/>
    <n v="1"/>
    <n v="0"/>
    <n v="0"/>
    <n v="0"/>
    <n v="0"/>
    <n v="0"/>
    <x v="0"/>
  </r>
  <r>
    <x v="1"/>
    <x v="176"/>
    <n v="4"/>
    <n v="1"/>
    <n v="0"/>
    <n v="0"/>
    <n v="0"/>
    <n v="0"/>
    <n v="0"/>
    <x v="0"/>
  </r>
  <r>
    <x v="1"/>
    <x v="177"/>
    <n v="25"/>
    <n v="1"/>
    <n v="0"/>
    <n v="0"/>
    <n v="0"/>
    <n v="0"/>
    <n v="0"/>
    <x v="0"/>
  </r>
  <r>
    <x v="0"/>
    <x v="178"/>
    <n v="37"/>
    <n v="1"/>
    <n v="0"/>
    <n v="0"/>
    <n v="0"/>
    <n v="0"/>
    <n v="0"/>
    <x v="0"/>
  </r>
  <r>
    <x v="0"/>
    <x v="179"/>
    <n v="24"/>
    <n v="1"/>
    <n v="0"/>
    <n v="0"/>
    <n v="0"/>
    <n v="0"/>
    <n v="0"/>
    <x v="0"/>
  </r>
  <r>
    <x v="1"/>
    <x v="180"/>
    <n v="39"/>
    <n v="0"/>
    <n v="0"/>
    <n v="0"/>
    <n v="0"/>
    <n v="0"/>
    <n v="1"/>
    <x v="4"/>
  </r>
  <r>
    <x v="0"/>
    <x v="181"/>
    <n v="29"/>
    <n v="1"/>
    <n v="0"/>
    <n v="0"/>
    <n v="0"/>
    <n v="0"/>
    <n v="0"/>
    <x v="0"/>
  </r>
  <r>
    <x v="0"/>
    <x v="182"/>
    <n v="19"/>
    <n v="1"/>
    <n v="0"/>
    <n v="0"/>
    <n v="0"/>
    <n v="0"/>
    <n v="0"/>
    <x v="0"/>
  </r>
  <r>
    <x v="1"/>
    <x v="183"/>
    <n v="37"/>
    <n v="0"/>
    <n v="0"/>
    <n v="0"/>
    <n v="0"/>
    <n v="0"/>
    <n v="2"/>
    <x v="1"/>
  </r>
  <r>
    <x v="1"/>
    <x v="184"/>
    <n v="29"/>
    <n v="0"/>
    <n v="3"/>
    <n v="0"/>
    <n v="0"/>
    <n v="0"/>
    <n v="0"/>
    <x v="6"/>
  </r>
  <r>
    <x v="1"/>
    <x v="185"/>
    <n v="32"/>
    <n v="1"/>
    <n v="0"/>
    <n v="0"/>
    <n v="0"/>
    <n v="0"/>
    <n v="0"/>
    <x v="0"/>
  </r>
  <r>
    <x v="1"/>
    <x v="186"/>
    <n v="27"/>
    <n v="1"/>
    <n v="0"/>
    <n v="0"/>
    <n v="0"/>
    <n v="0"/>
    <n v="0"/>
    <x v="0"/>
  </r>
  <r>
    <x v="1"/>
    <x v="187"/>
    <n v="33"/>
    <n v="0"/>
    <n v="0"/>
    <n v="4"/>
    <n v="0"/>
    <n v="0"/>
    <n v="0"/>
    <x v="2"/>
  </r>
  <r>
    <x v="0"/>
    <x v="188"/>
    <n v="36"/>
    <n v="1"/>
    <n v="0"/>
    <n v="0"/>
    <n v="0"/>
    <n v="0"/>
    <n v="0"/>
    <x v="0"/>
  </r>
  <r>
    <x v="1"/>
    <x v="189"/>
    <n v="24"/>
    <n v="1"/>
    <n v="0"/>
    <n v="0"/>
    <n v="0"/>
    <n v="0"/>
    <n v="0"/>
    <x v="0"/>
  </r>
  <r>
    <x v="1"/>
    <x v="190"/>
    <n v="21"/>
    <n v="1"/>
    <n v="0"/>
    <n v="0"/>
    <n v="0"/>
    <n v="0"/>
    <n v="0"/>
    <x v="0"/>
  </r>
  <r>
    <x v="0"/>
    <x v="191"/>
    <n v="24"/>
    <n v="1"/>
    <n v="0"/>
    <n v="0"/>
    <n v="0"/>
    <n v="0"/>
    <n v="0"/>
    <x v="0"/>
  </r>
  <r>
    <x v="1"/>
    <x v="192"/>
    <n v="23"/>
    <n v="1"/>
    <n v="0"/>
    <n v="0"/>
    <n v="0"/>
    <n v="0"/>
    <n v="0"/>
    <x v="0"/>
  </r>
  <r>
    <x v="1"/>
    <x v="193"/>
    <n v="0"/>
    <n v="1"/>
    <n v="0"/>
    <n v="0"/>
    <n v="0"/>
    <n v="0"/>
    <n v="0"/>
    <x v="0"/>
  </r>
  <r>
    <x v="1"/>
    <x v="194"/>
    <n v="17"/>
    <n v="1"/>
    <n v="0"/>
    <n v="0"/>
    <n v="0"/>
    <n v="0"/>
    <n v="0"/>
    <x v="0"/>
  </r>
  <r>
    <x v="0"/>
    <x v="195"/>
    <n v="29"/>
    <n v="0"/>
    <n v="0"/>
    <n v="0"/>
    <n v="0"/>
    <n v="0"/>
    <n v="2"/>
    <x v="1"/>
  </r>
  <r>
    <x v="0"/>
    <x v="196"/>
    <n v="37"/>
    <n v="1"/>
    <n v="0"/>
    <n v="0"/>
    <n v="0"/>
    <n v="0"/>
    <n v="0"/>
    <x v="0"/>
  </r>
  <r>
    <x v="1"/>
    <x v="197"/>
    <n v="23"/>
    <n v="0"/>
    <n v="5"/>
    <n v="0"/>
    <n v="0"/>
    <n v="0"/>
    <n v="0"/>
    <x v="3"/>
  </r>
  <r>
    <x v="1"/>
    <x v="198"/>
    <n v="22"/>
    <n v="1"/>
    <n v="0"/>
    <n v="0"/>
    <n v="0"/>
    <n v="0"/>
    <n v="0"/>
    <x v="0"/>
  </r>
  <r>
    <x v="1"/>
    <x v="199"/>
    <n v="34"/>
    <n v="1"/>
    <n v="0"/>
    <n v="0"/>
    <n v="0"/>
    <n v="0"/>
    <n v="0"/>
    <x v="0"/>
  </r>
  <r>
    <x v="1"/>
    <x v="200"/>
    <n v="25"/>
    <n v="1"/>
    <n v="0"/>
    <n v="0"/>
    <n v="0"/>
    <n v="0"/>
    <n v="0"/>
    <x v="0"/>
  </r>
  <r>
    <x v="1"/>
    <x v="201"/>
    <n v="15"/>
    <n v="0"/>
    <n v="0"/>
    <n v="5"/>
    <n v="0"/>
    <n v="0"/>
    <n v="0"/>
    <x v="3"/>
  </r>
  <r>
    <x v="1"/>
    <x v="202"/>
    <n v="18"/>
    <n v="1"/>
    <n v="0"/>
    <n v="0"/>
    <n v="0"/>
    <n v="0"/>
    <n v="0"/>
    <x v="0"/>
  </r>
  <r>
    <x v="1"/>
    <x v="203"/>
    <n v="23"/>
    <n v="0"/>
    <n v="0"/>
    <n v="1"/>
    <n v="0"/>
    <n v="0"/>
    <n v="0"/>
    <x v="4"/>
  </r>
  <r>
    <x v="1"/>
    <x v="204"/>
    <n v="21"/>
    <n v="1"/>
    <n v="0"/>
    <n v="0"/>
    <n v="0"/>
    <n v="0"/>
    <n v="0"/>
    <x v="0"/>
  </r>
  <r>
    <x v="1"/>
    <x v="205"/>
    <n v="35"/>
    <n v="0"/>
    <n v="0"/>
    <n v="0"/>
    <n v="2"/>
    <n v="0"/>
    <n v="0"/>
    <x v="1"/>
  </r>
  <r>
    <x v="1"/>
    <x v="206"/>
    <n v="0"/>
    <n v="1"/>
    <n v="0"/>
    <n v="0"/>
    <n v="0"/>
    <n v="0"/>
    <n v="0"/>
    <x v="0"/>
  </r>
  <r>
    <x v="1"/>
    <x v="207"/>
    <n v="23"/>
    <n v="1"/>
    <n v="0"/>
    <n v="0"/>
    <n v="0"/>
    <n v="0"/>
    <n v="0"/>
    <x v="0"/>
  </r>
  <r>
    <x v="0"/>
    <x v="208"/>
    <n v="23"/>
    <n v="1"/>
    <n v="0"/>
    <n v="0"/>
    <n v="0"/>
    <n v="0"/>
    <n v="0"/>
    <x v="0"/>
  </r>
  <r>
    <x v="1"/>
    <x v="209"/>
    <n v="0"/>
    <n v="1"/>
    <n v="0"/>
    <n v="0"/>
    <n v="0"/>
    <n v="0"/>
    <n v="0"/>
    <x v="0"/>
  </r>
  <r>
    <x v="1"/>
    <x v="210"/>
    <n v="31"/>
    <n v="1"/>
    <n v="0"/>
    <n v="0"/>
    <n v="0"/>
    <n v="0"/>
    <n v="0"/>
    <x v="0"/>
  </r>
  <r>
    <x v="1"/>
    <x v="211"/>
    <n v="28"/>
    <n v="1"/>
    <n v="0"/>
    <n v="0"/>
    <n v="0"/>
    <n v="0"/>
    <n v="0"/>
    <x v="0"/>
  </r>
  <r>
    <x v="1"/>
    <x v="212"/>
    <n v="31"/>
    <n v="0"/>
    <n v="5"/>
    <n v="0"/>
    <n v="0"/>
    <n v="0"/>
    <n v="0"/>
    <x v="3"/>
  </r>
  <r>
    <x v="0"/>
    <x v="213"/>
    <n v="36"/>
    <n v="1"/>
    <n v="0"/>
    <n v="0"/>
    <n v="0"/>
    <n v="0"/>
    <n v="0"/>
    <x v="0"/>
  </r>
  <r>
    <x v="1"/>
    <x v="214"/>
    <n v="28"/>
    <n v="1"/>
    <n v="0"/>
    <n v="0"/>
    <n v="0"/>
    <n v="0"/>
    <n v="0"/>
    <x v="0"/>
  </r>
  <r>
    <x v="1"/>
    <x v="215"/>
    <n v="23"/>
    <n v="1"/>
    <n v="0"/>
    <n v="0"/>
    <n v="0"/>
    <n v="0"/>
    <n v="0"/>
    <x v="0"/>
  </r>
  <r>
    <x v="1"/>
    <x v="216"/>
    <n v="45"/>
    <n v="1"/>
    <n v="0"/>
    <n v="0"/>
    <n v="0"/>
    <n v="0"/>
    <n v="0"/>
    <x v="0"/>
  </r>
  <r>
    <x v="1"/>
    <x v="217"/>
    <n v="29"/>
    <n v="1"/>
    <n v="0"/>
    <n v="0"/>
    <n v="0"/>
    <n v="0"/>
    <n v="0"/>
    <x v="0"/>
  </r>
  <r>
    <x v="1"/>
    <x v="218"/>
    <n v="27"/>
    <n v="0"/>
    <n v="0"/>
    <n v="1"/>
    <n v="0"/>
    <n v="0"/>
    <n v="0"/>
    <x v="4"/>
  </r>
  <r>
    <x v="1"/>
    <x v="219"/>
    <n v="11"/>
    <n v="1"/>
    <n v="0"/>
    <n v="0"/>
    <n v="0"/>
    <n v="0"/>
    <n v="0"/>
    <x v="0"/>
  </r>
  <r>
    <x v="0"/>
    <x v="220"/>
    <n v="16"/>
    <n v="0"/>
    <n v="0"/>
    <n v="0"/>
    <n v="0"/>
    <n v="0"/>
    <n v="2"/>
    <x v="1"/>
  </r>
  <r>
    <x v="0"/>
    <x v="221"/>
    <n v="0"/>
    <n v="1"/>
    <n v="0"/>
    <n v="0"/>
    <n v="0"/>
    <n v="0"/>
    <n v="0"/>
    <x v="0"/>
  </r>
  <r>
    <x v="1"/>
    <x v="222"/>
    <n v="34"/>
    <n v="1"/>
    <n v="0"/>
    <n v="0"/>
    <n v="0"/>
    <n v="0"/>
    <n v="0"/>
    <x v="0"/>
  </r>
  <r>
    <x v="0"/>
    <x v="223"/>
    <n v="22"/>
    <n v="1"/>
    <n v="0"/>
    <n v="0"/>
    <n v="0"/>
    <n v="0"/>
    <n v="0"/>
    <x v="0"/>
  </r>
  <r>
    <x v="0"/>
    <x v="224"/>
    <n v="13"/>
    <n v="0"/>
    <n v="1"/>
    <n v="0"/>
    <n v="0"/>
    <n v="0"/>
    <n v="0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n v="2"/>
  </r>
  <r>
    <x v="1"/>
    <n v="3"/>
  </r>
  <r>
    <x v="2"/>
    <n v="3"/>
  </r>
  <r>
    <x v="3"/>
    <n v="4"/>
  </r>
  <r>
    <x v="4"/>
    <n v="4"/>
  </r>
  <r>
    <x v="5"/>
    <n v="4"/>
  </r>
  <r>
    <x v="6"/>
    <n v="5"/>
  </r>
  <r>
    <x v="7"/>
    <n v="5"/>
  </r>
  <r>
    <x v="8"/>
    <n v="5"/>
  </r>
  <r>
    <x v="9"/>
    <n v="5"/>
  </r>
  <r>
    <x v="10"/>
    <n v="6"/>
  </r>
  <r>
    <x v="11"/>
    <n v="6"/>
  </r>
  <r>
    <x v="12"/>
    <n v="6"/>
  </r>
  <r>
    <x v="13"/>
    <n v="6"/>
  </r>
  <r>
    <x v="14"/>
    <n v="6"/>
  </r>
  <r>
    <x v="15"/>
    <n v="7"/>
  </r>
  <r>
    <x v="16"/>
    <n v="7"/>
  </r>
  <r>
    <x v="17"/>
    <n v="7"/>
  </r>
  <r>
    <x v="18"/>
    <n v="7"/>
  </r>
  <r>
    <x v="19"/>
    <n v="8"/>
  </r>
  <r>
    <x v="20"/>
    <n v="8"/>
  </r>
  <r>
    <x v="21"/>
    <n v="8"/>
  </r>
  <r>
    <x v="22"/>
    <n v="8"/>
  </r>
  <r>
    <x v="23"/>
    <n v="8"/>
  </r>
  <r>
    <x v="24"/>
    <n v="9"/>
  </r>
  <r>
    <x v="25"/>
    <n v="9"/>
  </r>
  <r>
    <x v="26"/>
    <n v="9"/>
  </r>
  <r>
    <x v="27"/>
    <n v="9"/>
  </r>
  <r>
    <x v="28"/>
    <n v="9"/>
  </r>
  <r>
    <x v="29"/>
    <n v="9"/>
  </r>
  <r>
    <x v="30"/>
    <n v="9"/>
  </r>
  <r>
    <x v="31"/>
    <n v="9"/>
  </r>
  <r>
    <x v="32"/>
    <n v="9"/>
  </r>
  <r>
    <x v="33"/>
    <n v="9"/>
  </r>
  <r>
    <x v="34"/>
    <n v="9"/>
  </r>
  <r>
    <x v="35"/>
    <n v="9"/>
  </r>
  <r>
    <x v="36"/>
    <n v="10"/>
  </r>
  <r>
    <x v="37"/>
    <n v="10"/>
  </r>
  <r>
    <x v="38"/>
    <n v="10"/>
  </r>
  <r>
    <x v="39"/>
    <n v="10"/>
  </r>
  <r>
    <x v="40"/>
    <n v="10"/>
  </r>
  <r>
    <x v="41"/>
    <n v="10"/>
  </r>
  <r>
    <x v="42"/>
    <n v="11"/>
  </r>
  <r>
    <x v="43"/>
    <n v="11"/>
  </r>
  <r>
    <x v="44"/>
    <n v="11"/>
  </r>
  <r>
    <x v="45"/>
    <n v="11"/>
  </r>
  <r>
    <x v="46"/>
    <n v="11"/>
  </r>
  <r>
    <x v="47"/>
    <n v="11"/>
  </r>
  <r>
    <x v="48"/>
    <n v="11"/>
  </r>
  <r>
    <x v="49"/>
    <n v="11"/>
  </r>
  <r>
    <x v="50"/>
    <n v="11"/>
  </r>
  <r>
    <x v="51"/>
    <n v="12"/>
  </r>
  <r>
    <x v="52"/>
    <n v="12"/>
  </r>
  <r>
    <x v="53"/>
    <n v="12"/>
  </r>
  <r>
    <x v="54"/>
    <n v="12"/>
  </r>
  <r>
    <x v="55"/>
    <n v="12"/>
  </r>
  <r>
    <x v="56"/>
    <n v="12"/>
  </r>
  <r>
    <x v="57"/>
    <n v="12"/>
  </r>
  <r>
    <x v="58"/>
    <n v="12"/>
  </r>
  <r>
    <x v="59"/>
    <n v="12"/>
  </r>
  <r>
    <x v="60"/>
    <n v="12"/>
  </r>
  <r>
    <x v="61"/>
    <n v="12"/>
  </r>
  <r>
    <x v="62"/>
    <n v="12"/>
  </r>
  <r>
    <x v="63"/>
    <n v="12"/>
  </r>
  <r>
    <x v="64"/>
    <n v="12"/>
  </r>
  <r>
    <x v="65"/>
    <n v="13"/>
  </r>
  <r>
    <x v="66"/>
    <n v="13"/>
  </r>
  <r>
    <x v="67"/>
    <n v="13"/>
  </r>
  <r>
    <x v="68"/>
    <n v="13"/>
  </r>
  <r>
    <x v="69"/>
    <n v="13"/>
  </r>
  <r>
    <x v="70"/>
    <n v="13"/>
  </r>
  <r>
    <x v="71"/>
    <n v="13"/>
  </r>
  <r>
    <x v="72"/>
    <n v="13"/>
  </r>
  <r>
    <x v="73"/>
    <n v="13"/>
  </r>
  <r>
    <x v="74"/>
    <n v="13"/>
  </r>
  <r>
    <x v="75"/>
    <n v="13"/>
  </r>
  <r>
    <x v="76"/>
    <n v="13"/>
  </r>
  <r>
    <x v="77"/>
    <n v="13"/>
  </r>
  <r>
    <x v="78"/>
    <n v="13"/>
  </r>
  <r>
    <x v="79"/>
    <n v="13"/>
  </r>
  <r>
    <x v="80"/>
    <n v="13"/>
  </r>
  <r>
    <x v="81"/>
    <n v="14"/>
  </r>
  <r>
    <x v="82"/>
    <n v="14"/>
  </r>
  <r>
    <x v="83"/>
    <n v="14"/>
  </r>
  <r>
    <x v="84"/>
    <n v="14"/>
  </r>
  <r>
    <x v="85"/>
    <n v="14"/>
  </r>
  <r>
    <x v="86"/>
    <n v="14"/>
  </r>
  <r>
    <x v="87"/>
    <n v="14"/>
  </r>
  <r>
    <x v="88"/>
    <n v="14"/>
  </r>
  <r>
    <x v="89"/>
    <n v="14"/>
  </r>
  <r>
    <x v="90"/>
    <n v="14"/>
  </r>
  <r>
    <x v="91"/>
    <n v="14"/>
  </r>
  <r>
    <x v="92"/>
    <n v="14"/>
  </r>
  <r>
    <x v="93"/>
    <n v="14"/>
  </r>
  <r>
    <x v="94"/>
    <n v="15"/>
  </r>
  <r>
    <x v="95"/>
    <n v="15"/>
  </r>
  <r>
    <x v="96"/>
    <n v="15"/>
  </r>
  <r>
    <x v="97"/>
    <n v="15"/>
  </r>
  <r>
    <x v="98"/>
    <n v="15"/>
  </r>
  <r>
    <x v="99"/>
    <n v="15"/>
  </r>
  <r>
    <x v="100"/>
    <n v="15"/>
  </r>
  <r>
    <x v="101"/>
    <n v="15"/>
  </r>
  <r>
    <x v="102"/>
    <n v="15"/>
  </r>
  <r>
    <x v="103"/>
    <n v="15"/>
  </r>
  <r>
    <x v="104"/>
    <n v="15"/>
  </r>
  <r>
    <x v="105"/>
    <n v="15"/>
  </r>
  <r>
    <x v="106"/>
    <n v="15"/>
  </r>
  <r>
    <x v="107"/>
    <n v="15"/>
  </r>
  <r>
    <x v="108"/>
    <n v="15"/>
  </r>
  <r>
    <x v="109"/>
    <n v="16"/>
  </r>
  <r>
    <x v="110"/>
    <n v="16"/>
  </r>
  <r>
    <x v="111"/>
    <n v="16"/>
  </r>
  <r>
    <x v="112"/>
    <n v="16"/>
  </r>
  <r>
    <x v="113"/>
    <n v="16"/>
  </r>
  <r>
    <x v="114"/>
    <n v="16"/>
  </r>
  <r>
    <x v="115"/>
    <n v="16"/>
  </r>
  <r>
    <x v="116"/>
    <n v="17"/>
  </r>
  <r>
    <x v="117"/>
    <n v="17"/>
  </r>
  <r>
    <x v="118"/>
    <n v="17"/>
  </r>
  <r>
    <x v="119"/>
    <n v="17"/>
  </r>
  <r>
    <x v="120"/>
    <n v="17"/>
  </r>
  <r>
    <x v="121"/>
    <n v="17"/>
  </r>
  <r>
    <x v="122"/>
    <n v="17"/>
  </r>
  <r>
    <x v="123"/>
    <n v="17"/>
  </r>
  <r>
    <x v="124"/>
    <n v="17"/>
  </r>
  <r>
    <x v="125"/>
    <n v="17"/>
  </r>
  <r>
    <x v="126"/>
    <n v="17"/>
  </r>
  <r>
    <x v="127"/>
    <n v="17"/>
  </r>
  <r>
    <x v="128"/>
    <n v="18"/>
  </r>
  <r>
    <x v="129"/>
    <n v="18"/>
  </r>
  <r>
    <x v="130"/>
    <n v="18"/>
  </r>
  <r>
    <x v="131"/>
    <n v="18"/>
  </r>
  <r>
    <x v="132"/>
    <n v="18"/>
  </r>
  <r>
    <x v="133"/>
    <n v="18"/>
  </r>
  <r>
    <x v="134"/>
    <n v="18"/>
  </r>
  <r>
    <x v="135"/>
    <n v="19"/>
  </r>
  <r>
    <x v="136"/>
    <n v="19"/>
  </r>
  <r>
    <x v="137"/>
    <n v="19"/>
  </r>
  <r>
    <x v="138"/>
    <n v="20"/>
  </r>
  <r>
    <x v="139"/>
    <n v="20"/>
  </r>
  <r>
    <x v="140"/>
    <n v="20"/>
  </r>
  <r>
    <x v="141"/>
    <n v="21"/>
  </r>
  <r>
    <x v="142"/>
    <n v="21"/>
  </r>
  <r>
    <x v="143"/>
    <n v="21"/>
  </r>
  <r>
    <x v="144"/>
    <n v="21"/>
  </r>
  <r>
    <x v="145"/>
    <n v="22"/>
  </r>
  <r>
    <x v="146"/>
    <n v="23"/>
  </r>
  <r>
    <x v="147"/>
    <n v="28"/>
  </r>
  <r>
    <x v="148"/>
    <n v="28"/>
  </r>
  <r>
    <x v="149"/>
    <n v="3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0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0FAA6-3112-4EFF-A6F5-C3AC8212B6BB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C5:E14" firstHeaderRow="0" firstDataRow="1" firstDataCol="1"/>
  <pivotFields count="10">
    <pivotField showAll="0"/>
    <pivotField axis="axisRow" dataField="1" numFmtId="165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'employés" fld="1" subtotal="count" baseField="1" baseItem="0"/>
    <dataField name="Pourcentage d'employés" fld="1" subtotal="count" showDataAs="percentOfTotal" baseField="1" baseItem="0" numFmtId="1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405BB-4F05-4125-8A57-4212CC7FC5EC}" name="Tableau croisé dynamique7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B2:F3" firstHeaderRow="0" firstDataRow="1" firstDataCol="0"/>
  <pivotFields count="5"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e de 1 - Attitude négative" fld="0" baseField="0" baseItem="0" numFmtId="1"/>
    <dataField name="Somme de 2 - Refus de l'autorité" fld="1" baseField="0" baseItem="0" numFmtId="1"/>
    <dataField name="Somme de 3 - Bris intentionnels" fld="2" baseField="0" baseItem="0" numFmtId="1"/>
    <dataField name="Somme de 4 - Agression" fld="3" baseField="0" baseItem="0" numFmtId="1"/>
    <dataField name="Somme de 5 - Harcèlement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B8515-BC4D-4EF7-880E-D6B147404425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C6" firstHeaderRow="0" firstDataRow="1" firstDataCol="1"/>
  <pivotFields count="10">
    <pivotField axis="axisRow" compact="0" outline="0" showAll="0">
      <items count="3">
        <item x="0"/>
        <item x="1"/>
        <item t="default"/>
      </items>
    </pivotField>
    <pivotField compact="0" numFmtId="165" outline="0" showAll="0"/>
    <pivotField compact="0" numFmtId="1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outline="0" showAll="0">
      <items count="8">
        <item x="0"/>
        <item x="4"/>
        <item x="1"/>
        <item x="6"/>
        <item x="2"/>
        <item x="3"/>
        <item x="5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0 - Aucun" fld="3" subtotal="count" baseField="0" baseItem="0"/>
    <dataField name="Somme de Total des actes de rébellio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E10A4-02FE-4373-8106-510085B05B03}" name="Tableau croisé dynamique3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B2:D10" firstHeaderRow="0" firstDataRow="1" firstDataCol="1"/>
  <pivotFields count="2">
    <pivotField axis="axisRow" dataField="1" compact="0" numFmtId="167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Salaire" fld="0" subtotal="count" baseField="0" baseItem="0"/>
    <dataField name="Nombre de Salaire2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76E09-5553-480C-8C61-8F9E36363AC0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6" firstHeaderRow="0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Conformité de la pièce" fld="0" subtotal="count" baseField="0" baseItem="0"/>
    <dataField name="Nombre de Conformité de la pièce2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4DAD-E867-4898-922A-049DD5A9B379}">
  <dimension ref="B5:L58"/>
  <sheetViews>
    <sheetView tabSelected="1" topLeftCell="A37" zoomScale="71" zoomScaleNormal="239" workbookViewId="0">
      <selection activeCell="F66" sqref="F66"/>
    </sheetView>
  </sheetViews>
  <sheetFormatPr baseColWidth="10" defaultColWidth="11.3984375" defaultRowHeight="13" x14ac:dyDescent="0.3"/>
  <cols>
    <col min="3" max="3" width="31.59765625" bestFit="1" customWidth="1"/>
    <col min="4" max="4" width="28.69921875" style="46" customWidth="1"/>
    <col min="5" max="5" width="34.09765625" customWidth="1"/>
    <col min="8" max="8" width="11.09765625" customWidth="1"/>
    <col min="9" max="9" width="13.296875" customWidth="1"/>
    <col min="10" max="10" width="14.09765625" customWidth="1"/>
  </cols>
  <sheetData>
    <row r="5" spans="3:5" ht="21" x14ac:dyDescent="0.5">
      <c r="C5" s="42" t="s">
        <v>0</v>
      </c>
      <c r="D5" s="45" t="s">
        <v>1</v>
      </c>
      <c r="E5" s="41" t="s">
        <v>2</v>
      </c>
    </row>
    <row r="6" spans="3:5" ht="21" x14ac:dyDescent="0.5">
      <c r="C6" s="43" t="s">
        <v>3</v>
      </c>
      <c r="D6" s="45">
        <v>3</v>
      </c>
      <c r="E6" s="44">
        <v>1.3333333333333334E-2</v>
      </c>
    </row>
    <row r="7" spans="3:5" ht="21" x14ac:dyDescent="0.5">
      <c r="C7" s="43" t="s">
        <v>4</v>
      </c>
      <c r="D7" s="45">
        <v>23</v>
      </c>
      <c r="E7" s="44">
        <v>0.10222222222222223</v>
      </c>
    </row>
    <row r="8" spans="3:5" ht="21" x14ac:dyDescent="0.5">
      <c r="C8" s="43" t="s">
        <v>5</v>
      </c>
      <c r="D8" s="45">
        <v>38</v>
      </c>
      <c r="E8" s="44">
        <v>0.16888888888888889</v>
      </c>
    </row>
    <row r="9" spans="3:5" ht="21" x14ac:dyDescent="0.5">
      <c r="C9" s="43" t="s">
        <v>6</v>
      </c>
      <c r="D9" s="45">
        <v>76</v>
      </c>
      <c r="E9" s="44">
        <v>0.33777777777777779</v>
      </c>
    </row>
    <row r="10" spans="3:5" ht="21" x14ac:dyDescent="0.5">
      <c r="C10" s="43" t="s">
        <v>7</v>
      </c>
      <c r="D10" s="45">
        <v>54</v>
      </c>
      <c r="E10" s="44">
        <v>0.24</v>
      </c>
    </row>
    <row r="11" spans="3:5" ht="21" x14ac:dyDescent="0.5">
      <c r="C11" s="43" t="s">
        <v>8</v>
      </c>
      <c r="D11" s="45">
        <v>22</v>
      </c>
      <c r="E11" s="44">
        <v>9.7777777777777783E-2</v>
      </c>
    </row>
    <row r="12" spans="3:5" ht="21" x14ac:dyDescent="0.5">
      <c r="C12" s="43" t="s">
        <v>9</v>
      </c>
      <c r="D12" s="45">
        <v>8</v>
      </c>
      <c r="E12" s="44">
        <v>3.5555555555555556E-2</v>
      </c>
    </row>
    <row r="13" spans="3:5" ht="21" x14ac:dyDescent="0.5">
      <c r="C13" s="43" t="s">
        <v>10</v>
      </c>
      <c r="D13" s="45">
        <v>1</v>
      </c>
      <c r="E13" s="44">
        <v>4.4444444444444444E-3</v>
      </c>
    </row>
    <row r="14" spans="3:5" ht="21" x14ac:dyDescent="0.5">
      <c r="C14" s="43" t="s">
        <v>11</v>
      </c>
      <c r="D14" s="45">
        <v>225</v>
      </c>
      <c r="E14" s="44">
        <v>1</v>
      </c>
    </row>
    <row r="16" spans="3:5" ht="1.5" customHeight="1" x14ac:dyDescent="0.3"/>
    <row r="17" spans="2:7" hidden="1" x14ac:dyDescent="0.3">
      <c r="C17" s="46"/>
      <c r="E17" s="47"/>
    </row>
    <row r="18" spans="2:7" ht="27" customHeight="1" x14ac:dyDescent="0.35">
      <c r="C18" s="149" t="s">
        <v>12</v>
      </c>
      <c r="D18" s="149"/>
      <c r="E18" s="149"/>
    </row>
    <row r="19" spans="2:7" ht="7.5" customHeight="1" x14ac:dyDescent="0.5">
      <c r="B19" s="41"/>
      <c r="C19" s="41"/>
      <c r="D19" s="45"/>
      <c r="E19" s="41"/>
      <c r="F19" s="41"/>
      <c r="G19" s="41"/>
    </row>
    <row r="20" spans="2:7" ht="21" x14ac:dyDescent="0.5">
      <c r="B20" s="41"/>
      <c r="C20" s="99" t="s">
        <v>13</v>
      </c>
      <c r="D20" s="99" t="s">
        <v>1</v>
      </c>
      <c r="E20" s="99" t="s">
        <v>2</v>
      </c>
      <c r="F20" s="55"/>
      <c r="G20" s="56"/>
    </row>
    <row r="21" spans="2:7" ht="21" x14ac:dyDescent="0.5">
      <c r="B21" s="41"/>
      <c r="C21" s="59" t="s">
        <v>189</v>
      </c>
      <c r="D21" s="59">
        <v>3</v>
      </c>
      <c r="E21" s="60">
        <f t="shared" ref="E21:E29" si="0">D21/$D$29</f>
        <v>1.3333333333333334E-2</v>
      </c>
      <c r="F21" s="44">
        <f>E21</f>
        <v>1.3333333333333334E-2</v>
      </c>
      <c r="G21" s="41"/>
    </row>
    <row r="22" spans="2:7" ht="21" x14ac:dyDescent="0.5">
      <c r="B22" s="41"/>
      <c r="C22" s="59" t="s">
        <v>190</v>
      </c>
      <c r="D22" s="59">
        <v>23</v>
      </c>
      <c r="E22" s="60">
        <f t="shared" si="0"/>
        <v>0.10222222222222223</v>
      </c>
      <c r="F22" s="44">
        <f>F21+E22</f>
        <v>0.11555555555555556</v>
      </c>
      <c r="G22" s="41"/>
    </row>
    <row r="23" spans="2:7" ht="21" x14ac:dyDescent="0.5">
      <c r="B23" s="41"/>
      <c r="C23" s="59" t="s">
        <v>191</v>
      </c>
      <c r="D23" s="59">
        <v>38</v>
      </c>
      <c r="E23" s="60">
        <f t="shared" si="0"/>
        <v>0.16888888888888889</v>
      </c>
      <c r="F23" s="44">
        <f>F22+E23</f>
        <v>0.28444444444444444</v>
      </c>
      <c r="G23" s="41"/>
    </row>
    <row r="24" spans="2:7" ht="21" x14ac:dyDescent="0.5">
      <c r="B24" s="41"/>
      <c r="C24" s="59" t="s">
        <v>192</v>
      </c>
      <c r="D24" s="59">
        <v>76</v>
      </c>
      <c r="E24" s="60">
        <f t="shared" si="0"/>
        <v>0.33777777777777779</v>
      </c>
      <c r="F24" s="44">
        <f>F23+E24</f>
        <v>0.62222222222222223</v>
      </c>
      <c r="G24" s="41"/>
    </row>
    <row r="25" spans="2:7" ht="21" x14ac:dyDescent="0.5">
      <c r="B25" s="41"/>
      <c r="C25" s="59" t="s">
        <v>193</v>
      </c>
      <c r="D25" s="59">
        <v>54</v>
      </c>
      <c r="E25" s="60">
        <f t="shared" si="0"/>
        <v>0.24</v>
      </c>
      <c r="F25" s="44">
        <f>F24+E25</f>
        <v>0.86222222222222222</v>
      </c>
      <c r="G25" s="41"/>
    </row>
    <row r="26" spans="2:7" ht="21" x14ac:dyDescent="0.5">
      <c r="B26" s="41"/>
      <c r="C26" s="59" t="s">
        <v>194</v>
      </c>
      <c r="D26" s="59">
        <v>22</v>
      </c>
      <c r="E26" s="60">
        <f t="shared" si="0"/>
        <v>9.7777777777777783E-2</v>
      </c>
      <c r="F26" s="44">
        <f>F25+E26</f>
        <v>0.96</v>
      </c>
      <c r="G26" s="41"/>
    </row>
    <row r="27" spans="2:7" ht="21" x14ac:dyDescent="0.5">
      <c r="B27" s="41"/>
      <c r="C27" s="59" t="s">
        <v>195</v>
      </c>
      <c r="D27" s="59">
        <v>8</v>
      </c>
      <c r="E27" s="60">
        <f t="shared" si="0"/>
        <v>3.5555555555555556E-2</v>
      </c>
      <c r="F27" s="44">
        <f>F26+E27</f>
        <v>0.99555555555555553</v>
      </c>
      <c r="G27" s="41"/>
    </row>
    <row r="28" spans="2:7" ht="21.5" thickBot="1" x14ac:dyDescent="0.55000000000000004">
      <c r="B28" s="41"/>
      <c r="C28" s="61" t="s">
        <v>196</v>
      </c>
      <c r="D28" s="61">
        <v>1</v>
      </c>
      <c r="E28" s="62">
        <f t="shared" si="0"/>
        <v>4.4444444444444444E-3</v>
      </c>
      <c r="F28" s="44">
        <f>F27+E28</f>
        <v>1</v>
      </c>
      <c r="G28" s="41"/>
    </row>
    <row r="29" spans="2:7" ht="21.5" thickBot="1" x14ac:dyDescent="0.55000000000000004">
      <c r="B29" s="41"/>
      <c r="C29" s="90" t="s">
        <v>14</v>
      </c>
      <c r="D29" s="91">
        <f>SUM(D21:D28)</f>
        <v>225</v>
      </c>
      <c r="E29" s="92">
        <f t="shared" si="0"/>
        <v>1</v>
      </c>
      <c r="F29" s="41"/>
      <c r="G29" s="41"/>
    </row>
    <row r="30" spans="2:7" ht="35.15" customHeight="1" x14ac:dyDescent="0.3"/>
    <row r="39" spans="9:12" x14ac:dyDescent="0.3">
      <c r="J39" s="46"/>
    </row>
    <row r="40" spans="9:12" ht="18.5" x14ac:dyDescent="0.45">
      <c r="I40" s="52"/>
      <c r="J40" s="53"/>
    </row>
    <row r="41" spans="9:12" x14ac:dyDescent="0.3">
      <c r="I41" s="150"/>
      <c r="J41" s="150"/>
      <c r="K41" s="150"/>
    </row>
    <row r="42" spans="9:12" x14ac:dyDescent="0.3">
      <c r="J42" s="51"/>
      <c r="K42" s="48"/>
      <c r="L42" s="48"/>
    </row>
    <row r="43" spans="9:12" x14ac:dyDescent="0.3">
      <c r="J43" s="150"/>
      <c r="K43" s="150"/>
    </row>
    <row r="44" spans="9:12" x14ac:dyDescent="0.3">
      <c r="J44" s="54"/>
    </row>
    <row r="45" spans="9:12" x14ac:dyDescent="0.3">
      <c r="J45" s="150"/>
      <c r="K45" s="150"/>
    </row>
    <row r="55" spans="3:7" ht="18.5" x14ac:dyDescent="0.45">
      <c r="C55" s="57" t="s">
        <v>15</v>
      </c>
      <c r="D55" s="53">
        <f>AVERAGE('Abus inc.'!B5:B229)</f>
        <v>12.580914666666665</v>
      </c>
      <c r="E55" s="57" t="s">
        <v>16</v>
      </c>
    </row>
    <row r="56" spans="3:7" ht="18.5" x14ac:dyDescent="0.45">
      <c r="C56" s="57" t="s">
        <v>17</v>
      </c>
      <c r="D56" s="53">
        <f>_xlfn.STDEV.S('Abus inc.'!B5:B229)</f>
        <v>3.8349052458619344</v>
      </c>
      <c r="E56" s="57" t="s">
        <v>16</v>
      </c>
    </row>
    <row r="57" spans="3:7" ht="18.5" x14ac:dyDescent="0.45">
      <c r="C57" s="57" t="s">
        <v>18</v>
      </c>
      <c r="D57" s="58">
        <f>(D56/D55)</f>
        <v>0.30481927168797807</v>
      </c>
      <c r="E57" s="57"/>
    </row>
    <row r="58" spans="3:7" ht="18.5" x14ac:dyDescent="0.45">
      <c r="C58" s="57" t="s">
        <v>19</v>
      </c>
      <c r="D58" s="53">
        <f>MEDIAN('Abus inc.'!B5:B229)</f>
        <v>12.577199999999999</v>
      </c>
      <c r="E58" s="57" t="s">
        <v>16</v>
      </c>
      <c r="G58" s="48"/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mergeCells count="4">
    <mergeCell ref="C18:E18"/>
    <mergeCell ref="I41:K41"/>
    <mergeCell ref="J43:K43"/>
    <mergeCell ref="J45:K45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CCCE-0470-4A8F-B6D3-ECF0A931436D}">
  <dimension ref="A2:G14"/>
  <sheetViews>
    <sheetView topLeftCell="A2" workbookViewId="0">
      <selection activeCell="F25" sqref="F25"/>
    </sheetView>
  </sheetViews>
  <sheetFormatPr baseColWidth="10" defaultColWidth="11.3984375" defaultRowHeight="13" x14ac:dyDescent="0.3"/>
  <cols>
    <col min="1" max="1" width="25.69921875" bestFit="1" customWidth="1"/>
    <col min="2" max="2" width="27.69921875" bestFit="1" customWidth="1"/>
    <col min="3" max="3" width="28.59765625" bestFit="1" customWidth="1"/>
    <col min="4" max="4" width="27.8984375" bestFit="1" customWidth="1"/>
    <col min="5" max="5" width="21.09765625" bestFit="1" customWidth="1"/>
    <col min="6" max="6" width="23.69921875" bestFit="1" customWidth="1"/>
  </cols>
  <sheetData>
    <row r="2" spans="1:7" x14ac:dyDescent="0.3">
      <c r="B2" t="s">
        <v>20</v>
      </c>
      <c r="C2" t="s">
        <v>21</v>
      </c>
      <c r="D2" t="s">
        <v>22</v>
      </c>
      <c r="E2" t="s">
        <v>23</v>
      </c>
      <c r="F2" t="s">
        <v>24</v>
      </c>
    </row>
    <row r="3" spans="1:7" x14ac:dyDescent="0.3">
      <c r="A3" s="56" t="s">
        <v>1</v>
      </c>
      <c r="B3" s="54">
        <v>76</v>
      </c>
      <c r="C3" s="54">
        <v>35</v>
      </c>
      <c r="D3" s="54">
        <v>11</v>
      </c>
      <c r="E3" s="54">
        <v>3</v>
      </c>
      <c r="F3" s="54">
        <v>21</v>
      </c>
    </row>
    <row r="4" spans="1:7" x14ac:dyDescent="0.3">
      <c r="B4" s="63"/>
      <c r="C4" s="63"/>
      <c r="D4" s="63"/>
      <c r="E4" s="63"/>
      <c r="F4" s="63"/>
      <c r="G4" s="63"/>
    </row>
    <row r="6" spans="1:7" x14ac:dyDescent="0.3">
      <c r="B6" s="151" t="s">
        <v>25</v>
      </c>
      <c r="C6" s="151"/>
      <c r="D6" s="151"/>
      <c r="E6" s="56"/>
    </row>
    <row r="8" spans="1:7" x14ac:dyDescent="0.3">
      <c r="B8" s="49" t="s">
        <v>26</v>
      </c>
      <c r="C8" s="49" t="s">
        <v>27</v>
      </c>
      <c r="D8" s="49" t="s">
        <v>28</v>
      </c>
    </row>
    <row r="9" spans="1:7" x14ac:dyDescent="0.3">
      <c r="B9" s="50" t="str">
        <f>'Abus inc.'!E4</f>
        <v>1 - Attitude négative</v>
      </c>
      <c r="C9" s="64">
        <f>B3</f>
        <v>76</v>
      </c>
      <c r="D9" s="65">
        <f t="shared" ref="D9:D14" si="0">C9/$C$14</f>
        <v>0.52054794520547942</v>
      </c>
    </row>
    <row r="10" spans="1:7" x14ac:dyDescent="0.3">
      <c r="B10" s="50" t="str">
        <f>'Abus inc.'!F4</f>
        <v>2 - Refus de l'autorité</v>
      </c>
      <c r="C10" s="64">
        <f>C3</f>
        <v>35</v>
      </c>
      <c r="D10" s="65">
        <f t="shared" si="0"/>
        <v>0.23972602739726026</v>
      </c>
    </row>
    <row r="11" spans="1:7" x14ac:dyDescent="0.3">
      <c r="B11" s="50" t="str">
        <f>'Abus inc.'!G4</f>
        <v>3 - Bris intentionnels</v>
      </c>
      <c r="C11" s="64">
        <f>D3</f>
        <v>11</v>
      </c>
      <c r="D11" s="65">
        <f t="shared" si="0"/>
        <v>7.5342465753424653E-2</v>
      </c>
    </row>
    <row r="12" spans="1:7" x14ac:dyDescent="0.3">
      <c r="B12" s="50" t="str">
        <f>'Abus inc.'!H4</f>
        <v>4 - Agression</v>
      </c>
      <c r="C12" s="64">
        <f>E3</f>
        <v>3</v>
      </c>
      <c r="D12" s="65">
        <f t="shared" si="0"/>
        <v>2.0547945205479451E-2</v>
      </c>
    </row>
    <row r="13" spans="1:7" x14ac:dyDescent="0.3">
      <c r="B13" s="50" t="str">
        <f>'Abus inc.'!I4</f>
        <v>5 - Harcèlement</v>
      </c>
      <c r="C13" s="64">
        <f>F3</f>
        <v>21</v>
      </c>
      <c r="D13" s="65">
        <f t="shared" si="0"/>
        <v>0.14383561643835616</v>
      </c>
    </row>
    <row r="14" spans="1:7" x14ac:dyDescent="0.3">
      <c r="B14" s="66" t="s">
        <v>29</v>
      </c>
      <c r="C14" s="67">
        <f>SUM(C9:C13)</f>
        <v>146</v>
      </c>
      <c r="D14" s="68">
        <f t="shared" si="0"/>
        <v>1</v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mergeCells count="1">
    <mergeCell ref="B6:D6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7AF4-DAFA-4580-BB21-7A33EFF454CA}">
  <dimension ref="A3:I35"/>
  <sheetViews>
    <sheetView workbookViewId="0">
      <selection activeCell="I16" sqref="I16"/>
    </sheetView>
  </sheetViews>
  <sheetFormatPr baseColWidth="10" defaultColWidth="11.3984375" defaultRowHeight="13" x14ac:dyDescent="0.3"/>
  <cols>
    <col min="3" max="3" width="13" customWidth="1"/>
    <col min="4" max="4" width="3" bestFit="1" customWidth="1"/>
  </cols>
  <sheetData>
    <row r="3" spans="1:9" x14ac:dyDescent="0.3">
      <c r="A3" s="151" t="s">
        <v>30</v>
      </c>
      <c r="B3" s="151"/>
      <c r="C3" s="151"/>
      <c r="D3" s="69" t="s">
        <v>31</v>
      </c>
      <c r="E3" s="84">
        <f>CORREL('Abus inc.'!B5:B229,'Abus inc.'!C5:C229)</f>
        <v>-0.72563130053597968</v>
      </c>
      <c r="F3">
        <f>ABS(E3)</f>
        <v>0.72563130053597968</v>
      </c>
    </row>
    <row r="4" spans="1:9" x14ac:dyDescent="0.3">
      <c r="A4" s="46"/>
      <c r="B4" s="46"/>
      <c r="C4" s="46"/>
      <c r="D4" s="69"/>
      <c r="E4" s="84"/>
    </row>
    <row r="5" spans="1:9" ht="15.5" x14ac:dyDescent="0.35">
      <c r="A5" s="152"/>
      <c r="B5" s="152"/>
      <c r="C5" s="152"/>
      <c r="D5" s="152"/>
      <c r="E5" s="152"/>
      <c r="F5" s="152"/>
      <c r="G5" s="152"/>
      <c r="H5" s="152"/>
      <c r="I5" s="152"/>
    </row>
    <row r="24" spans="1:8" x14ac:dyDescent="0.3">
      <c r="A24" s="56" t="s">
        <v>32</v>
      </c>
      <c r="G24" s="86">
        <f>FORECAST(20.55,'Abus inc.'!C5:C229,'Abus inc.'!B5:B229)</f>
        <v>8.4489421358804435</v>
      </c>
      <c r="H24" t="s">
        <v>33</v>
      </c>
    </row>
    <row r="26" spans="1:8" x14ac:dyDescent="0.3">
      <c r="A26" s="56" t="s">
        <v>34</v>
      </c>
      <c r="G26" s="86">
        <f>FORECAST(42,'Abus inc.'!C5:C229,'Abus inc.'!B5:B229)</f>
        <v>-32.763088787120218</v>
      </c>
      <c r="H26" t="s">
        <v>197</v>
      </c>
    </row>
    <row r="29" spans="1:8" x14ac:dyDescent="0.3">
      <c r="A29" s="56" t="s">
        <v>35</v>
      </c>
      <c r="B29" s="56"/>
      <c r="E29" s="83">
        <f>SLOPE('Abus inc.'!C5:C229,'Abus inc.'!B5:B229)</f>
        <v>-1.9213068029370939</v>
      </c>
    </row>
    <row r="33" spans="1:6" x14ac:dyDescent="0.3">
      <c r="A33" s="56" t="s">
        <v>36</v>
      </c>
      <c r="B33" s="56"/>
      <c r="C33" s="56"/>
      <c r="D33" s="56"/>
      <c r="E33" s="93">
        <f>RSQ('Abus inc.'!C5:C229,'Abus inc.'!B5:B229)</f>
        <v>0.52654078431753715</v>
      </c>
      <c r="F33" s="87"/>
    </row>
    <row r="35" spans="1:6" x14ac:dyDescent="0.3">
      <c r="A35" s="151"/>
      <c r="B35" s="151"/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mergeCells count="3">
    <mergeCell ref="A3:C3"/>
    <mergeCell ref="A5:I5"/>
    <mergeCell ref="A35:B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66C0-4443-41C7-BC75-A2EB004BED83}">
  <dimension ref="A3:I50"/>
  <sheetViews>
    <sheetView topLeftCell="A34" workbookViewId="0">
      <selection activeCell="B46" sqref="B46"/>
    </sheetView>
  </sheetViews>
  <sheetFormatPr baseColWidth="10" defaultColWidth="8.8984375" defaultRowHeight="13" x14ac:dyDescent="0.3"/>
  <cols>
    <col min="1" max="1" width="23.69921875" bestFit="1" customWidth="1"/>
    <col min="2" max="2" width="18.8984375" bestFit="1" customWidth="1"/>
    <col min="3" max="3" width="33.69921875" bestFit="1" customWidth="1"/>
    <col min="4" max="4" width="31.3984375" bestFit="1" customWidth="1"/>
  </cols>
  <sheetData>
    <row r="3" spans="1:9" x14ac:dyDescent="0.3">
      <c r="A3" s="72" t="s">
        <v>37</v>
      </c>
      <c r="B3" t="s">
        <v>38</v>
      </c>
      <c r="C3" t="s">
        <v>39</v>
      </c>
    </row>
    <row r="4" spans="1:9" x14ac:dyDescent="0.3">
      <c r="A4" t="s">
        <v>40</v>
      </c>
      <c r="B4">
        <v>61</v>
      </c>
      <c r="C4">
        <v>16</v>
      </c>
    </row>
    <row r="5" spans="1:9" x14ac:dyDescent="0.3">
      <c r="A5" t="s">
        <v>41</v>
      </c>
      <c r="B5">
        <v>164</v>
      </c>
      <c r="C5">
        <v>130</v>
      </c>
    </row>
    <row r="6" spans="1:9" x14ac:dyDescent="0.3">
      <c r="A6" t="s">
        <v>11</v>
      </c>
      <c r="B6">
        <v>225</v>
      </c>
      <c r="C6">
        <v>146</v>
      </c>
    </row>
    <row r="9" spans="1:9" x14ac:dyDescent="0.3">
      <c r="A9" s="153" t="s">
        <v>42</v>
      </c>
      <c r="B9" s="153"/>
      <c r="C9" s="153"/>
    </row>
    <row r="10" spans="1:9" x14ac:dyDescent="0.3">
      <c r="I10" s="70"/>
    </row>
    <row r="11" spans="1:9" x14ac:dyDescent="0.3">
      <c r="A11" s="74" t="s">
        <v>37</v>
      </c>
      <c r="B11" s="74" t="s">
        <v>43</v>
      </c>
      <c r="C11" s="74" t="s">
        <v>44</v>
      </c>
      <c r="D11" s="79" t="s">
        <v>29</v>
      </c>
    </row>
    <row r="12" spans="1:9" x14ac:dyDescent="0.3">
      <c r="A12" s="73" t="s">
        <v>40</v>
      </c>
      <c r="B12" s="73">
        <v>52</v>
      </c>
      <c r="C12" s="80">
        <v>9</v>
      </c>
      <c r="D12" s="82">
        <f>SUM(B12:C12)</f>
        <v>61</v>
      </c>
      <c r="I12" s="70"/>
    </row>
    <row r="13" spans="1:9" x14ac:dyDescent="0.3">
      <c r="A13" s="73" t="s">
        <v>41</v>
      </c>
      <c r="B13" s="73">
        <v>115</v>
      </c>
      <c r="C13" s="80">
        <v>49</v>
      </c>
      <c r="D13" s="82">
        <f>SUM(B13:C13)</f>
        <v>164</v>
      </c>
    </row>
    <row r="14" spans="1:9" x14ac:dyDescent="0.3">
      <c r="A14" s="74" t="s">
        <v>11</v>
      </c>
      <c r="B14" s="74">
        <f>SUM(B12:B13)</f>
        <v>167</v>
      </c>
      <c r="C14" s="81">
        <f>SUM(C12:C13)</f>
        <v>58</v>
      </c>
      <c r="D14" s="85">
        <f>SUM(B14:C14)</f>
        <v>225</v>
      </c>
    </row>
    <row r="18" spans="1:3" x14ac:dyDescent="0.3">
      <c r="A18" s="151" t="s">
        <v>45</v>
      </c>
      <c r="B18" s="151"/>
    </row>
    <row r="19" spans="1:3" x14ac:dyDescent="0.3">
      <c r="A19" t="s">
        <v>46</v>
      </c>
      <c r="B19" t="s">
        <v>47</v>
      </c>
    </row>
    <row r="20" spans="1:3" x14ac:dyDescent="0.3">
      <c r="A20" t="s">
        <v>48</v>
      </c>
      <c r="B20" t="s">
        <v>49</v>
      </c>
    </row>
    <row r="23" spans="1:3" x14ac:dyDescent="0.3">
      <c r="A23" s="151" t="s">
        <v>50</v>
      </c>
      <c r="B23" s="151"/>
    </row>
    <row r="25" spans="1:3" x14ac:dyDescent="0.3">
      <c r="A25" s="74" t="s">
        <v>37</v>
      </c>
      <c r="B25" s="74" t="s">
        <v>43</v>
      </c>
      <c r="C25" s="74" t="s">
        <v>44</v>
      </c>
    </row>
    <row r="26" spans="1:3" x14ac:dyDescent="0.3">
      <c r="A26" s="73" t="s">
        <v>40</v>
      </c>
      <c r="B26" s="76">
        <f>(D12*B14)/D14</f>
        <v>45.275555555555556</v>
      </c>
      <c r="C26" s="76">
        <f>(D12*C14)/D14</f>
        <v>15.724444444444444</v>
      </c>
    </row>
    <row r="27" spans="1:3" x14ac:dyDescent="0.3">
      <c r="A27" s="73" t="s">
        <v>41</v>
      </c>
      <c r="B27" s="76">
        <f>(D13*B14)/D14</f>
        <v>121.72444444444444</v>
      </c>
      <c r="C27" s="76">
        <f>(D13*C14)/D14</f>
        <v>42.275555555555556</v>
      </c>
    </row>
    <row r="29" spans="1:3" x14ac:dyDescent="0.3">
      <c r="A29" s="151" t="s">
        <v>51</v>
      </c>
      <c r="B29" s="151"/>
      <c r="C29" s="151"/>
    </row>
    <row r="31" spans="1:3" x14ac:dyDescent="0.3">
      <c r="B31" s="56" t="s">
        <v>52</v>
      </c>
    </row>
    <row r="33" spans="1:4" x14ac:dyDescent="0.3">
      <c r="A33" s="56"/>
      <c r="B33" s="56"/>
    </row>
    <row r="35" spans="1:4" ht="14" x14ac:dyDescent="0.3">
      <c r="A35" s="77" t="s">
        <v>53</v>
      </c>
    </row>
    <row r="36" spans="1:4" ht="16" customHeight="1" x14ac:dyDescent="0.35">
      <c r="A36" s="94" t="s">
        <v>54</v>
      </c>
      <c r="B36" s="94" t="s">
        <v>55</v>
      </c>
      <c r="C36" s="94" t="s">
        <v>56</v>
      </c>
      <c r="D36" s="94" t="s">
        <v>57</v>
      </c>
    </row>
    <row r="37" spans="1:4" ht="23.5" customHeight="1" x14ac:dyDescent="0.3">
      <c r="A37" s="78" t="s">
        <v>58</v>
      </c>
      <c r="B37">
        <f>B12</f>
        <v>52</v>
      </c>
      <c r="C37" s="48">
        <f>B26</f>
        <v>45.275555555555556</v>
      </c>
      <c r="D37" s="75">
        <f>(B37-C37)^2/C37</f>
        <v>0.99873215317997865</v>
      </c>
    </row>
    <row r="38" spans="1:4" ht="32.5" customHeight="1" x14ac:dyDescent="0.3">
      <c r="A38" s="78" t="s">
        <v>59</v>
      </c>
      <c r="B38">
        <f>B13</f>
        <v>115</v>
      </c>
      <c r="C38" s="48">
        <f>B27</f>
        <v>121.72444444444444</v>
      </c>
      <c r="D38" s="75">
        <f>(B38-C38)^2/C38</f>
        <v>0.37147964234133357</v>
      </c>
    </row>
    <row r="39" spans="1:4" ht="28.5" customHeight="1" x14ac:dyDescent="0.3">
      <c r="A39" s="78" t="s">
        <v>60</v>
      </c>
      <c r="B39">
        <f>C12</f>
        <v>9</v>
      </c>
      <c r="C39" s="48">
        <f>C26</f>
        <v>15.724444444444444</v>
      </c>
      <c r="D39" s="75">
        <f>(B39-C39)^2/C39</f>
        <v>2.8756598203630421</v>
      </c>
    </row>
    <row r="40" spans="1:4" ht="25.5" customHeight="1" x14ac:dyDescent="0.3">
      <c r="A40" s="78" t="s">
        <v>61</v>
      </c>
      <c r="B40">
        <f>C13</f>
        <v>49</v>
      </c>
      <c r="C40" s="48">
        <f>C27</f>
        <v>42.275555555555556</v>
      </c>
      <c r="D40" s="75">
        <f>(B40-C40)^2/C40</f>
        <v>1.0696051770862534</v>
      </c>
    </row>
    <row r="41" spans="1:4" ht="14.5" x14ac:dyDescent="0.35">
      <c r="A41" s="95" t="s">
        <v>62</v>
      </c>
      <c r="B41" s="96"/>
      <c r="C41" s="96"/>
      <c r="D41" s="97">
        <f>SUM(D37:D40)</f>
        <v>5.3154767929706077</v>
      </c>
    </row>
    <row r="43" spans="1:4" x14ac:dyDescent="0.3">
      <c r="A43" s="98" t="s">
        <v>63</v>
      </c>
      <c r="B43" t="s">
        <v>64</v>
      </c>
    </row>
    <row r="44" spans="1:4" x14ac:dyDescent="0.3">
      <c r="A44" t="s">
        <v>65</v>
      </c>
      <c r="B44">
        <v>0.1</v>
      </c>
    </row>
    <row r="45" spans="1:4" x14ac:dyDescent="0.3">
      <c r="A45" t="s">
        <v>66</v>
      </c>
      <c r="B45" s="48">
        <f>D41</f>
        <v>5.3154767929706077</v>
      </c>
    </row>
    <row r="46" spans="1:4" x14ac:dyDescent="0.3">
      <c r="A46" t="s">
        <v>67</v>
      </c>
      <c r="B46" s="48">
        <f>_xlfn.CHISQ.INV.RT(0.1,1)</f>
        <v>2.7055434540954142</v>
      </c>
    </row>
    <row r="47" spans="1:4" x14ac:dyDescent="0.3">
      <c r="B47" s="48"/>
    </row>
    <row r="48" spans="1:4" x14ac:dyDescent="0.3">
      <c r="A48" s="56" t="s">
        <v>68</v>
      </c>
    </row>
    <row r="49" spans="1:1" x14ac:dyDescent="0.3">
      <c r="A49" t="s">
        <v>198</v>
      </c>
    </row>
    <row r="50" spans="1:1" x14ac:dyDescent="0.3">
      <c r="A50" t="s">
        <v>199</v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mergeCells count="4">
    <mergeCell ref="A9:C9"/>
    <mergeCell ref="A18:B18"/>
    <mergeCell ref="A23:B23"/>
    <mergeCell ref="A29:C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3D7B-0133-4558-B91B-D2CFF73400CF}">
  <dimension ref="A1:J18"/>
  <sheetViews>
    <sheetView workbookViewId="0">
      <selection activeCell="A18" sqref="A18:J18"/>
    </sheetView>
  </sheetViews>
  <sheetFormatPr baseColWidth="10" defaultColWidth="8.8984375" defaultRowHeight="13" x14ac:dyDescent="0.3"/>
  <cols>
    <col min="1" max="1" width="19.8984375" customWidth="1"/>
    <col min="2" max="2" width="12.3984375" customWidth="1"/>
    <col min="3" max="3" width="20.09765625" customWidth="1"/>
  </cols>
  <sheetData>
    <row r="1" spans="1:7" x14ac:dyDescent="0.3">
      <c r="A1" s="56" t="s">
        <v>69</v>
      </c>
    </row>
    <row r="2" spans="1:7" x14ac:dyDescent="0.3">
      <c r="A2" s="56"/>
    </row>
    <row r="3" spans="1:7" x14ac:dyDescent="0.3">
      <c r="A3" s="150" t="s">
        <v>70</v>
      </c>
      <c r="B3" s="150"/>
      <c r="D3">
        <f>0.97</f>
        <v>0.97</v>
      </c>
    </row>
    <row r="4" spans="1:7" x14ac:dyDescent="0.3">
      <c r="A4" s="150" t="s">
        <v>71</v>
      </c>
      <c r="B4" s="150"/>
      <c r="D4">
        <v>225</v>
      </c>
    </row>
    <row r="5" spans="1:7" x14ac:dyDescent="0.3">
      <c r="A5" s="150" t="s">
        <v>72</v>
      </c>
      <c r="B5" s="150"/>
      <c r="D5" s="48">
        <f>'Ancienneté – SD '!D55</f>
        <v>12.580914666666665</v>
      </c>
    </row>
    <row r="6" spans="1:7" x14ac:dyDescent="0.3">
      <c r="A6" s="150" t="s">
        <v>73</v>
      </c>
      <c r="B6" s="150"/>
      <c r="D6" s="48">
        <f>'Ancienneté – SD '!D56</f>
        <v>3.8349052458619344</v>
      </c>
    </row>
    <row r="7" spans="1:7" x14ac:dyDescent="0.3">
      <c r="A7" s="150" t="s">
        <v>74</v>
      </c>
      <c r="B7" s="150"/>
      <c r="D7">
        <v>421</v>
      </c>
    </row>
    <row r="8" spans="1:7" x14ac:dyDescent="0.3">
      <c r="A8" s="151" t="s">
        <v>75</v>
      </c>
      <c r="B8" s="151"/>
      <c r="C8" s="151"/>
    </row>
    <row r="9" spans="1:7" x14ac:dyDescent="0.3">
      <c r="A9" s="150" t="s">
        <v>76</v>
      </c>
      <c r="B9" s="150"/>
      <c r="C9" s="150"/>
      <c r="D9" s="150" t="s">
        <v>77</v>
      </c>
      <c r="E9" s="150"/>
      <c r="F9" s="150"/>
    </row>
    <row r="10" spans="1:7" x14ac:dyDescent="0.3">
      <c r="A10" s="46"/>
      <c r="B10" s="46"/>
      <c r="C10" s="46"/>
      <c r="D10" s="46"/>
      <c r="E10" s="46"/>
      <c r="F10" s="46"/>
    </row>
    <row r="11" spans="1:7" x14ac:dyDescent="0.3">
      <c r="A11" s="151" t="s">
        <v>78</v>
      </c>
      <c r="B11" s="151"/>
      <c r="C11" s="151"/>
      <c r="D11" s="47">
        <f>_xlfn.CONFIDENCE.NORM(0.03,D6,D4)*SQRT((D7-D4)/(D7-1))</f>
        <v>0.37900469542267357</v>
      </c>
      <c r="F11" t="s">
        <v>79</v>
      </c>
      <c r="G11">
        <v>2.17</v>
      </c>
    </row>
    <row r="12" spans="1:7" x14ac:dyDescent="0.3">
      <c r="F12" s="75"/>
    </row>
    <row r="13" spans="1:7" x14ac:dyDescent="0.3">
      <c r="A13" s="56" t="s">
        <v>80</v>
      </c>
      <c r="C13" t="s">
        <v>81</v>
      </c>
      <c r="D13" s="48">
        <f>D5+D11</f>
        <v>12.959919362089339</v>
      </c>
    </row>
    <row r="14" spans="1:7" x14ac:dyDescent="0.3">
      <c r="C14" t="s">
        <v>82</v>
      </c>
      <c r="D14" s="48">
        <f>D5-D11</f>
        <v>12.201909971243991</v>
      </c>
    </row>
    <row r="16" spans="1:7" x14ac:dyDescent="0.3">
      <c r="A16" s="56" t="s">
        <v>83</v>
      </c>
    </row>
    <row r="18" spans="1:10" x14ac:dyDescent="0.3">
      <c r="A18" s="150" t="s">
        <v>200</v>
      </c>
      <c r="B18" s="150"/>
      <c r="C18" s="150"/>
      <c r="D18" s="150"/>
      <c r="E18" s="150"/>
      <c r="F18" s="150"/>
      <c r="G18" s="150"/>
      <c r="H18" s="150"/>
      <c r="I18" s="150"/>
      <c r="J18" s="150"/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mergeCells count="10">
    <mergeCell ref="A11:C11"/>
    <mergeCell ref="A8:C8"/>
    <mergeCell ref="A18:J18"/>
    <mergeCell ref="A3:B3"/>
    <mergeCell ref="A4:B4"/>
    <mergeCell ref="A5:B5"/>
    <mergeCell ref="A6:B6"/>
    <mergeCell ref="A7:B7"/>
    <mergeCell ref="A9:C9"/>
    <mergeCell ref="D9:F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230"/>
  <sheetViews>
    <sheetView showGridLines="0" topLeftCell="A5" workbookViewId="0">
      <selection activeCell="F22" sqref="F22"/>
    </sheetView>
  </sheetViews>
  <sheetFormatPr baseColWidth="10" defaultColWidth="11.3984375" defaultRowHeight="13" x14ac:dyDescent="0.3"/>
  <cols>
    <col min="1" max="1" width="11.3984375" style="1"/>
    <col min="2" max="2" width="11.3984375" style="1" customWidth="1"/>
    <col min="3" max="3" width="18.3984375" style="1" customWidth="1"/>
    <col min="4" max="4" width="14.69921875" style="1" customWidth="1"/>
    <col min="5" max="5" width="16.69921875" style="1" customWidth="1"/>
    <col min="6" max="6" width="17.09765625" style="1" customWidth="1"/>
    <col min="7" max="7" width="16.69921875" style="1" customWidth="1"/>
    <col min="8" max="9" width="14.69921875" style="1" customWidth="1"/>
    <col min="10" max="10" width="15.59765625" style="1" customWidth="1"/>
    <col min="11" max="16384" width="11.3984375" style="1"/>
  </cols>
  <sheetData>
    <row r="1" spans="1:14" ht="41.25" customHeight="1" x14ac:dyDescent="0.3">
      <c r="A1" s="155" t="s">
        <v>84</v>
      </c>
      <c r="B1" s="156"/>
      <c r="C1" s="156"/>
      <c r="D1" s="156"/>
      <c r="E1" s="156"/>
      <c r="F1" s="156"/>
      <c r="G1" s="156"/>
      <c r="H1" s="156"/>
      <c r="I1" s="156"/>
      <c r="J1" s="156"/>
    </row>
    <row r="2" spans="1:14" x14ac:dyDescent="0.3">
      <c r="A2" s="2"/>
      <c r="B2" s="3"/>
      <c r="C2" s="88">
        <f>MAX(B5:B229)</f>
        <v>24.0777</v>
      </c>
      <c r="D2" s="88">
        <f>C2-C3</f>
        <v>22.481100000000001</v>
      </c>
    </row>
    <row r="3" spans="1:14" x14ac:dyDescent="0.3">
      <c r="A3" s="34"/>
      <c r="B3" s="34"/>
      <c r="C3" s="89">
        <f>MIN(B5:B229)</f>
        <v>1.5966</v>
      </c>
      <c r="D3" s="154" t="s">
        <v>85</v>
      </c>
      <c r="E3" s="154"/>
      <c r="F3" s="154"/>
      <c r="G3" s="154"/>
      <c r="H3" s="154"/>
      <c r="I3" s="154"/>
      <c r="J3" s="154"/>
    </row>
    <row r="4" spans="1:14" s="23" customFormat="1" ht="42.5" thickBot="1" x14ac:dyDescent="0.35">
      <c r="A4" s="21" t="s">
        <v>37</v>
      </c>
      <c r="B4" s="21" t="s">
        <v>86</v>
      </c>
      <c r="C4" s="31" t="s">
        <v>87</v>
      </c>
      <c r="D4" s="21" t="s">
        <v>88</v>
      </c>
      <c r="E4" s="21" t="s">
        <v>89</v>
      </c>
      <c r="F4" s="21" t="s">
        <v>90</v>
      </c>
      <c r="G4" s="21" t="s">
        <v>91</v>
      </c>
      <c r="H4" s="21" t="s">
        <v>92</v>
      </c>
      <c r="I4" s="21" t="s">
        <v>93</v>
      </c>
      <c r="J4" s="22" t="s">
        <v>94</v>
      </c>
    </row>
    <row r="5" spans="1:14" ht="13.5" thickTop="1" x14ac:dyDescent="0.3">
      <c r="A5" s="6" t="s">
        <v>40</v>
      </c>
      <c r="B5" s="7">
        <v>11.3764</v>
      </c>
      <c r="C5" s="32">
        <v>26</v>
      </c>
      <c r="D5" s="8">
        <v>1</v>
      </c>
      <c r="E5" s="8">
        <v>0</v>
      </c>
      <c r="F5" s="9">
        <v>0</v>
      </c>
      <c r="G5" s="8">
        <v>0</v>
      </c>
      <c r="H5" s="8">
        <v>0</v>
      </c>
      <c r="I5" s="8">
        <v>0</v>
      </c>
      <c r="J5" s="10">
        <f>SUM(E5:I5)</f>
        <v>0</v>
      </c>
      <c r="K5" s="4"/>
    </row>
    <row r="6" spans="1:14" x14ac:dyDescent="0.3">
      <c r="A6" s="11" t="s">
        <v>41</v>
      </c>
      <c r="B6" s="12">
        <v>10.326000000000001</v>
      </c>
      <c r="C6" s="37">
        <v>29</v>
      </c>
      <c r="D6" s="13">
        <v>0</v>
      </c>
      <c r="E6" s="13">
        <v>0</v>
      </c>
      <c r="F6" s="14">
        <v>2</v>
      </c>
      <c r="G6" s="13">
        <v>0</v>
      </c>
      <c r="H6" s="13">
        <v>0</v>
      </c>
      <c r="I6" s="13">
        <v>0</v>
      </c>
      <c r="J6" s="10">
        <f t="shared" ref="J6:J69" si="0">SUM(E6:I6)</f>
        <v>2</v>
      </c>
    </row>
    <row r="7" spans="1:14" x14ac:dyDescent="0.3">
      <c r="A7" s="6" t="s">
        <v>41</v>
      </c>
      <c r="B7" s="7">
        <v>12.5166</v>
      </c>
      <c r="C7" s="32">
        <v>25</v>
      </c>
      <c r="D7" s="8">
        <v>1</v>
      </c>
      <c r="E7" s="8">
        <v>0</v>
      </c>
      <c r="F7" s="9">
        <v>0</v>
      </c>
      <c r="G7" s="8">
        <v>0</v>
      </c>
      <c r="H7" s="8">
        <v>0</v>
      </c>
      <c r="I7" s="8">
        <v>0</v>
      </c>
      <c r="J7" s="10">
        <f t="shared" si="0"/>
        <v>0</v>
      </c>
    </row>
    <row r="8" spans="1:14" x14ac:dyDescent="0.3">
      <c r="A8" s="11" t="s">
        <v>40</v>
      </c>
      <c r="B8" s="12">
        <v>14.12</v>
      </c>
      <c r="C8" s="37">
        <v>26</v>
      </c>
      <c r="D8" s="13">
        <v>1</v>
      </c>
      <c r="E8" s="13">
        <v>0</v>
      </c>
      <c r="F8" s="14">
        <v>0</v>
      </c>
      <c r="G8" s="13">
        <v>0</v>
      </c>
      <c r="H8" s="13">
        <v>0</v>
      </c>
      <c r="I8" s="13">
        <v>0</v>
      </c>
      <c r="J8" s="10">
        <f t="shared" si="0"/>
        <v>0</v>
      </c>
      <c r="N8" s="1">
        <f xml:space="preserve"> _xlfn.FORECAST.LINEAR(20.55,B5:B229,C5:C229)</f>
        <v>13.460626285381334</v>
      </c>
    </row>
    <row r="9" spans="1:14" x14ac:dyDescent="0.3">
      <c r="A9" s="6" t="s">
        <v>40</v>
      </c>
      <c r="B9" s="7">
        <v>14.0055</v>
      </c>
      <c r="C9" s="32">
        <v>23</v>
      </c>
      <c r="D9" s="8">
        <v>1</v>
      </c>
      <c r="E9" s="8">
        <v>0</v>
      </c>
      <c r="F9" s="9">
        <v>0</v>
      </c>
      <c r="G9" s="8">
        <v>0</v>
      </c>
      <c r="H9" s="8">
        <v>0</v>
      </c>
      <c r="I9" s="8">
        <v>0</v>
      </c>
      <c r="J9" s="10">
        <f t="shared" si="0"/>
        <v>0</v>
      </c>
    </row>
    <row r="10" spans="1:14" x14ac:dyDescent="0.3">
      <c r="A10" s="11" t="s">
        <v>40</v>
      </c>
      <c r="B10" s="12">
        <v>16.342400000000001</v>
      </c>
      <c r="C10" s="37">
        <v>0</v>
      </c>
      <c r="D10" s="13">
        <v>1</v>
      </c>
      <c r="E10" s="13">
        <v>0</v>
      </c>
      <c r="F10" s="14">
        <v>0</v>
      </c>
      <c r="G10" s="13">
        <v>0</v>
      </c>
      <c r="H10" s="13">
        <v>0</v>
      </c>
      <c r="I10" s="13">
        <v>0</v>
      </c>
      <c r="J10" s="10">
        <f t="shared" si="0"/>
        <v>0</v>
      </c>
    </row>
    <row r="11" spans="1:14" x14ac:dyDescent="0.3">
      <c r="A11" s="6" t="s">
        <v>41</v>
      </c>
      <c r="B11" s="7">
        <v>17.2561</v>
      </c>
      <c r="C11" s="32">
        <v>15</v>
      </c>
      <c r="D11" s="8">
        <v>0</v>
      </c>
      <c r="E11" s="8">
        <v>4</v>
      </c>
      <c r="F11" s="9">
        <v>0</v>
      </c>
      <c r="G11" s="8">
        <v>0</v>
      </c>
      <c r="H11" s="8">
        <v>0</v>
      </c>
      <c r="I11" s="8">
        <v>0</v>
      </c>
      <c r="J11" s="10">
        <f t="shared" si="0"/>
        <v>4</v>
      </c>
    </row>
    <row r="12" spans="1:14" x14ac:dyDescent="0.3">
      <c r="A12" s="11" t="s">
        <v>41</v>
      </c>
      <c r="B12" s="12">
        <v>11.158799999999999</v>
      </c>
      <c r="C12" s="37">
        <v>29</v>
      </c>
      <c r="D12" s="13">
        <v>1</v>
      </c>
      <c r="E12" s="13">
        <v>0</v>
      </c>
      <c r="F12" s="14">
        <v>0</v>
      </c>
      <c r="G12" s="13">
        <v>0</v>
      </c>
      <c r="H12" s="13">
        <v>0</v>
      </c>
      <c r="I12" s="13">
        <v>0</v>
      </c>
      <c r="J12" s="10">
        <f t="shared" si="0"/>
        <v>0</v>
      </c>
    </row>
    <row r="13" spans="1:14" x14ac:dyDescent="0.3">
      <c r="A13" s="6" t="s">
        <v>41</v>
      </c>
      <c r="B13" s="7">
        <v>14.0886</v>
      </c>
      <c r="C13" s="32">
        <v>21</v>
      </c>
      <c r="D13" s="8">
        <v>1</v>
      </c>
      <c r="E13" s="8"/>
      <c r="F13" s="9">
        <v>0</v>
      </c>
      <c r="G13" s="8">
        <v>0</v>
      </c>
      <c r="H13" s="8">
        <v>0</v>
      </c>
      <c r="I13" s="8">
        <v>0</v>
      </c>
      <c r="J13" s="10">
        <f t="shared" si="0"/>
        <v>0</v>
      </c>
    </row>
    <row r="14" spans="1:14" x14ac:dyDescent="0.3">
      <c r="A14" s="11" t="s">
        <v>41</v>
      </c>
      <c r="B14" s="12">
        <v>13.0914</v>
      </c>
      <c r="C14" s="37">
        <v>24</v>
      </c>
      <c r="D14" s="13">
        <v>1</v>
      </c>
      <c r="E14" s="13">
        <v>0</v>
      </c>
      <c r="F14" s="14">
        <v>0</v>
      </c>
      <c r="G14" s="13">
        <v>0</v>
      </c>
      <c r="H14" s="13">
        <v>0</v>
      </c>
      <c r="I14" s="13">
        <v>0</v>
      </c>
      <c r="J14" s="10">
        <f t="shared" si="0"/>
        <v>0</v>
      </c>
    </row>
    <row r="15" spans="1:14" x14ac:dyDescent="0.3">
      <c r="A15" s="6" t="s">
        <v>41</v>
      </c>
      <c r="B15" s="7">
        <v>12.2659</v>
      </c>
      <c r="C15" s="32">
        <v>25</v>
      </c>
      <c r="D15" s="8">
        <v>1</v>
      </c>
      <c r="E15" s="8">
        <v>0</v>
      </c>
      <c r="F15" s="9">
        <v>0</v>
      </c>
      <c r="G15" s="8">
        <v>0</v>
      </c>
      <c r="H15" s="8">
        <v>0</v>
      </c>
      <c r="I15" s="8">
        <v>0</v>
      </c>
      <c r="J15" s="10">
        <f t="shared" si="0"/>
        <v>0</v>
      </c>
    </row>
    <row r="16" spans="1:14" x14ac:dyDescent="0.3">
      <c r="A16" s="11" t="s">
        <v>41</v>
      </c>
      <c r="B16" s="12">
        <v>13.494199999999999</v>
      </c>
      <c r="C16" s="37">
        <v>21</v>
      </c>
      <c r="D16" s="13">
        <v>1</v>
      </c>
      <c r="E16" s="13">
        <v>0</v>
      </c>
      <c r="F16" s="14">
        <v>0</v>
      </c>
      <c r="G16" s="13">
        <v>0</v>
      </c>
      <c r="H16" s="13">
        <v>0</v>
      </c>
      <c r="I16" s="13">
        <v>0</v>
      </c>
      <c r="J16" s="10">
        <f t="shared" si="0"/>
        <v>0</v>
      </c>
    </row>
    <row r="17" spans="1:10" x14ac:dyDescent="0.3">
      <c r="A17" s="6" t="s">
        <v>41</v>
      </c>
      <c r="B17" s="7">
        <v>21.724499999999999</v>
      </c>
      <c r="C17" s="32">
        <v>9</v>
      </c>
      <c r="D17" s="8">
        <v>1</v>
      </c>
      <c r="E17" s="8">
        <v>0</v>
      </c>
      <c r="F17" s="9">
        <v>0</v>
      </c>
      <c r="G17" s="8">
        <v>0</v>
      </c>
      <c r="H17" s="8">
        <v>0</v>
      </c>
      <c r="I17" s="8">
        <v>0</v>
      </c>
      <c r="J17" s="10">
        <f t="shared" si="0"/>
        <v>0</v>
      </c>
    </row>
    <row r="18" spans="1:10" x14ac:dyDescent="0.3">
      <c r="A18" s="11" t="s">
        <v>41</v>
      </c>
      <c r="B18" s="12">
        <v>8.3958999999999993</v>
      </c>
      <c r="C18" s="37">
        <v>30</v>
      </c>
      <c r="D18" s="13">
        <v>0</v>
      </c>
      <c r="E18" s="13">
        <v>5</v>
      </c>
      <c r="F18" s="14">
        <v>0</v>
      </c>
      <c r="G18" s="13">
        <v>0</v>
      </c>
      <c r="H18" s="13">
        <v>0</v>
      </c>
      <c r="I18" s="13">
        <v>0</v>
      </c>
      <c r="J18" s="10">
        <f t="shared" si="0"/>
        <v>5</v>
      </c>
    </row>
    <row r="19" spans="1:10" x14ac:dyDescent="0.3">
      <c r="A19" s="6" t="s">
        <v>40</v>
      </c>
      <c r="B19" s="7">
        <v>15.177899999999999</v>
      </c>
      <c r="C19" s="32">
        <v>17</v>
      </c>
      <c r="D19" s="8">
        <v>1</v>
      </c>
      <c r="E19" s="8">
        <v>0</v>
      </c>
      <c r="F19" s="9">
        <v>0</v>
      </c>
      <c r="G19" s="8">
        <v>0</v>
      </c>
      <c r="H19" s="8">
        <v>0</v>
      </c>
      <c r="I19" s="8">
        <v>0</v>
      </c>
      <c r="J19" s="10">
        <f t="shared" si="0"/>
        <v>0</v>
      </c>
    </row>
    <row r="20" spans="1:10" x14ac:dyDescent="0.3">
      <c r="A20" s="11" t="s">
        <v>41</v>
      </c>
      <c r="B20" s="12">
        <v>5.6805000000000003</v>
      </c>
      <c r="C20" s="37">
        <v>44</v>
      </c>
      <c r="D20" s="13">
        <v>1</v>
      </c>
      <c r="E20" s="13">
        <v>0</v>
      </c>
      <c r="F20" s="14">
        <v>0</v>
      </c>
      <c r="G20" s="13">
        <v>0</v>
      </c>
      <c r="H20" s="13">
        <v>0</v>
      </c>
      <c r="I20" s="13">
        <v>0</v>
      </c>
      <c r="J20" s="10">
        <f t="shared" si="0"/>
        <v>0</v>
      </c>
    </row>
    <row r="21" spans="1:10" x14ac:dyDescent="0.3">
      <c r="A21" s="6" t="s">
        <v>40</v>
      </c>
      <c r="B21" s="7">
        <v>6.7933000000000003</v>
      </c>
      <c r="C21" s="32">
        <v>33</v>
      </c>
      <c r="D21" s="8">
        <v>0</v>
      </c>
      <c r="E21" s="8">
        <v>0</v>
      </c>
      <c r="F21" s="9">
        <v>0</v>
      </c>
      <c r="G21" s="8">
        <v>2</v>
      </c>
      <c r="H21" s="8">
        <v>0</v>
      </c>
      <c r="I21" s="8">
        <v>0</v>
      </c>
      <c r="J21" s="10">
        <f t="shared" si="0"/>
        <v>2</v>
      </c>
    </row>
    <row r="22" spans="1:10" x14ac:dyDescent="0.3">
      <c r="A22" s="11" t="s">
        <v>40</v>
      </c>
      <c r="B22" s="12">
        <v>9.2333999999999996</v>
      </c>
      <c r="C22" s="37">
        <v>31</v>
      </c>
      <c r="D22" s="13">
        <v>1</v>
      </c>
      <c r="E22" s="13">
        <v>0</v>
      </c>
      <c r="F22" s="14">
        <v>0</v>
      </c>
      <c r="G22" s="13">
        <v>0</v>
      </c>
      <c r="H22" s="13">
        <v>0</v>
      </c>
      <c r="I22" s="13">
        <v>0</v>
      </c>
      <c r="J22" s="10">
        <f t="shared" si="0"/>
        <v>0</v>
      </c>
    </row>
    <row r="23" spans="1:10" x14ac:dyDescent="0.3">
      <c r="A23" s="6" t="s">
        <v>40</v>
      </c>
      <c r="B23" s="7">
        <v>13.485300000000001</v>
      </c>
      <c r="C23" s="32">
        <v>26</v>
      </c>
      <c r="D23" s="8">
        <v>1</v>
      </c>
      <c r="E23" s="8">
        <v>0</v>
      </c>
      <c r="F23" s="9">
        <v>0</v>
      </c>
      <c r="G23" s="8">
        <v>0</v>
      </c>
      <c r="H23" s="8">
        <v>0</v>
      </c>
      <c r="I23" s="8">
        <v>0</v>
      </c>
      <c r="J23" s="10">
        <f t="shared" si="0"/>
        <v>0</v>
      </c>
    </row>
    <row r="24" spans="1:10" x14ac:dyDescent="0.3">
      <c r="A24" s="11" t="s">
        <v>41</v>
      </c>
      <c r="B24" s="12">
        <v>17.4498</v>
      </c>
      <c r="C24" s="37">
        <v>18</v>
      </c>
      <c r="D24" s="13">
        <v>1</v>
      </c>
      <c r="E24" s="13">
        <v>0</v>
      </c>
      <c r="F24" s="14">
        <v>0</v>
      </c>
      <c r="G24" s="13">
        <v>0</v>
      </c>
      <c r="H24" s="13">
        <v>0</v>
      </c>
      <c r="I24" s="13">
        <v>0</v>
      </c>
      <c r="J24" s="10">
        <f t="shared" si="0"/>
        <v>0</v>
      </c>
    </row>
    <row r="25" spans="1:10" x14ac:dyDescent="0.3">
      <c r="A25" s="6" t="s">
        <v>40</v>
      </c>
      <c r="B25" s="7">
        <v>16.181699999999999</v>
      </c>
      <c r="C25" s="32">
        <v>16</v>
      </c>
      <c r="D25" s="8">
        <v>0</v>
      </c>
      <c r="E25" s="8">
        <v>0</v>
      </c>
      <c r="F25" s="9">
        <v>0</v>
      </c>
      <c r="G25" s="8">
        <v>0</v>
      </c>
      <c r="H25" s="8">
        <v>0</v>
      </c>
      <c r="I25" s="8">
        <v>2</v>
      </c>
      <c r="J25" s="10">
        <f t="shared" si="0"/>
        <v>2</v>
      </c>
    </row>
    <row r="26" spans="1:10" x14ac:dyDescent="0.3">
      <c r="A26" s="11" t="s">
        <v>41</v>
      </c>
      <c r="B26" s="12">
        <v>16.337499999999999</v>
      </c>
      <c r="C26" s="37">
        <v>20</v>
      </c>
      <c r="D26" s="13">
        <v>1</v>
      </c>
      <c r="E26" s="13">
        <v>0</v>
      </c>
      <c r="F26" s="14">
        <v>0</v>
      </c>
      <c r="G26" s="13">
        <v>0</v>
      </c>
      <c r="H26" s="13">
        <v>0</v>
      </c>
      <c r="I26" s="13">
        <v>0</v>
      </c>
      <c r="J26" s="10">
        <f t="shared" si="0"/>
        <v>0</v>
      </c>
    </row>
    <row r="27" spans="1:10" x14ac:dyDescent="0.3">
      <c r="A27" s="6" t="s">
        <v>40</v>
      </c>
      <c r="B27" s="7">
        <v>11.2681</v>
      </c>
      <c r="C27" s="32">
        <v>25</v>
      </c>
      <c r="D27" s="8">
        <v>1</v>
      </c>
      <c r="E27" s="8">
        <v>0</v>
      </c>
      <c r="F27" s="9">
        <v>0</v>
      </c>
      <c r="G27" s="8">
        <v>0</v>
      </c>
      <c r="H27" s="8">
        <v>0</v>
      </c>
      <c r="I27" s="8">
        <v>0</v>
      </c>
      <c r="J27" s="10">
        <f t="shared" si="0"/>
        <v>0</v>
      </c>
    </row>
    <row r="28" spans="1:10" x14ac:dyDescent="0.3">
      <c r="A28" s="11" t="s">
        <v>40</v>
      </c>
      <c r="B28" s="12">
        <v>11.8916</v>
      </c>
      <c r="C28" s="37">
        <v>25</v>
      </c>
      <c r="D28" s="13">
        <v>1</v>
      </c>
      <c r="E28" s="13">
        <v>0</v>
      </c>
      <c r="F28" s="14">
        <v>0</v>
      </c>
      <c r="G28" s="13">
        <v>0</v>
      </c>
      <c r="H28" s="13">
        <v>0</v>
      </c>
      <c r="I28" s="13">
        <v>0</v>
      </c>
      <c r="J28" s="10">
        <f t="shared" si="0"/>
        <v>0</v>
      </c>
    </row>
    <row r="29" spans="1:10" x14ac:dyDescent="0.3">
      <c r="A29" s="6" t="s">
        <v>40</v>
      </c>
      <c r="B29" s="7">
        <v>13.061400000000001</v>
      </c>
      <c r="C29" s="32">
        <v>24</v>
      </c>
      <c r="D29" s="8">
        <v>1</v>
      </c>
      <c r="E29" s="8">
        <v>0</v>
      </c>
      <c r="F29" s="9">
        <v>0</v>
      </c>
      <c r="G29" s="8">
        <v>0</v>
      </c>
      <c r="H29" s="8">
        <v>0</v>
      </c>
      <c r="I29" s="8">
        <v>0</v>
      </c>
      <c r="J29" s="10">
        <f t="shared" si="0"/>
        <v>0</v>
      </c>
    </row>
    <row r="30" spans="1:10" x14ac:dyDescent="0.3">
      <c r="A30" s="11" t="s">
        <v>40</v>
      </c>
      <c r="B30" s="12">
        <v>6.0372000000000003</v>
      </c>
      <c r="C30" s="37">
        <v>40</v>
      </c>
      <c r="D30" s="13">
        <v>1</v>
      </c>
      <c r="E30" s="13">
        <v>0</v>
      </c>
      <c r="F30" s="14">
        <v>0</v>
      </c>
      <c r="G30" s="13">
        <v>0</v>
      </c>
      <c r="H30" s="13">
        <v>0</v>
      </c>
      <c r="I30" s="13">
        <v>0</v>
      </c>
      <c r="J30" s="10">
        <f t="shared" si="0"/>
        <v>0</v>
      </c>
    </row>
    <row r="31" spans="1:10" x14ac:dyDescent="0.3">
      <c r="A31" s="6" t="s">
        <v>41</v>
      </c>
      <c r="B31" s="7">
        <v>10.7462</v>
      </c>
      <c r="C31" s="32">
        <v>34</v>
      </c>
      <c r="D31" s="8">
        <v>0</v>
      </c>
      <c r="E31" s="8">
        <v>0</v>
      </c>
      <c r="F31" s="9">
        <v>0</v>
      </c>
      <c r="G31" s="8">
        <v>1</v>
      </c>
      <c r="H31" s="8">
        <v>0</v>
      </c>
      <c r="I31" s="8">
        <v>0</v>
      </c>
      <c r="J31" s="10">
        <f t="shared" si="0"/>
        <v>1</v>
      </c>
    </row>
    <row r="32" spans="1:10" x14ac:dyDescent="0.3">
      <c r="A32" s="11" t="s">
        <v>41</v>
      </c>
      <c r="B32" s="12">
        <v>8.5603999999999996</v>
      </c>
      <c r="C32" s="37">
        <v>33</v>
      </c>
      <c r="D32" s="13">
        <v>1</v>
      </c>
      <c r="E32" s="13">
        <v>0</v>
      </c>
      <c r="F32" s="14">
        <v>0</v>
      </c>
      <c r="G32" s="13">
        <v>0</v>
      </c>
      <c r="H32" s="13">
        <v>0</v>
      </c>
      <c r="I32" s="13">
        <v>0</v>
      </c>
      <c r="J32" s="10">
        <f t="shared" si="0"/>
        <v>0</v>
      </c>
    </row>
    <row r="33" spans="1:10" x14ac:dyDescent="0.3">
      <c r="A33" s="6" t="s">
        <v>41</v>
      </c>
      <c r="B33" s="7">
        <v>10.6053</v>
      </c>
      <c r="C33" s="32">
        <v>30</v>
      </c>
      <c r="D33" s="8">
        <v>1</v>
      </c>
      <c r="E33" s="8">
        <v>0</v>
      </c>
      <c r="F33" s="9">
        <v>0</v>
      </c>
      <c r="G33" s="8">
        <v>0</v>
      </c>
      <c r="H33" s="8">
        <v>0</v>
      </c>
      <c r="I33" s="8">
        <v>0</v>
      </c>
      <c r="J33" s="10">
        <f t="shared" si="0"/>
        <v>0</v>
      </c>
    </row>
    <row r="34" spans="1:10" x14ac:dyDescent="0.3">
      <c r="A34" s="11" t="s">
        <v>41</v>
      </c>
      <c r="B34" s="12">
        <v>9.1946999999999992</v>
      </c>
      <c r="C34" s="37">
        <v>30</v>
      </c>
      <c r="D34" s="13">
        <v>1</v>
      </c>
      <c r="E34" s="13">
        <v>0</v>
      </c>
      <c r="F34" s="14">
        <v>0</v>
      </c>
      <c r="G34" s="13">
        <v>0</v>
      </c>
      <c r="H34" s="13">
        <v>0</v>
      </c>
      <c r="I34" s="13">
        <v>0</v>
      </c>
      <c r="J34" s="10">
        <f t="shared" si="0"/>
        <v>0</v>
      </c>
    </row>
    <row r="35" spans="1:10" x14ac:dyDescent="0.3">
      <c r="A35" s="6" t="s">
        <v>40</v>
      </c>
      <c r="B35" s="7">
        <v>19.9405</v>
      </c>
      <c r="C35" s="32">
        <v>10</v>
      </c>
      <c r="D35" s="8">
        <v>1</v>
      </c>
      <c r="E35" s="8">
        <v>0</v>
      </c>
      <c r="F35" s="9">
        <v>0</v>
      </c>
      <c r="G35" s="8">
        <v>0</v>
      </c>
      <c r="H35" s="8">
        <v>0</v>
      </c>
      <c r="I35" s="8">
        <v>0</v>
      </c>
      <c r="J35" s="10">
        <f t="shared" si="0"/>
        <v>0</v>
      </c>
    </row>
    <row r="36" spans="1:10" x14ac:dyDescent="0.3">
      <c r="A36" s="11" t="s">
        <v>41</v>
      </c>
      <c r="B36" s="12">
        <v>14.2338</v>
      </c>
      <c r="C36" s="37">
        <v>26</v>
      </c>
      <c r="D36" s="13">
        <v>1</v>
      </c>
      <c r="E36" s="13">
        <v>0</v>
      </c>
      <c r="F36" s="14">
        <v>0</v>
      </c>
      <c r="G36" s="13">
        <v>0</v>
      </c>
      <c r="H36" s="13">
        <v>0</v>
      </c>
      <c r="I36" s="13">
        <v>0</v>
      </c>
      <c r="J36" s="10">
        <f t="shared" si="0"/>
        <v>0</v>
      </c>
    </row>
    <row r="37" spans="1:10" x14ac:dyDescent="0.3">
      <c r="A37" s="6" t="s">
        <v>41</v>
      </c>
      <c r="B37" s="7">
        <v>10.78</v>
      </c>
      <c r="C37" s="32">
        <v>34</v>
      </c>
      <c r="D37" s="8">
        <v>1</v>
      </c>
      <c r="E37" s="8">
        <v>0</v>
      </c>
      <c r="F37" s="9">
        <v>0</v>
      </c>
      <c r="G37" s="8">
        <v>0</v>
      </c>
      <c r="H37" s="8">
        <v>0</v>
      </c>
      <c r="I37" s="8">
        <v>0</v>
      </c>
      <c r="J37" s="10">
        <f t="shared" si="0"/>
        <v>0</v>
      </c>
    </row>
    <row r="38" spans="1:10" x14ac:dyDescent="0.3">
      <c r="A38" s="11" t="s">
        <v>41</v>
      </c>
      <c r="B38" s="12">
        <v>16.004200000000001</v>
      </c>
      <c r="C38" s="37">
        <v>0</v>
      </c>
      <c r="D38" s="13">
        <v>1</v>
      </c>
      <c r="E38" s="13">
        <v>0</v>
      </c>
      <c r="F38" s="14">
        <v>0</v>
      </c>
      <c r="G38" s="13">
        <v>0</v>
      </c>
      <c r="H38" s="13">
        <v>0</v>
      </c>
      <c r="I38" s="13">
        <v>0</v>
      </c>
      <c r="J38" s="10">
        <f t="shared" si="0"/>
        <v>0</v>
      </c>
    </row>
    <row r="39" spans="1:10" x14ac:dyDescent="0.3">
      <c r="A39" s="6" t="s">
        <v>40</v>
      </c>
      <c r="B39" s="7">
        <v>14.972200000000001</v>
      </c>
      <c r="C39" s="32">
        <v>18</v>
      </c>
      <c r="D39" s="8">
        <v>1</v>
      </c>
      <c r="E39" s="8">
        <v>0</v>
      </c>
      <c r="F39" s="9">
        <v>0</v>
      </c>
      <c r="G39" s="8">
        <v>0</v>
      </c>
      <c r="H39" s="8">
        <v>0</v>
      </c>
      <c r="I39" s="8">
        <v>0</v>
      </c>
      <c r="J39" s="10">
        <f t="shared" si="0"/>
        <v>0</v>
      </c>
    </row>
    <row r="40" spans="1:10" x14ac:dyDescent="0.3">
      <c r="A40" s="11" t="s">
        <v>41</v>
      </c>
      <c r="B40" s="12">
        <v>13.157400000000001</v>
      </c>
      <c r="C40" s="37">
        <v>21</v>
      </c>
      <c r="D40" s="13">
        <v>1</v>
      </c>
      <c r="E40" s="13">
        <v>0</v>
      </c>
      <c r="F40" s="14">
        <v>0</v>
      </c>
      <c r="G40" s="13">
        <v>0</v>
      </c>
      <c r="H40" s="13">
        <v>0</v>
      </c>
      <c r="I40" s="13">
        <v>0</v>
      </c>
      <c r="J40" s="10">
        <f t="shared" si="0"/>
        <v>0</v>
      </c>
    </row>
    <row r="41" spans="1:10" x14ac:dyDescent="0.3">
      <c r="A41" s="6" t="s">
        <v>41</v>
      </c>
      <c r="B41" s="7">
        <v>15.0655</v>
      </c>
      <c r="C41" s="32">
        <v>21</v>
      </c>
      <c r="D41" s="8">
        <v>1</v>
      </c>
      <c r="E41" s="8">
        <v>0</v>
      </c>
      <c r="F41" s="9">
        <v>0</v>
      </c>
      <c r="G41" s="8">
        <v>0</v>
      </c>
      <c r="H41" s="8">
        <v>0</v>
      </c>
      <c r="I41" s="8">
        <v>0</v>
      </c>
      <c r="J41" s="10">
        <f t="shared" si="0"/>
        <v>0</v>
      </c>
    </row>
    <row r="42" spans="1:10" x14ac:dyDescent="0.3">
      <c r="A42" s="11" t="s">
        <v>41</v>
      </c>
      <c r="B42" s="12">
        <v>11.1943</v>
      </c>
      <c r="C42" s="37">
        <v>29</v>
      </c>
      <c r="D42" s="13">
        <v>0</v>
      </c>
      <c r="E42" s="13">
        <v>5</v>
      </c>
      <c r="F42" s="14">
        <v>0</v>
      </c>
      <c r="G42" s="13">
        <v>0</v>
      </c>
      <c r="H42" s="13">
        <v>0</v>
      </c>
      <c r="I42" s="13">
        <v>0</v>
      </c>
      <c r="J42" s="10">
        <f t="shared" si="0"/>
        <v>5</v>
      </c>
    </row>
    <row r="43" spans="1:10" x14ac:dyDescent="0.3">
      <c r="A43" s="6" t="s">
        <v>40</v>
      </c>
      <c r="B43" s="7">
        <v>13.3028</v>
      </c>
      <c r="C43" s="32">
        <v>25</v>
      </c>
      <c r="D43" s="8">
        <v>1</v>
      </c>
      <c r="E43" s="8">
        <v>0</v>
      </c>
      <c r="F43" s="9">
        <v>0</v>
      </c>
      <c r="G43" s="8">
        <v>0</v>
      </c>
      <c r="H43" s="8">
        <v>0</v>
      </c>
      <c r="I43" s="8">
        <v>0</v>
      </c>
      <c r="J43" s="10">
        <f t="shared" si="0"/>
        <v>0</v>
      </c>
    </row>
    <row r="44" spans="1:10" x14ac:dyDescent="0.3">
      <c r="A44" s="11" t="s">
        <v>40</v>
      </c>
      <c r="B44" s="12">
        <v>12.2003</v>
      </c>
      <c r="C44" s="37">
        <v>27</v>
      </c>
      <c r="D44" s="13">
        <v>1</v>
      </c>
      <c r="E44" s="13">
        <v>0</v>
      </c>
      <c r="F44" s="14">
        <v>0</v>
      </c>
      <c r="G44" s="13">
        <v>0</v>
      </c>
      <c r="H44" s="13">
        <v>0</v>
      </c>
      <c r="I44" s="13">
        <v>0</v>
      </c>
      <c r="J44" s="10">
        <f t="shared" si="0"/>
        <v>0</v>
      </c>
    </row>
    <row r="45" spans="1:10" x14ac:dyDescent="0.3">
      <c r="A45" s="6" t="s">
        <v>41</v>
      </c>
      <c r="B45" s="7">
        <v>13.4094</v>
      </c>
      <c r="C45" s="32">
        <v>0</v>
      </c>
      <c r="D45" s="8">
        <v>0</v>
      </c>
      <c r="E45" s="8">
        <v>4</v>
      </c>
      <c r="F45" s="9">
        <v>0</v>
      </c>
      <c r="G45" s="8">
        <v>0</v>
      </c>
      <c r="H45" s="8">
        <v>0</v>
      </c>
      <c r="I45" s="8">
        <v>2</v>
      </c>
      <c r="J45" s="10">
        <f t="shared" si="0"/>
        <v>6</v>
      </c>
    </row>
    <row r="46" spans="1:10" x14ac:dyDescent="0.3">
      <c r="A46" s="11" t="s">
        <v>41</v>
      </c>
      <c r="B46" s="12">
        <v>5.9664000000000001</v>
      </c>
      <c r="C46" s="37">
        <v>39</v>
      </c>
      <c r="D46" s="13">
        <v>1</v>
      </c>
      <c r="E46" s="13">
        <v>0</v>
      </c>
      <c r="F46" s="14">
        <v>0</v>
      </c>
      <c r="G46" s="13">
        <v>0</v>
      </c>
      <c r="H46" s="13">
        <v>0</v>
      </c>
      <c r="I46" s="13">
        <v>0</v>
      </c>
      <c r="J46" s="10">
        <f t="shared" si="0"/>
        <v>0</v>
      </c>
    </row>
    <row r="47" spans="1:10" x14ac:dyDescent="0.3">
      <c r="A47" s="6" t="s">
        <v>41</v>
      </c>
      <c r="B47" s="7">
        <v>17.845099999999999</v>
      </c>
      <c r="C47" s="32">
        <v>19</v>
      </c>
      <c r="D47" s="8">
        <v>0</v>
      </c>
      <c r="E47" s="8">
        <v>0</v>
      </c>
      <c r="F47" s="9">
        <v>0</v>
      </c>
      <c r="G47" s="8">
        <v>0</v>
      </c>
      <c r="H47" s="8">
        <v>0</v>
      </c>
      <c r="I47" s="8">
        <v>1</v>
      </c>
      <c r="J47" s="10">
        <f t="shared" si="0"/>
        <v>1</v>
      </c>
    </row>
    <row r="48" spans="1:10" x14ac:dyDescent="0.3">
      <c r="A48" s="11" t="s">
        <v>41</v>
      </c>
      <c r="B48" s="12">
        <v>12.293100000000001</v>
      </c>
      <c r="C48" s="37">
        <v>26</v>
      </c>
      <c r="D48" s="13">
        <v>1</v>
      </c>
      <c r="E48" s="13">
        <v>0</v>
      </c>
      <c r="F48" s="14">
        <v>0</v>
      </c>
      <c r="G48" s="13">
        <v>0</v>
      </c>
      <c r="H48" s="13">
        <v>0</v>
      </c>
      <c r="I48" s="13">
        <v>0</v>
      </c>
      <c r="J48" s="10">
        <f t="shared" si="0"/>
        <v>0</v>
      </c>
    </row>
    <row r="49" spans="1:10" x14ac:dyDescent="0.3">
      <c r="A49" s="6" t="s">
        <v>41</v>
      </c>
      <c r="B49" s="7">
        <v>15.2272</v>
      </c>
      <c r="C49" s="32">
        <v>25</v>
      </c>
      <c r="D49" s="8">
        <v>1</v>
      </c>
      <c r="E49" s="8">
        <v>0</v>
      </c>
      <c r="F49" s="9">
        <v>0</v>
      </c>
      <c r="G49" s="8">
        <v>0</v>
      </c>
      <c r="H49" s="8">
        <v>0</v>
      </c>
      <c r="I49" s="8">
        <v>0</v>
      </c>
      <c r="J49" s="10">
        <f t="shared" si="0"/>
        <v>0</v>
      </c>
    </row>
    <row r="50" spans="1:10" x14ac:dyDescent="0.3">
      <c r="A50" s="11" t="s">
        <v>41</v>
      </c>
      <c r="B50" s="12">
        <v>10.9177</v>
      </c>
      <c r="C50" s="37">
        <v>25</v>
      </c>
      <c r="D50" s="13">
        <v>0</v>
      </c>
      <c r="E50" s="13">
        <v>0</v>
      </c>
      <c r="F50" s="14">
        <v>0</v>
      </c>
      <c r="G50" s="13">
        <v>0</v>
      </c>
      <c r="H50" s="13">
        <v>0</v>
      </c>
      <c r="I50" s="13">
        <v>1</v>
      </c>
      <c r="J50" s="10">
        <f t="shared" si="0"/>
        <v>1</v>
      </c>
    </row>
    <row r="51" spans="1:10" x14ac:dyDescent="0.3">
      <c r="A51" s="6" t="s">
        <v>41</v>
      </c>
      <c r="B51" s="7">
        <v>3.9001999999999999</v>
      </c>
      <c r="C51" s="32">
        <v>45</v>
      </c>
      <c r="D51" s="8">
        <v>1</v>
      </c>
      <c r="E51" s="8">
        <v>0</v>
      </c>
      <c r="F51" s="9">
        <v>0</v>
      </c>
      <c r="G51" s="8">
        <v>0</v>
      </c>
      <c r="H51" s="8">
        <v>0</v>
      </c>
      <c r="I51" s="8">
        <v>0</v>
      </c>
      <c r="J51" s="10">
        <f t="shared" si="0"/>
        <v>0</v>
      </c>
    </row>
    <row r="52" spans="1:10" x14ac:dyDescent="0.3">
      <c r="A52" s="11" t="s">
        <v>41</v>
      </c>
      <c r="B52" s="12">
        <v>17.536799999999999</v>
      </c>
      <c r="C52" s="37">
        <v>20</v>
      </c>
      <c r="D52" s="13">
        <v>1</v>
      </c>
      <c r="E52" s="13">
        <v>0</v>
      </c>
      <c r="F52" s="14">
        <v>0</v>
      </c>
      <c r="G52" s="13">
        <v>0</v>
      </c>
      <c r="H52" s="13">
        <v>0</v>
      </c>
      <c r="I52" s="13">
        <v>0</v>
      </c>
      <c r="J52" s="10">
        <f t="shared" si="0"/>
        <v>0</v>
      </c>
    </row>
    <row r="53" spans="1:10" x14ac:dyDescent="0.3">
      <c r="A53" s="6" t="s">
        <v>40</v>
      </c>
      <c r="B53" s="7">
        <v>13.7194</v>
      </c>
      <c r="C53" s="32">
        <v>22</v>
      </c>
      <c r="D53" s="8">
        <v>1</v>
      </c>
      <c r="E53" s="8">
        <v>0</v>
      </c>
      <c r="F53" s="9">
        <v>0</v>
      </c>
      <c r="G53" s="8">
        <v>0</v>
      </c>
      <c r="H53" s="8">
        <v>0</v>
      </c>
      <c r="I53" s="8">
        <v>0</v>
      </c>
      <c r="J53" s="10">
        <f t="shared" si="0"/>
        <v>0</v>
      </c>
    </row>
    <row r="54" spans="1:10" x14ac:dyDescent="0.3">
      <c r="A54" s="11" t="s">
        <v>41</v>
      </c>
      <c r="B54" s="12">
        <v>9.9703999999999997</v>
      </c>
      <c r="C54" s="37">
        <v>30</v>
      </c>
      <c r="D54" s="13">
        <v>0</v>
      </c>
      <c r="E54" s="13">
        <v>0</v>
      </c>
      <c r="F54" s="14">
        <v>0</v>
      </c>
      <c r="G54" s="13">
        <v>1</v>
      </c>
      <c r="H54" s="13">
        <v>0</v>
      </c>
      <c r="I54" s="13">
        <v>0</v>
      </c>
      <c r="J54" s="10">
        <f t="shared" si="0"/>
        <v>1</v>
      </c>
    </row>
    <row r="55" spans="1:10" x14ac:dyDescent="0.3">
      <c r="A55" s="6" t="s">
        <v>41</v>
      </c>
      <c r="B55" s="7">
        <v>6.4584999999999999</v>
      </c>
      <c r="C55" s="32">
        <v>41</v>
      </c>
      <c r="D55" s="8">
        <v>1</v>
      </c>
      <c r="E55" s="8">
        <v>0</v>
      </c>
      <c r="F55" s="9">
        <v>0</v>
      </c>
      <c r="G55" s="8">
        <v>0</v>
      </c>
      <c r="H55" s="8">
        <v>0</v>
      </c>
      <c r="I55" s="8">
        <v>0</v>
      </c>
      <c r="J55" s="10">
        <f t="shared" si="0"/>
        <v>0</v>
      </c>
    </row>
    <row r="56" spans="1:10" x14ac:dyDescent="0.3">
      <c r="A56" s="11" t="s">
        <v>41</v>
      </c>
      <c r="B56" s="12">
        <v>12.6546</v>
      </c>
      <c r="C56" s="37">
        <v>24</v>
      </c>
      <c r="D56" s="13">
        <v>1</v>
      </c>
      <c r="E56" s="13">
        <v>0</v>
      </c>
      <c r="F56" s="14">
        <v>0</v>
      </c>
      <c r="G56" s="13">
        <v>0</v>
      </c>
      <c r="H56" s="13">
        <v>0</v>
      </c>
      <c r="I56" s="13">
        <v>0</v>
      </c>
      <c r="J56" s="10">
        <f t="shared" si="0"/>
        <v>0</v>
      </c>
    </row>
    <row r="57" spans="1:10" x14ac:dyDescent="0.3">
      <c r="A57" s="6" t="s">
        <v>41</v>
      </c>
      <c r="B57" s="7">
        <v>14.7081</v>
      </c>
      <c r="C57" s="32">
        <v>21</v>
      </c>
      <c r="D57" s="8">
        <v>1</v>
      </c>
      <c r="E57" s="8">
        <v>0</v>
      </c>
      <c r="F57" s="9">
        <v>0</v>
      </c>
      <c r="G57" s="8">
        <v>0</v>
      </c>
      <c r="H57" s="8">
        <v>0</v>
      </c>
      <c r="I57" s="8">
        <v>0</v>
      </c>
      <c r="J57" s="10">
        <f t="shared" si="0"/>
        <v>0</v>
      </c>
    </row>
    <row r="58" spans="1:10" x14ac:dyDescent="0.3">
      <c r="A58" s="11" t="s">
        <v>41</v>
      </c>
      <c r="B58" s="12">
        <v>6.2397999999999998</v>
      </c>
      <c r="C58" s="37">
        <v>42</v>
      </c>
      <c r="D58" s="13">
        <v>1</v>
      </c>
      <c r="E58" s="13">
        <v>0</v>
      </c>
      <c r="F58" s="14">
        <v>0</v>
      </c>
      <c r="G58" s="13">
        <v>0</v>
      </c>
      <c r="H58" s="13">
        <v>0</v>
      </c>
      <c r="I58" s="13">
        <v>0</v>
      </c>
      <c r="J58" s="10">
        <f t="shared" si="0"/>
        <v>0</v>
      </c>
    </row>
    <row r="59" spans="1:10" x14ac:dyDescent="0.3">
      <c r="A59" s="6" t="s">
        <v>41</v>
      </c>
      <c r="B59" s="7">
        <v>9.5798000000000005</v>
      </c>
      <c r="C59" s="32">
        <v>30</v>
      </c>
      <c r="D59" s="8">
        <v>1</v>
      </c>
      <c r="E59" s="8">
        <v>0</v>
      </c>
      <c r="F59" s="9">
        <v>0</v>
      </c>
      <c r="G59" s="8">
        <v>0</v>
      </c>
      <c r="H59" s="8">
        <v>0</v>
      </c>
      <c r="I59" s="8">
        <v>0</v>
      </c>
      <c r="J59" s="10">
        <f t="shared" si="0"/>
        <v>0</v>
      </c>
    </row>
    <row r="60" spans="1:10" x14ac:dyDescent="0.3">
      <c r="A60" s="11" t="s">
        <v>40</v>
      </c>
      <c r="B60" s="12">
        <v>7.2207999999999997</v>
      </c>
      <c r="C60" s="37">
        <v>34</v>
      </c>
      <c r="D60" s="13">
        <v>0</v>
      </c>
      <c r="E60" s="13">
        <v>0</v>
      </c>
      <c r="F60" s="14">
        <v>2</v>
      </c>
      <c r="G60" s="13">
        <v>0</v>
      </c>
      <c r="H60" s="13">
        <v>0</v>
      </c>
      <c r="I60" s="13">
        <v>0</v>
      </c>
      <c r="J60" s="10">
        <f t="shared" si="0"/>
        <v>2</v>
      </c>
    </row>
    <row r="61" spans="1:10" x14ac:dyDescent="0.3">
      <c r="A61" s="6" t="s">
        <v>40</v>
      </c>
      <c r="B61" s="7">
        <v>7.5712000000000002</v>
      </c>
      <c r="C61" s="32">
        <v>35</v>
      </c>
      <c r="D61" s="8">
        <v>1</v>
      </c>
      <c r="E61" s="8">
        <v>0</v>
      </c>
      <c r="F61" s="9">
        <v>0</v>
      </c>
      <c r="G61" s="8">
        <v>0</v>
      </c>
      <c r="H61" s="8">
        <v>0</v>
      </c>
      <c r="I61" s="8">
        <v>0</v>
      </c>
      <c r="J61" s="10">
        <f t="shared" si="0"/>
        <v>0</v>
      </c>
    </row>
    <row r="62" spans="1:10" x14ac:dyDescent="0.3">
      <c r="A62" s="11" t="s">
        <v>41</v>
      </c>
      <c r="B62" s="12">
        <v>16.269300000000001</v>
      </c>
      <c r="C62" s="37">
        <v>23</v>
      </c>
      <c r="D62" s="13">
        <v>1</v>
      </c>
      <c r="E62" s="13">
        <v>0</v>
      </c>
      <c r="F62" s="14">
        <v>0</v>
      </c>
      <c r="G62" s="13">
        <v>0</v>
      </c>
      <c r="H62" s="13">
        <v>0</v>
      </c>
      <c r="I62" s="13">
        <v>0</v>
      </c>
      <c r="J62" s="10">
        <f t="shared" si="0"/>
        <v>0</v>
      </c>
    </row>
    <row r="63" spans="1:10" x14ac:dyDescent="0.3">
      <c r="A63" s="6" t="s">
        <v>40</v>
      </c>
      <c r="B63" s="7">
        <v>4.9408000000000003</v>
      </c>
      <c r="C63" s="32">
        <v>37</v>
      </c>
      <c r="D63" s="8">
        <v>1</v>
      </c>
      <c r="E63" s="8">
        <v>0</v>
      </c>
      <c r="F63" s="9">
        <v>0</v>
      </c>
      <c r="G63" s="8">
        <v>0</v>
      </c>
      <c r="H63" s="8">
        <v>0</v>
      </c>
      <c r="I63" s="8">
        <v>0</v>
      </c>
      <c r="J63" s="10">
        <f t="shared" si="0"/>
        <v>0</v>
      </c>
    </row>
    <row r="64" spans="1:10" x14ac:dyDescent="0.3">
      <c r="A64" s="11" t="s">
        <v>41</v>
      </c>
      <c r="B64" s="12">
        <v>1.5966</v>
      </c>
      <c r="C64" s="37">
        <v>50</v>
      </c>
      <c r="D64" s="13">
        <v>1</v>
      </c>
      <c r="E64" s="13">
        <v>0</v>
      </c>
      <c r="F64" s="14">
        <v>0</v>
      </c>
      <c r="G64" s="13">
        <v>0</v>
      </c>
      <c r="H64" s="13">
        <v>0</v>
      </c>
      <c r="I64" s="13">
        <v>0</v>
      </c>
      <c r="J64" s="10">
        <f t="shared" si="0"/>
        <v>0</v>
      </c>
    </row>
    <row r="65" spans="1:10" x14ac:dyDescent="0.3">
      <c r="A65" s="6" t="s">
        <v>40</v>
      </c>
      <c r="B65" s="7">
        <v>13.7399</v>
      </c>
      <c r="C65" s="32">
        <v>24</v>
      </c>
      <c r="D65" s="8">
        <v>1</v>
      </c>
      <c r="E65" s="8">
        <v>0</v>
      </c>
      <c r="F65" s="9">
        <v>0</v>
      </c>
      <c r="G65" s="8">
        <v>0</v>
      </c>
      <c r="H65" s="8">
        <v>0</v>
      </c>
      <c r="I65" s="8">
        <v>0</v>
      </c>
      <c r="J65" s="10">
        <f t="shared" si="0"/>
        <v>0</v>
      </c>
    </row>
    <row r="66" spans="1:10" x14ac:dyDescent="0.3">
      <c r="A66" s="11" t="s">
        <v>41</v>
      </c>
      <c r="B66" s="12">
        <v>15.6328</v>
      </c>
      <c r="C66" s="37">
        <v>17</v>
      </c>
      <c r="D66" s="13">
        <v>1</v>
      </c>
      <c r="E66" s="13">
        <v>0</v>
      </c>
      <c r="F66" s="14">
        <v>0</v>
      </c>
      <c r="G66" s="13">
        <v>0</v>
      </c>
      <c r="H66" s="13">
        <v>0</v>
      </c>
      <c r="I66" s="13">
        <v>0</v>
      </c>
      <c r="J66" s="10">
        <f t="shared" si="0"/>
        <v>0</v>
      </c>
    </row>
    <row r="67" spans="1:10" x14ac:dyDescent="0.3">
      <c r="A67" s="6" t="s">
        <v>41</v>
      </c>
      <c r="B67" s="7">
        <v>17.756</v>
      </c>
      <c r="C67" s="32">
        <v>12</v>
      </c>
      <c r="D67" s="8">
        <v>1</v>
      </c>
      <c r="E67" s="8">
        <v>0</v>
      </c>
      <c r="F67" s="9">
        <v>0</v>
      </c>
      <c r="G67" s="8">
        <v>0</v>
      </c>
      <c r="H67" s="8">
        <v>0</v>
      </c>
      <c r="I67" s="8">
        <v>0</v>
      </c>
      <c r="J67" s="10">
        <f t="shared" si="0"/>
        <v>0</v>
      </c>
    </row>
    <row r="68" spans="1:10" x14ac:dyDescent="0.3">
      <c r="A68" s="11" t="s">
        <v>41</v>
      </c>
      <c r="B68" s="12">
        <v>14.2026</v>
      </c>
      <c r="C68" s="37">
        <v>24</v>
      </c>
      <c r="D68" s="13">
        <v>1</v>
      </c>
      <c r="E68" s="13">
        <v>0</v>
      </c>
      <c r="F68" s="14">
        <v>0</v>
      </c>
      <c r="G68" s="13">
        <v>0</v>
      </c>
      <c r="H68" s="13">
        <v>0</v>
      </c>
      <c r="I68" s="13">
        <v>0</v>
      </c>
      <c r="J68" s="10">
        <f t="shared" si="0"/>
        <v>0</v>
      </c>
    </row>
    <row r="69" spans="1:10" x14ac:dyDescent="0.3">
      <c r="A69" s="6" t="s">
        <v>41</v>
      </c>
      <c r="B69" s="7">
        <v>12.2668</v>
      </c>
      <c r="C69" s="32">
        <v>25</v>
      </c>
      <c r="D69" s="8">
        <v>1</v>
      </c>
      <c r="E69" s="8">
        <v>0</v>
      </c>
      <c r="F69" s="9">
        <v>0</v>
      </c>
      <c r="G69" s="8">
        <v>0</v>
      </c>
      <c r="H69" s="8">
        <v>0</v>
      </c>
      <c r="I69" s="8">
        <v>0</v>
      </c>
      <c r="J69" s="10">
        <f t="shared" si="0"/>
        <v>0</v>
      </c>
    </row>
    <row r="70" spans="1:10" x14ac:dyDescent="0.3">
      <c r="A70" s="11" t="s">
        <v>41</v>
      </c>
      <c r="B70" s="12">
        <v>10.368499999999999</v>
      </c>
      <c r="C70" s="37">
        <v>33</v>
      </c>
      <c r="D70" s="13">
        <v>1</v>
      </c>
      <c r="E70" s="13">
        <v>0</v>
      </c>
      <c r="F70" s="14">
        <v>0</v>
      </c>
      <c r="G70" s="13">
        <v>0</v>
      </c>
      <c r="H70" s="13">
        <v>0</v>
      </c>
      <c r="I70" s="13">
        <v>0</v>
      </c>
      <c r="J70" s="10">
        <f t="shared" ref="J70:J133" si="1">SUM(E70:I70)</f>
        <v>0</v>
      </c>
    </row>
    <row r="71" spans="1:10" x14ac:dyDescent="0.3">
      <c r="A71" s="6" t="s">
        <v>40</v>
      </c>
      <c r="B71" s="7">
        <v>7.4744999999999999</v>
      </c>
      <c r="C71" s="32">
        <v>33</v>
      </c>
      <c r="D71" s="8">
        <v>1</v>
      </c>
      <c r="E71" s="8">
        <v>0</v>
      </c>
      <c r="F71" s="9">
        <v>0</v>
      </c>
      <c r="G71" s="8">
        <v>0</v>
      </c>
      <c r="H71" s="8">
        <v>0</v>
      </c>
      <c r="I71" s="8">
        <v>0</v>
      </c>
      <c r="J71" s="10">
        <f t="shared" si="1"/>
        <v>0</v>
      </c>
    </row>
    <row r="72" spans="1:10" x14ac:dyDescent="0.3">
      <c r="A72" s="11" t="s">
        <v>41</v>
      </c>
      <c r="B72" s="12">
        <v>13.383699999999999</v>
      </c>
      <c r="C72" s="37">
        <v>24</v>
      </c>
      <c r="D72" s="13">
        <v>1</v>
      </c>
      <c r="E72" s="13">
        <v>0</v>
      </c>
      <c r="F72" s="14">
        <v>0</v>
      </c>
      <c r="G72" s="13">
        <v>0</v>
      </c>
      <c r="H72" s="13">
        <v>0</v>
      </c>
      <c r="I72" s="13">
        <v>0</v>
      </c>
      <c r="J72" s="10">
        <f t="shared" si="1"/>
        <v>0</v>
      </c>
    </row>
    <row r="73" spans="1:10" x14ac:dyDescent="0.3">
      <c r="A73" s="6" t="s">
        <v>41</v>
      </c>
      <c r="B73" s="7">
        <v>12.1677</v>
      </c>
      <c r="C73" s="32">
        <v>31</v>
      </c>
      <c r="D73" s="8">
        <v>1</v>
      </c>
      <c r="E73" s="8">
        <v>0</v>
      </c>
      <c r="F73" s="9">
        <v>0</v>
      </c>
      <c r="G73" s="8">
        <v>0</v>
      </c>
      <c r="H73" s="8">
        <v>0</v>
      </c>
      <c r="I73" s="8">
        <v>0</v>
      </c>
      <c r="J73" s="10">
        <f t="shared" si="1"/>
        <v>0</v>
      </c>
    </row>
    <row r="74" spans="1:10" x14ac:dyDescent="0.3">
      <c r="A74" s="11" t="s">
        <v>41</v>
      </c>
      <c r="B74" s="12">
        <v>8.9725999999999999</v>
      </c>
      <c r="C74" s="37">
        <v>0</v>
      </c>
      <c r="D74" s="13">
        <v>1</v>
      </c>
      <c r="E74" s="13">
        <v>0</v>
      </c>
      <c r="F74" s="14">
        <v>0</v>
      </c>
      <c r="G74" s="13">
        <v>0</v>
      </c>
      <c r="H74" s="13">
        <v>0</v>
      </c>
      <c r="I74" s="13">
        <v>0</v>
      </c>
      <c r="J74" s="10">
        <f t="shared" si="1"/>
        <v>0</v>
      </c>
    </row>
    <row r="75" spans="1:10" x14ac:dyDescent="0.3">
      <c r="A75" s="6" t="s">
        <v>41</v>
      </c>
      <c r="B75" s="7">
        <v>10.8896</v>
      </c>
      <c r="C75" s="32">
        <v>0</v>
      </c>
      <c r="D75" s="8">
        <v>0</v>
      </c>
      <c r="E75" s="8">
        <v>3</v>
      </c>
      <c r="F75" s="9">
        <v>1</v>
      </c>
      <c r="G75" s="8">
        <v>0</v>
      </c>
      <c r="H75" s="8">
        <v>0</v>
      </c>
      <c r="I75" s="8">
        <v>0</v>
      </c>
      <c r="J75" s="10">
        <f t="shared" si="1"/>
        <v>4</v>
      </c>
    </row>
    <row r="76" spans="1:10" x14ac:dyDescent="0.3">
      <c r="A76" s="11" t="s">
        <v>40</v>
      </c>
      <c r="B76" s="12">
        <v>14.0458</v>
      </c>
      <c r="C76" s="37">
        <v>19</v>
      </c>
      <c r="D76" s="13">
        <v>0</v>
      </c>
      <c r="E76" s="13">
        <v>0</v>
      </c>
      <c r="F76" s="14">
        <v>0</v>
      </c>
      <c r="G76" s="13">
        <v>0</v>
      </c>
      <c r="H76" s="13">
        <v>0</v>
      </c>
      <c r="I76" s="13">
        <v>2</v>
      </c>
      <c r="J76" s="10">
        <f t="shared" si="1"/>
        <v>2</v>
      </c>
    </row>
    <row r="77" spans="1:10" x14ac:dyDescent="0.3">
      <c r="A77" s="6" t="s">
        <v>40</v>
      </c>
      <c r="B77" s="7">
        <v>14.3087</v>
      </c>
      <c r="C77" s="32">
        <v>19</v>
      </c>
      <c r="D77" s="8">
        <v>1</v>
      </c>
      <c r="E77" s="8">
        <v>0</v>
      </c>
      <c r="F77" s="9">
        <v>0</v>
      </c>
      <c r="G77" s="8">
        <v>0</v>
      </c>
      <c r="H77" s="8">
        <v>0</v>
      </c>
      <c r="I77" s="8">
        <v>0</v>
      </c>
      <c r="J77" s="10">
        <f t="shared" si="1"/>
        <v>0</v>
      </c>
    </row>
    <row r="78" spans="1:10" x14ac:dyDescent="0.3">
      <c r="A78" s="11" t="s">
        <v>40</v>
      </c>
      <c r="B78" s="12">
        <v>12.994</v>
      </c>
      <c r="C78" s="37">
        <v>23</v>
      </c>
      <c r="D78" s="13">
        <v>1</v>
      </c>
      <c r="E78" s="13">
        <v>0</v>
      </c>
      <c r="F78" s="14">
        <v>0</v>
      </c>
      <c r="G78" s="13">
        <v>0</v>
      </c>
      <c r="H78" s="13">
        <v>0</v>
      </c>
      <c r="I78" s="13">
        <v>0</v>
      </c>
      <c r="J78" s="10">
        <f t="shared" si="1"/>
        <v>0</v>
      </c>
    </row>
    <row r="79" spans="1:10" x14ac:dyDescent="0.3">
      <c r="A79" s="6" t="s">
        <v>41</v>
      </c>
      <c r="B79" s="7">
        <v>14.4171</v>
      </c>
      <c r="C79" s="32">
        <v>22</v>
      </c>
      <c r="D79" s="8">
        <v>0</v>
      </c>
      <c r="E79" s="8">
        <v>4</v>
      </c>
      <c r="F79" s="9">
        <v>0</v>
      </c>
      <c r="G79" s="8">
        <v>0</v>
      </c>
      <c r="H79" s="8">
        <v>0</v>
      </c>
      <c r="I79" s="8">
        <v>0</v>
      </c>
      <c r="J79" s="10">
        <f t="shared" si="1"/>
        <v>4</v>
      </c>
    </row>
    <row r="80" spans="1:10" x14ac:dyDescent="0.3">
      <c r="A80" s="11" t="s">
        <v>41</v>
      </c>
      <c r="B80" s="12">
        <v>9.3763000000000005</v>
      </c>
      <c r="C80" s="37">
        <v>28</v>
      </c>
      <c r="D80" s="13">
        <v>1</v>
      </c>
      <c r="E80" s="13">
        <v>0</v>
      </c>
      <c r="F80" s="14">
        <v>0</v>
      </c>
      <c r="G80" s="13">
        <v>0</v>
      </c>
      <c r="H80" s="13">
        <v>0</v>
      </c>
      <c r="I80" s="13">
        <v>0</v>
      </c>
      <c r="J80" s="10">
        <f t="shared" si="1"/>
        <v>0</v>
      </c>
    </row>
    <row r="81" spans="1:10" x14ac:dyDescent="0.3">
      <c r="A81" s="6" t="s">
        <v>41</v>
      </c>
      <c r="B81" s="7">
        <v>11.819000000000001</v>
      </c>
      <c r="C81" s="32">
        <v>24</v>
      </c>
      <c r="D81" s="8">
        <v>1</v>
      </c>
      <c r="E81" s="8">
        <v>0</v>
      </c>
      <c r="F81" s="9">
        <v>0</v>
      </c>
      <c r="G81" s="8">
        <v>0</v>
      </c>
      <c r="H81" s="8">
        <v>0</v>
      </c>
      <c r="I81" s="8">
        <v>0</v>
      </c>
      <c r="J81" s="10">
        <f t="shared" si="1"/>
        <v>0</v>
      </c>
    </row>
    <row r="82" spans="1:10" x14ac:dyDescent="0.3">
      <c r="A82" s="11" t="s">
        <v>41</v>
      </c>
      <c r="B82" s="12">
        <v>19.648700000000002</v>
      </c>
      <c r="C82" s="37">
        <v>13</v>
      </c>
      <c r="D82" s="13">
        <v>1</v>
      </c>
      <c r="E82" s="13">
        <v>0</v>
      </c>
      <c r="F82" s="14">
        <v>0</v>
      </c>
      <c r="G82" s="13">
        <v>0</v>
      </c>
      <c r="H82" s="13">
        <v>0</v>
      </c>
      <c r="I82" s="13">
        <v>0</v>
      </c>
      <c r="J82" s="10">
        <f t="shared" si="1"/>
        <v>0</v>
      </c>
    </row>
    <row r="83" spans="1:10" x14ac:dyDescent="0.3">
      <c r="A83" s="6" t="s">
        <v>41</v>
      </c>
      <c r="B83" s="7">
        <v>14.4018</v>
      </c>
      <c r="C83" s="32">
        <v>18</v>
      </c>
      <c r="D83" s="8">
        <v>0</v>
      </c>
      <c r="E83" s="8">
        <v>2</v>
      </c>
      <c r="F83" s="9">
        <v>3</v>
      </c>
      <c r="G83" s="8">
        <v>0</v>
      </c>
      <c r="H83" s="8">
        <v>0</v>
      </c>
      <c r="I83" s="8">
        <v>0</v>
      </c>
      <c r="J83" s="10">
        <f t="shared" si="1"/>
        <v>5</v>
      </c>
    </row>
    <row r="84" spans="1:10" x14ac:dyDescent="0.3">
      <c r="A84" s="11" t="s">
        <v>40</v>
      </c>
      <c r="B84" s="12">
        <v>19.557200000000002</v>
      </c>
      <c r="C84" s="37">
        <v>8</v>
      </c>
      <c r="D84" s="13">
        <v>1</v>
      </c>
      <c r="E84" s="13">
        <v>0</v>
      </c>
      <c r="F84" s="14">
        <v>0</v>
      </c>
      <c r="G84" s="13">
        <v>0</v>
      </c>
      <c r="H84" s="13">
        <v>0</v>
      </c>
      <c r="I84" s="13">
        <v>0</v>
      </c>
      <c r="J84" s="10">
        <f t="shared" si="1"/>
        <v>0</v>
      </c>
    </row>
    <row r="85" spans="1:10" x14ac:dyDescent="0.3">
      <c r="A85" s="6" t="s">
        <v>41</v>
      </c>
      <c r="B85" s="7">
        <v>17.197299999999998</v>
      </c>
      <c r="C85" s="32">
        <v>17</v>
      </c>
      <c r="D85" s="8">
        <v>0</v>
      </c>
      <c r="E85" s="8">
        <v>1</v>
      </c>
      <c r="F85" s="9">
        <v>0</v>
      </c>
      <c r="G85" s="8">
        <v>0</v>
      </c>
      <c r="H85" s="8">
        <v>0</v>
      </c>
      <c r="I85" s="8">
        <v>0</v>
      </c>
      <c r="J85" s="10">
        <f t="shared" si="1"/>
        <v>1</v>
      </c>
    </row>
    <row r="86" spans="1:10" x14ac:dyDescent="0.3">
      <c r="A86" s="11" t="s">
        <v>41</v>
      </c>
      <c r="B86" s="12">
        <v>15.7805</v>
      </c>
      <c r="C86" s="37">
        <v>23</v>
      </c>
      <c r="D86" s="13">
        <v>1</v>
      </c>
      <c r="E86" s="13">
        <v>0</v>
      </c>
      <c r="F86" s="14">
        <v>0</v>
      </c>
      <c r="G86" s="13">
        <v>0</v>
      </c>
      <c r="H86" s="13">
        <v>0</v>
      </c>
      <c r="I86" s="13">
        <v>0</v>
      </c>
      <c r="J86" s="10">
        <f t="shared" si="1"/>
        <v>0</v>
      </c>
    </row>
    <row r="87" spans="1:10" x14ac:dyDescent="0.3">
      <c r="A87" s="6" t="s">
        <v>41</v>
      </c>
      <c r="B87" s="7">
        <v>11.7742</v>
      </c>
      <c r="C87" s="32">
        <v>25</v>
      </c>
      <c r="D87" s="8">
        <v>1</v>
      </c>
      <c r="E87" s="8">
        <v>0</v>
      </c>
      <c r="F87" s="9">
        <v>0</v>
      </c>
      <c r="G87" s="8">
        <v>0</v>
      </c>
      <c r="H87" s="8">
        <v>0</v>
      </c>
      <c r="I87" s="8">
        <v>0</v>
      </c>
      <c r="J87" s="10">
        <f t="shared" si="1"/>
        <v>0</v>
      </c>
    </row>
    <row r="88" spans="1:10" x14ac:dyDescent="0.3">
      <c r="A88" s="11" t="s">
        <v>41</v>
      </c>
      <c r="B88" s="12">
        <v>12.667</v>
      </c>
      <c r="C88" s="37">
        <v>22</v>
      </c>
      <c r="D88" s="13">
        <v>0</v>
      </c>
      <c r="E88" s="13">
        <v>2</v>
      </c>
      <c r="F88" s="14">
        <v>0</v>
      </c>
      <c r="G88" s="13">
        <v>0</v>
      </c>
      <c r="H88" s="13">
        <v>0</v>
      </c>
      <c r="I88" s="13">
        <v>0</v>
      </c>
      <c r="J88" s="10">
        <f t="shared" si="1"/>
        <v>2</v>
      </c>
    </row>
    <row r="89" spans="1:10" x14ac:dyDescent="0.3">
      <c r="A89" s="6" t="s">
        <v>41</v>
      </c>
      <c r="B89" s="7">
        <v>12.6981</v>
      </c>
      <c r="C89" s="32">
        <v>29</v>
      </c>
      <c r="D89" s="8">
        <v>1</v>
      </c>
      <c r="E89" s="8">
        <v>0</v>
      </c>
      <c r="F89" s="9">
        <v>0</v>
      </c>
      <c r="G89" s="8">
        <v>0</v>
      </c>
      <c r="H89" s="8">
        <v>0</v>
      </c>
      <c r="I89" s="8">
        <v>0</v>
      </c>
      <c r="J89" s="10">
        <f t="shared" si="1"/>
        <v>0</v>
      </c>
    </row>
    <row r="90" spans="1:10" x14ac:dyDescent="0.3">
      <c r="A90" s="11" t="s">
        <v>41</v>
      </c>
      <c r="B90" s="12">
        <v>10.2637</v>
      </c>
      <c r="C90" s="37">
        <v>33</v>
      </c>
      <c r="D90" s="13">
        <v>1</v>
      </c>
      <c r="E90" s="13">
        <v>0</v>
      </c>
      <c r="F90" s="14">
        <v>0</v>
      </c>
      <c r="G90" s="13">
        <v>0</v>
      </c>
      <c r="H90" s="13">
        <v>0</v>
      </c>
      <c r="I90" s="13">
        <v>0</v>
      </c>
      <c r="J90" s="10">
        <f t="shared" si="1"/>
        <v>0</v>
      </c>
    </row>
    <row r="91" spans="1:10" x14ac:dyDescent="0.3">
      <c r="A91" s="6" t="s">
        <v>41</v>
      </c>
      <c r="B91" s="7">
        <v>10.1691</v>
      </c>
      <c r="C91" s="32">
        <v>31</v>
      </c>
      <c r="D91" s="8">
        <v>1</v>
      </c>
      <c r="E91" s="8">
        <v>0</v>
      </c>
      <c r="F91" s="9">
        <v>0</v>
      </c>
      <c r="G91" s="8">
        <v>0</v>
      </c>
      <c r="H91" s="8">
        <v>0</v>
      </c>
      <c r="I91" s="8">
        <v>0</v>
      </c>
      <c r="J91" s="10">
        <f t="shared" si="1"/>
        <v>0</v>
      </c>
    </row>
    <row r="92" spans="1:10" x14ac:dyDescent="0.3">
      <c r="A92" s="11" t="s">
        <v>41</v>
      </c>
      <c r="B92" s="12">
        <v>10.4701</v>
      </c>
      <c r="C92" s="37">
        <v>34</v>
      </c>
      <c r="D92" s="13">
        <v>1</v>
      </c>
      <c r="E92" s="13">
        <v>0</v>
      </c>
      <c r="F92" s="14">
        <v>0</v>
      </c>
      <c r="G92" s="13">
        <v>0</v>
      </c>
      <c r="H92" s="13">
        <v>0</v>
      </c>
      <c r="I92" s="13">
        <v>0</v>
      </c>
      <c r="J92" s="10">
        <f t="shared" si="1"/>
        <v>0</v>
      </c>
    </row>
    <row r="93" spans="1:10" x14ac:dyDescent="0.3">
      <c r="A93" s="6" t="s">
        <v>41</v>
      </c>
      <c r="B93" s="7">
        <v>11.5495</v>
      </c>
      <c r="C93" s="32">
        <v>27</v>
      </c>
      <c r="D93" s="8">
        <v>1</v>
      </c>
      <c r="E93" s="8">
        <v>0</v>
      </c>
      <c r="F93" s="9">
        <v>0</v>
      </c>
      <c r="G93" s="8">
        <v>0</v>
      </c>
      <c r="H93" s="8">
        <v>0</v>
      </c>
      <c r="I93" s="8">
        <v>0</v>
      </c>
      <c r="J93" s="10">
        <f t="shared" si="1"/>
        <v>0</v>
      </c>
    </row>
    <row r="94" spans="1:10" x14ac:dyDescent="0.3">
      <c r="A94" s="11" t="s">
        <v>41</v>
      </c>
      <c r="B94" s="12">
        <v>12.128</v>
      </c>
      <c r="C94" s="37">
        <v>23</v>
      </c>
      <c r="D94" s="13">
        <v>0</v>
      </c>
      <c r="E94" s="13">
        <v>1</v>
      </c>
      <c r="F94" s="14">
        <v>0</v>
      </c>
      <c r="G94" s="13">
        <v>0</v>
      </c>
      <c r="H94" s="13">
        <v>0</v>
      </c>
      <c r="I94" s="13">
        <v>0</v>
      </c>
      <c r="J94" s="10">
        <f t="shared" si="1"/>
        <v>1</v>
      </c>
    </row>
    <row r="95" spans="1:10" x14ac:dyDescent="0.3">
      <c r="A95" s="6" t="s">
        <v>41</v>
      </c>
      <c r="B95" s="7">
        <v>10.1501</v>
      </c>
      <c r="C95" s="32">
        <v>35</v>
      </c>
      <c r="D95" s="8">
        <v>1</v>
      </c>
      <c r="E95" s="8">
        <v>0</v>
      </c>
      <c r="F95" s="9">
        <v>0</v>
      </c>
      <c r="G95" s="8">
        <v>0</v>
      </c>
      <c r="H95" s="8">
        <v>0</v>
      </c>
      <c r="I95" s="8">
        <v>0</v>
      </c>
      <c r="J95" s="10">
        <f t="shared" si="1"/>
        <v>0</v>
      </c>
    </row>
    <row r="96" spans="1:10" x14ac:dyDescent="0.3">
      <c r="A96" s="11" t="s">
        <v>41</v>
      </c>
      <c r="B96" s="12">
        <v>11.065200000000001</v>
      </c>
      <c r="C96" s="37">
        <v>0</v>
      </c>
      <c r="D96" s="13">
        <v>1</v>
      </c>
      <c r="E96" s="13">
        <v>0</v>
      </c>
      <c r="F96" s="14">
        <v>0</v>
      </c>
      <c r="G96" s="13">
        <v>0</v>
      </c>
      <c r="H96" s="13">
        <v>0</v>
      </c>
      <c r="I96" s="13">
        <v>0</v>
      </c>
      <c r="J96" s="10">
        <f t="shared" si="1"/>
        <v>0</v>
      </c>
    </row>
    <row r="97" spans="1:10" x14ac:dyDescent="0.3">
      <c r="A97" s="6" t="s">
        <v>41</v>
      </c>
      <c r="B97" s="7">
        <v>11.894600000000001</v>
      </c>
      <c r="C97" s="32">
        <v>25</v>
      </c>
      <c r="D97" s="8">
        <v>1</v>
      </c>
      <c r="E97" s="8">
        <v>0</v>
      </c>
      <c r="F97" s="9">
        <v>0</v>
      </c>
      <c r="G97" s="8">
        <v>0</v>
      </c>
      <c r="H97" s="8">
        <v>0</v>
      </c>
      <c r="I97" s="8">
        <v>0</v>
      </c>
      <c r="J97" s="10">
        <f t="shared" si="1"/>
        <v>0</v>
      </c>
    </row>
    <row r="98" spans="1:10" x14ac:dyDescent="0.3">
      <c r="A98" s="11" t="s">
        <v>41</v>
      </c>
      <c r="B98" s="12">
        <v>10.511100000000001</v>
      </c>
      <c r="C98" s="37">
        <v>34</v>
      </c>
      <c r="D98" s="13">
        <v>0</v>
      </c>
      <c r="E98" s="13">
        <v>5</v>
      </c>
      <c r="F98" s="14">
        <v>0</v>
      </c>
      <c r="G98" s="13">
        <v>0</v>
      </c>
      <c r="H98" s="13">
        <v>0</v>
      </c>
      <c r="I98" s="13">
        <v>0</v>
      </c>
      <c r="J98" s="10">
        <f t="shared" si="1"/>
        <v>5</v>
      </c>
    </row>
    <row r="99" spans="1:10" x14ac:dyDescent="0.3">
      <c r="A99" s="6" t="s">
        <v>41</v>
      </c>
      <c r="B99" s="7">
        <v>6.8468</v>
      </c>
      <c r="C99" s="32">
        <v>35</v>
      </c>
      <c r="D99" s="8">
        <v>1</v>
      </c>
      <c r="E99" s="8">
        <v>0</v>
      </c>
      <c r="F99" s="9">
        <v>0</v>
      </c>
      <c r="G99" s="8">
        <v>0</v>
      </c>
      <c r="H99" s="8">
        <v>0</v>
      </c>
      <c r="I99" s="8">
        <v>0</v>
      </c>
      <c r="J99" s="10">
        <f t="shared" si="1"/>
        <v>0</v>
      </c>
    </row>
    <row r="100" spans="1:10" x14ac:dyDescent="0.3">
      <c r="A100" s="11" t="s">
        <v>41</v>
      </c>
      <c r="B100" s="12">
        <v>12.0503</v>
      </c>
      <c r="C100" s="37">
        <v>26</v>
      </c>
      <c r="D100" s="13">
        <v>1</v>
      </c>
      <c r="E100" s="13">
        <v>0</v>
      </c>
      <c r="F100" s="14">
        <v>0</v>
      </c>
      <c r="G100" s="13">
        <v>0</v>
      </c>
      <c r="H100" s="13">
        <v>0</v>
      </c>
      <c r="I100" s="13">
        <v>0</v>
      </c>
      <c r="J100" s="10">
        <f t="shared" si="1"/>
        <v>0</v>
      </c>
    </row>
    <row r="101" spans="1:10" x14ac:dyDescent="0.3">
      <c r="A101" s="6" t="s">
        <v>41</v>
      </c>
      <c r="B101" s="7">
        <v>13.002599999999999</v>
      </c>
      <c r="C101" s="32">
        <v>25</v>
      </c>
      <c r="D101" s="8">
        <v>1</v>
      </c>
      <c r="E101" s="8">
        <v>0</v>
      </c>
      <c r="F101" s="9">
        <v>0</v>
      </c>
      <c r="G101" s="8">
        <v>0</v>
      </c>
      <c r="H101" s="8">
        <v>0</v>
      </c>
      <c r="I101" s="8">
        <v>0</v>
      </c>
      <c r="J101" s="10">
        <f t="shared" si="1"/>
        <v>0</v>
      </c>
    </row>
    <row r="102" spans="1:10" x14ac:dyDescent="0.3">
      <c r="A102" s="11" t="s">
        <v>40</v>
      </c>
      <c r="B102" s="12">
        <v>9.8071999999999999</v>
      </c>
      <c r="C102" s="37">
        <v>31</v>
      </c>
      <c r="D102" s="13">
        <v>1</v>
      </c>
      <c r="E102" s="13">
        <v>0</v>
      </c>
      <c r="F102" s="14">
        <v>0</v>
      </c>
      <c r="G102" s="13">
        <v>0</v>
      </c>
      <c r="H102" s="13">
        <v>0</v>
      </c>
      <c r="I102" s="13">
        <v>0</v>
      </c>
      <c r="J102" s="10">
        <f t="shared" si="1"/>
        <v>0</v>
      </c>
    </row>
    <row r="103" spans="1:10" x14ac:dyDescent="0.3">
      <c r="A103" s="6" t="s">
        <v>41</v>
      </c>
      <c r="B103" s="7">
        <v>9.8634000000000004</v>
      </c>
      <c r="C103" s="32">
        <v>34</v>
      </c>
      <c r="D103" s="8">
        <v>0</v>
      </c>
      <c r="E103" s="8">
        <v>0</v>
      </c>
      <c r="F103" s="9">
        <v>0</v>
      </c>
      <c r="G103" s="8">
        <v>0</v>
      </c>
      <c r="H103" s="8">
        <v>0</v>
      </c>
      <c r="I103" s="8">
        <v>1</v>
      </c>
      <c r="J103" s="10">
        <f t="shared" si="1"/>
        <v>1</v>
      </c>
    </row>
    <row r="104" spans="1:10" x14ac:dyDescent="0.3">
      <c r="A104" s="11" t="s">
        <v>41</v>
      </c>
      <c r="B104" s="12">
        <v>9.7149999999999999</v>
      </c>
      <c r="C104" s="37">
        <v>30</v>
      </c>
      <c r="D104" s="13">
        <v>1</v>
      </c>
      <c r="E104" s="13">
        <v>0</v>
      </c>
      <c r="F104" s="14">
        <v>0</v>
      </c>
      <c r="G104" s="13">
        <v>0</v>
      </c>
      <c r="H104" s="13">
        <v>0</v>
      </c>
      <c r="I104" s="13">
        <v>0</v>
      </c>
      <c r="J104" s="10">
        <f t="shared" si="1"/>
        <v>0</v>
      </c>
    </row>
    <row r="105" spans="1:10" x14ac:dyDescent="0.3">
      <c r="A105" s="6" t="s">
        <v>40</v>
      </c>
      <c r="B105" s="7">
        <v>7.1642000000000001</v>
      </c>
      <c r="C105" s="32">
        <v>34</v>
      </c>
      <c r="D105" s="8">
        <v>1</v>
      </c>
      <c r="E105" s="8">
        <v>0</v>
      </c>
      <c r="F105" s="9">
        <v>0</v>
      </c>
      <c r="G105" s="8">
        <v>0</v>
      </c>
      <c r="H105" s="8">
        <v>0</v>
      </c>
      <c r="I105" s="8">
        <v>0</v>
      </c>
      <c r="J105" s="10">
        <f t="shared" si="1"/>
        <v>0</v>
      </c>
    </row>
    <row r="106" spans="1:10" x14ac:dyDescent="0.3">
      <c r="A106" s="11" t="s">
        <v>41</v>
      </c>
      <c r="B106" s="12">
        <v>11.6174</v>
      </c>
      <c r="C106" s="37">
        <v>29</v>
      </c>
      <c r="D106" s="13">
        <v>0</v>
      </c>
      <c r="E106" s="13">
        <v>5</v>
      </c>
      <c r="F106" s="14">
        <v>0</v>
      </c>
      <c r="G106" s="13">
        <v>0</v>
      </c>
      <c r="H106" s="13">
        <v>0</v>
      </c>
      <c r="I106" s="13">
        <v>0</v>
      </c>
      <c r="J106" s="10">
        <f t="shared" si="1"/>
        <v>5</v>
      </c>
    </row>
    <row r="107" spans="1:10" x14ac:dyDescent="0.3">
      <c r="A107" s="6" t="s">
        <v>41</v>
      </c>
      <c r="B107" s="7">
        <v>17.0807</v>
      </c>
      <c r="C107" s="32">
        <v>16</v>
      </c>
      <c r="D107" s="8">
        <v>0</v>
      </c>
      <c r="E107" s="8">
        <v>0</v>
      </c>
      <c r="F107" s="9">
        <v>2</v>
      </c>
      <c r="G107" s="8">
        <v>0</v>
      </c>
      <c r="H107" s="8">
        <v>0</v>
      </c>
      <c r="I107" s="8">
        <v>0</v>
      </c>
      <c r="J107" s="10">
        <f t="shared" si="1"/>
        <v>2</v>
      </c>
    </row>
    <row r="108" spans="1:10" x14ac:dyDescent="0.3">
      <c r="A108" s="11" t="s">
        <v>41</v>
      </c>
      <c r="B108" s="12">
        <v>6.8228999999999997</v>
      </c>
      <c r="C108" s="37">
        <v>38</v>
      </c>
      <c r="D108" s="13">
        <v>0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0">
        <f t="shared" si="1"/>
        <v>1</v>
      </c>
    </row>
    <row r="109" spans="1:10" x14ac:dyDescent="0.3">
      <c r="A109" s="6" t="s">
        <v>41</v>
      </c>
      <c r="B109" s="7">
        <v>13.8804</v>
      </c>
      <c r="C109" s="32">
        <v>23</v>
      </c>
      <c r="D109" s="8">
        <v>0</v>
      </c>
      <c r="E109" s="8">
        <v>2</v>
      </c>
      <c r="F109" s="9">
        <v>0</v>
      </c>
      <c r="G109" s="8">
        <v>0</v>
      </c>
      <c r="H109" s="8">
        <v>0</v>
      </c>
      <c r="I109" s="8">
        <v>0</v>
      </c>
      <c r="J109" s="10">
        <f t="shared" si="1"/>
        <v>2</v>
      </c>
    </row>
    <row r="110" spans="1:10" x14ac:dyDescent="0.3">
      <c r="A110" s="11" t="s">
        <v>40</v>
      </c>
      <c r="B110" s="12">
        <v>10.883699999999999</v>
      </c>
      <c r="C110" s="37">
        <v>28</v>
      </c>
      <c r="D110" s="13">
        <v>1</v>
      </c>
      <c r="E110" s="13">
        <v>0</v>
      </c>
      <c r="F110" s="14">
        <v>0</v>
      </c>
      <c r="G110" s="13">
        <v>0</v>
      </c>
      <c r="H110" s="13">
        <v>0</v>
      </c>
      <c r="I110" s="13">
        <v>0</v>
      </c>
      <c r="J110" s="10">
        <f t="shared" si="1"/>
        <v>0</v>
      </c>
    </row>
    <row r="111" spans="1:10" x14ac:dyDescent="0.3">
      <c r="A111" s="6" t="s">
        <v>41</v>
      </c>
      <c r="B111" s="7">
        <v>13.3178</v>
      </c>
      <c r="C111" s="32">
        <v>27</v>
      </c>
      <c r="D111" s="8">
        <v>0</v>
      </c>
      <c r="E111" s="8">
        <v>0</v>
      </c>
      <c r="F111" s="9">
        <v>3</v>
      </c>
      <c r="G111" s="8">
        <v>0</v>
      </c>
      <c r="H111" s="8">
        <v>0</v>
      </c>
      <c r="I111" s="8">
        <v>0</v>
      </c>
      <c r="J111" s="10">
        <f t="shared" si="1"/>
        <v>3</v>
      </c>
    </row>
    <row r="112" spans="1:10" x14ac:dyDescent="0.3">
      <c r="A112" s="11" t="s">
        <v>41</v>
      </c>
      <c r="B112" s="12">
        <v>12.700799999999999</v>
      </c>
      <c r="C112" s="37">
        <v>23</v>
      </c>
      <c r="D112" s="13">
        <v>0</v>
      </c>
      <c r="E112" s="13">
        <v>0</v>
      </c>
      <c r="F112" s="14">
        <v>0</v>
      </c>
      <c r="G112" s="13">
        <v>0</v>
      </c>
      <c r="H112" s="13">
        <v>0</v>
      </c>
      <c r="I112" s="13">
        <v>1</v>
      </c>
      <c r="J112" s="10">
        <f t="shared" si="1"/>
        <v>1</v>
      </c>
    </row>
    <row r="113" spans="1:10" x14ac:dyDescent="0.3">
      <c r="A113" s="6" t="s">
        <v>40</v>
      </c>
      <c r="B113" s="7">
        <v>8.4990000000000006</v>
      </c>
      <c r="C113" s="32">
        <v>30</v>
      </c>
      <c r="D113" s="8">
        <v>0</v>
      </c>
      <c r="E113" s="8">
        <v>0</v>
      </c>
      <c r="F113" s="9">
        <v>0</v>
      </c>
      <c r="G113" s="8">
        <v>0</v>
      </c>
      <c r="H113" s="8">
        <v>0</v>
      </c>
      <c r="I113" s="8">
        <v>1</v>
      </c>
      <c r="J113" s="10">
        <f t="shared" si="1"/>
        <v>1</v>
      </c>
    </row>
    <row r="114" spans="1:10" x14ac:dyDescent="0.3">
      <c r="A114" s="11" t="s">
        <v>41</v>
      </c>
      <c r="B114" s="12">
        <v>13.0886</v>
      </c>
      <c r="C114" s="37">
        <v>26</v>
      </c>
      <c r="D114" s="13">
        <v>1</v>
      </c>
      <c r="E114" s="13">
        <v>0</v>
      </c>
      <c r="F114" s="14">
        <v>0</v>
      </c>
      <c r="G114" s="13">
        <v>0</v>
      </c>
      <c r="H114" s="13">
        <v>0</v>
      </c>
      <c r="I114" s="13">
        <v>0</v>
      </c>
      <c r="J114" s="10">
        <f t="shared" si="1"/>
        <v>0</v>
      </c>
    </row>
    <row r="115" spans="1:10" x14ac:dyDescent="0.3">
      <c r="A115" s="6" t="s">
        <v>41</v>
      </c>
      <c r="B115" s="7">
        <v>13.2607</v>
      </c>
      <c r="C115" s="32">
        <v>28</v>
      </c>
      <c r="D115" s="8">
        <v>1</v>
      </c>
      <c r="E115" s="8">
        <v>0</v>
      </c>
      <c r="F115" s="9">
        <v>0</v>
      </c>
      <c r="G115" s="8">
        <v>0</v>
      </c>
      <c r="H115" s="8">
        <v>0</v>
      </c>
      <c r="I115" s="8">
        <v>0</v>
      </c>
      <c r="J115" s="10">
        <f t="shared" si="1"/>
        <v>0</v>
      </c>
    </row>
    <row r="116" spans="1:10" x14ac:dyDescent="0.3">
      <c r="A116" s="11" t="s">
        <v>41</v>
      </c>
      <c r="B116" s="12">
        <v>14.5105</v>
      </c>
      <c r="C116" s="37">
        <v>21</v>
      </c>
      <c r="D116" s="13">
        <v>1</v>
      </c>
      <c r="E116" s="13">
        <v>0</v>
      </c>
      <c r="F116" s="14">
        <v>0</v>
      </c>
      <c r="G116" s="13">
        <v>0</v>
      </c>
      <c r="H116" s="13">
        <v>0</v>
      </c>
      <c r="I116" s="13">
        <v>0</v>
      </c>
      <c r="J116" s="10">
        <f t="shared" si="1"/>
        <v>0</v>
      </c>
    </row>
    <row r="117" spans="1:10" x14ac:dyDescent="0.3">
      <c r="A117" s="6" t="s">
        <v>41</v>
      </c>
      <c r="B117" s="7">
        <v>16.7638</v>
      </c>
      <c r="C117" s="32">
        <v>17</v>
      </c>
      <c r="D117" s="8">
        <v>0</v>
      </c>
      <c r="E117" s="8">
        <v>0</v>
      </c>
      <c r="F117" s="9">
        <v>0</v>
      </c>
      <c r="G117" s="8">
        <v>0</v>
      </c>
      <c r="H117" s="8">
        <v>1</v>
      </c>
      <c r="I117" s="8">
        <v>0</v>
      </c>
      <c r="J117" s="10">
        <f t="shared" si="1"/>
        <v>1</v>
      </c>
    </row>
    <row r="118" spans="1:10" x14ac:dyDescent="0.3">
      <c r="A118" s="11" t="s">
        <v>41</v>
      </c>
      <c r="B118" s="12">
        <v>16.584199999999999</v>
      </c>
      <c r="C118" s="37">
        <v>20</v>
      </c>
      <c r="D118" s="13">
        <v>0</v>
      </c>
      <c r="E118" s="13">
        <v>0</v>
      </c>
      <c r="F118" s="14">
        <v>0</v>
      </c>
      <c r="G118" s="13">
        <v>0</v>
      </c>
      <c r="H118" s="13">
        <v>1</v>
      </c>
      <c r="I118" s="13">
        <v>0</v>
      </c>
      <c r="J118" s="10">
        <f t="shared" si="1"/>
        <v>1</v>
      </c>
    </row>
    <row r="119" spans="1:10" x14ac:dyDescent="0.3">
      <c r="A119" s="6" t="s">
        <v>41</v>
      </c>
      <c r="B119" s="7">
        <v>19.087599999999998</v>
      </c>
      <c r="C119" s="32">
        <v>12</v>
      </c>
      <c r="D119" s="8">
        <v>1</v>
      </c>
      <c r="E119" s="8">
        <v>0</v>
      </c>
      <c r="F119" s="9">
        <v>0</v>
      </c>
      <c r="G119" s="8">
        <v>0</v>
      </c>
      <c r="H119" s="8">
        <v>0</v>
      </c>
      <c r="I119" s="8">
        <v>0</v>
      </c>
      <c r="J119" s="10">
        <f t="shared" si="1"/>
        <v>0</v>
      </c>
    </row>
    <row r="120" spans="1:10" x14ac:dyDescent="0.3">
      <c r="A120" s="11" t="s">
        <v>41</v>
      </c>
      <c r="B120" s="12">
        <v>15.984</v>
      </c>
      <c r="C120" s="37">
        <v>21</v>
      </c>
      <c r="D120" s="13">
        <v>1</v>
      </c>
      <c r="E120" s="13">
        <v>0</v>
      </c>
      <c r="F120" s="14">
        <v>0</v>
      </c>
      <c r="G120" s="13">
        <v>0</v>
      </c>
      <c r="H120" s="13">
        <v>0</v>
      </c>
      <c r="I120" s="13">
        <v>0</v>
      </c>
      <c r="J120" s="10">
        <f t="shared" si="1"/>
        <v>0</v>
      </c>
    </row>
    <row r="121" spans="1:10" x14ac:dyDescent="0.3">
      <c r="A121" s="6" t="s">
        <v>40</v>
      </c>
      <c r="B121" s="7">
        <v>17.8154</v>
      </c>
      <c r="C121" s="32">
        <v>0</v>
      </c>
      <c r="D121" s="8">
        <v>1</v>
      </c>
      <c r="E121" s="8">
        <v>0</v>
      </c>
      <c r="F121" s="9">
        <v>0</v>
      </c>
      <c r="G121" s="8">
        <v>0</v>
      </c>
      <c r="H121" s="8">
        <v>0</v>
      </c>
      <c r="I121" s="8">
        <v>0</v>
      </c>
      <c r="J121" s="10">
        <f t="shared" si="1"/>
        <v>0</v>
      </c>
    </row>
    <row r="122" spans="1:10" x14ac:dyDescent="0.3">
      <c r="A122" s="11" t="s">
        <v>41</v>
      </c>
      <c r="B122" s="12">
        <v>18.4725</v>
      </c>
      <c r="C122" s="37">
        <v>10</v>
      </c>
      <c r="D122" s="13">
        <v>0</v>
      </c>
      <c r="E122" s="13">
        <v>0</v>
      </c>
      <c r="F122" s="14">
        <v>0</v>
      </c>
      <c r="G122" s="13">
        <v>2</v>
      </c>
      <c r="H122" s="13">
        <v>0</v>
      </c>
      <c r="I122" s="13">
        <v>0</v>
      </c>
      <c r="J122" s="10">
        <f t="shared" si="1"/>
        <v>2</v>
      </c>
    </row>
    <row r="123" spans="1:10" x14ac:dyDescent="0.3">
      <c r="A123" s="6" t="s">
        <v>41</v>
      </c>
      <c r="B123" s="7">
        <v>18.814800000000002</v>
      </c>
      <c r="C123" s="32">
        <v>15</v>
      </c>
      <c r="D123" s="8">
        <v>0</v>
      </c>
      <c r="E123" s="8">
        <v>0</v>
      </c>
      <c r="F123" s="9">
        <v>0</v>
      </c>
      <c r="G123" s="8">
        <v>0</v>
      </c>
      <c r="H123" s="8">
        <v>0</v>
      </c>
      <c r="I123" s="8">
        <v>1</v>
      </c>
      <c r="J123" s="10">
        <f t="shared" si="1"/>
        <v>1</v>
      </c>
    </row>
    <row r="124" spans="1:10" x14ac:dyDescent="0.3">
      <c r="A124" s="11" t="s">
        <v>41</v>
      </c>
      <c r="B124" s="12">
        <v>16.254200000000001</v>
      </c>
      <c r="C124" s="37">
        <v>19</v>
      </c>
      <c r="D124" s="13">
        <v>0</v>
      </c>
      <c r="E124" s="13">
        <v>4</v>
      </c>
      <c r="F124" s="14">
        <v>0</v>
      </c>
      <c r="G124" s="13">
        <v>0</v>
      </c>
      <c r="H124" s="13">
        <v>1</v>
      </c>
      <c r="I124" s="13">
        <v>0</v>
      </c>
      <c r="J124" s="10">
        <f t="shared" si="1"/>
        <v>5</v>
      </c>
    </row>
    <row r="125" spans="1:10" x14ac:dyDescent="0.3">
      <c r="A125" s="6" t="s">
        <v>41</v>
      </c>
      <c r="B125" s="7">
        <v>8.6990999999999996</v>
      </c>
      <c r="C125" s="32">
        <v>30</v>
      </c>
      <c r="D125" s="8">
        <v>1</v>
      </c>
      <c r="E125" s="8">
        <v>0</v>
      </c>
      <c r="F125" s="9">
        <v>0</v>
      </c>
      <c r="G125" s="8">
        <v>0</v>
      </c>
      <c r="H125" s="8">
        <v>0</v>
      </c>
      <c r="I125" s="8">
        <v>0</v>
      </c>
      <c r="J125" s="10">
        <f t="shared" si="1"/>
        <v>0</v>
      </c>
    </row>
    <row r="126" spans="1:10" x14ac:dyDescent="0.3">
      <c r="A126" s="11" t="s">
        <v>41</v>
      </c>
      <c r="B126" s="12">
        <v>20.411200000000001</v>
      </c>
      <c r="C126" s="37">
        <v>11</v>
      </c>
      <c r="D126" s="13">
        <v>1</v>
      </c>
      <c r="E126" s="13">
        <v>0</v>
      </c>
      <c r="F126" s="14">
        <v>0</v>
      </c>
      <c r="G126" s="13">
        <v>0</v>
      </c>
      <c r="H126" s="13">
        <v>0</v>
      </c>
      <c r="I126" s="13">
        <v>0</v>
      </c>
      <c r="J126" s="10">
        <f t="shared" si="1"/>
        <v>0</v>
      </c>
    </row>
    <row r="127" spans="1:10" x14ac:dyDescent="0.3">
      <c r="A127" s="6" t="s">
        <v>41</v>
      </c>
      <c r="B127" s="7">
        <v>16.490300000000001</v>
      </c>
      <c r="C127" s="32">
        <v>15</v>
      </c>
      <c r="D127" s="8">
        <v>1</v>
      </c>
      <c r="E127" s="8">
        <v>0</v>
      </c>
      <c r="F127" s="9">
        <v>0</v>
      </c>
      <c r="G127" s="8">
        <v>0</v>
      </c>
      <c r="H127" s="8">
        <v>0</v>
      </c>
      <c r="I127" s="8">
        <v>0</v>
      </c>
      <c r="J127" s="10">
        <f t="shared" si="1"/>
        <v>0</v>
      </c>
    </row>
    <row r="128" spans="1:10" x14ac:dyDescent="0.3">
      <c r="A128" s="11" t="s">
        <v>41</v>
      </c>
      <c r="B128" s="12">
        <v>14.7171</v>
      </c>
      <c r="C128" s="37">
        <v>21</v>
      </c>
      <c r="D128" s="13">
        <v>1</v>
      </c>
      <c r="E128" s="13">
        <v>0</v>
      </c>
      <c r="F128" s="14">
        <v>0</v>
      </c>
      <c r="G128" s="13">
        <v>0</v>
      </c>
      <c r="H128" s="13">
        <v>0</v>
      </c>
      <c r="I128" s="13">
        <v>0</v>
      </c>
      <c r="J128" s="10">
        <f t="shared" si="1"/>
        <v>0</v>
      </c>
    </row>
    <row r="129" spans="1:10" x14ac:dyDescent="0.3">
      <c r="A129" s="6" t="s">
        <v>41</v>
      </c>
      <c r="B129" s="7">
        <v>15.5214</v>
      </c>
      <c r="C129" s="32">
        <v>21</v>
      </c>
      <c r="D129" s="8">
        <v>1</v>
      </c>
      <c r="E129" s="8">
        <v>0</v>
      </c>
      <c r="F129" s="9">
        <v>0</v>
      </c>
      <c r="G129" s="8">
        <v>0</v>
      </c>
      <c r="H129" s="8">
        <v>0</v>
      </c>
      <c r="I129" s="8">
        <v>0</v>
      </c>
      <c r="J129" s="10">
        <f t="shared" si="1"/>
        <v>0</v>
      </c>
    </row>
    <row r="130" spans="1:10" x14ac:dyDescent="0.3">
      <c r="A130" s="11" t="s">
        <v>41</v>
      </c>
      <c r="B130" s="12">
        <v>10.6333</v>
      </c>
      <c r="C130" s="37">
        <v>34</v>
      </c>
      <c r="D130" s="13">
        <v>0</v>
      </c>
      <c r="E130" s="13">
        <v>1</v>
      </c>
      <c r="F130" s="14">
        <v>0</v>
      </c>
      <c r="G130" s="13">
        <v>0</v>
      </c>
      <c r="H130" s="13">
        <v>0</v>
      </c>
      <c r="I130" s="13">
        <v>0</v>
      </c>
      <c r="J130" s="10">
        <f t="shared" si="1"/>
        <v>1</v>
      </c>
    </row>
    <row r="131" spans="1:10" x14ac:dyDescent="0.3">
      <c r="A131" s="6" t="s">
        <v>40</v>
      </c>
      <c r="B131" s="7">
        <v>12.738</v>
      </c>
      <c r="C131" s="32">
        <v>24</v>
      </c>
      <c r="D131" s="8">
        <v>1</v>
      </c>
      <c r="E131" s="8">
        <v>0</v>
      </c>
      <c r="F131" s="9">
        <v>0</v>
      </c>
      <c r="G131" s="8">
        <v>0</v>
      </c>
      <c r="H131" s="8">
        <v>0</v>
      </c>
      <c r="I131" s="8">
        <v>0</v>
      </c>
      <c r="J131" s="10">
        <f t="shared" si="1"/>
        <v>0</v>
      </c>
    </row>
    <row r="132" spans="1:10" x14ac:dyDescent="0.3">
      <c r="A132" s="11" t="s">
        <v>41</v>
      </c>
      <c r="B132" s="12">
        <v>11.1356</v>
      </c>
      <c r="C132" s="37">
        <v>27</v>
      </c>
      <c r="D132" s="13">
        <v>0</v>
      </c>
      <c r="E132" s="13">
        <v>2</v>
      </c>
      <c r="F132" s="14">
        <v>0</v>
      </c>
      <c r="G132" s="13">
        <v>1</v>
      </c>
      <c r="H132" s="13">
        <v>0</v>
      </c>
      <c r="I132" s="13">
        <v>0</v>
      </c>
      <c r="J132" s="10">
        <f t="shared" si="1"/>
        <v>3</v>
      </c>
    </row>
    <row r="133" spans="1:10" x14ac:dyDescent="0.3">
      <c r="A133" s="6" t="s">
        <v>41</v>
      </c>
      <c r="B133" s="7">
        <v>13.916700000000001</v>
      </c>
      <c r="C133" s="32">
        <v>26</v>
      </c>
      <c r="D133" s="8">
        <v>1</v>
      </c>
      <c r="E133" s="8">
        <v>0</v>
      </c>
      <c r="F133" s="9">
        <v>0</v>
      </c>
      <c r="G133" s="8">
        <v>0</v>
      </c>
      <c r="H133" s="8">
        <v>0</v>
      </c>
      <c r="I133" s="8">
        <v>0</v>
      </c>
      <c r="J133" s="10">
        <f t="shared" si="1"/>
        <v>0</v>
      </c>
    </row>
    <row r="134" spans="1:10" x14ac:dyDescent="0.3">
      <c r="A134" s="11" t="s">
        <v>41</v>
      </c>
      <c r="B134" s="12">
        <v>7.4516</v>
      </c>
      <c r="C134" s="37">
        <v>38</v>
      </c>
      <c r="D134" s="13">
        <v>0</v>
      </c>
      <c r="E134" s="13">
        <v>3</v>
      </c>
      <c r="F134" s="14">
        <v>0</v>
      </c>
      <c r="G134" s="13">
        <v>0</v>
      </c>
      <c r="H134" s="13">
        <v>0</v>
      </c>
      <c r="I134" s="13">
        <v>0</v>
      </c>
      <c r="J134" s="10">
        <f t="shared" ref="J134:J197" si="2">SUM(E134:I134)</f>
        <v>3</v>
      </c>
    </row>
    <row r="135" spans="1:10" x14ac:dyDescent="0.3">
      <c r="A135" s="6" t="s">
        <v>41</v>
      </c>
      <c r="B135" s="7">
        <v>12.519600000000001</v>
      </c>
      <c r="C135" s="32">
        <v>30</v>
      </c>
      <c r="D135" s="8">
        <v>1</v>
      </c>
      <c r="E135" s="8">
        <v>0</v>
      </c>
      <c r="F135" s="9">
        <v>0</v>
      </c>
      <c r="G135" s="8">
        <v>0</v>
      </c>
      <c r="H135" s="8">
        <v>0</v>
      </c>
      <c r="I135" s="8">
        <v>0</v>
      </c>
      <c r="J135" s="10">
        <f t="shared" si="2"/>
        <v>0</v>
      </c>
    </row>
    <row r="136" spans="1:10" x14ac:dyDescent="0.3">
      <c r="A136" s="11" t="s">
        <v>41</v>
      </c>
      <c r="B136" s="12">
        <v>10.367800000000001</v>
      </c>
      <c r="C136" s="37">
        <v>29</v>
      </c>
      <c r="D136" s="13">
        <v>0</v>
      </c>
      <c r="E136" s="13">
        <v>0</v>
      </c>
      <c r="F136" s="14">
        <v>0</v>
      </c>
      <c r="G136" s="13">
        <v>0</v>
      </c>
      <c r="H136" s="13">
        <v>0</v>
      </c>
      <c r="I136" s="13">
        <v>2</v>
      </c>
      <c r="J136" s="10">
        <f t="shared" si="2"/>
        <v>2</v>
      </c>
    </row>
    <row r="137" spans="1:10" x14ac:dyDescent="0.3">
      <c r="A137" s="6" t="s">
        <v>41</v>
      </c>
      <c r="B137" s="7">
        <v>16.4069</v>
      </c>
      <c r="C137" s="32">
        <v>17</v>
      </c>
      <c r="D137" s="8">
        <v>1</v>
      </c>
      <c r="E137" s="8">
        <v>0</v>
      </c>
      <c r="F137" s="9">
        <v>0</v>
      </c>
      <c r="G137" s="8">
        <v>0</v>
      </c>
      <c r="H137" s="8">
        <v>0</v>
      </c>
      <c r="I137" s="8">
        <v>0</v>
      </c>
      <c r="J137" s="10">
        <f t="shared" si="2"/>
        <v>0</v>
      </c>
    </row>
    <row r="138" spans="1:10" x14ac:dyDescent="0.3">
      <c r="A138" s="11" t="s">
        <v>41</v>
      </c>
      <c r="B138" s="12">
        <v>10.722899999999999</v>
      </c>
      <c r="C138" s="37">
        <v>30</v>
      </c>
      <c r="D138" s="13">
        <v>1</v>
      </c>
      <c r="E138" s="13">
        <v>0</v>
      </c>
      <c r="F138" s="14">
        <v>0</v>
      </c>
      <c r="G138" s="13">
        <v>0</v>
      </c>
      <c r="H138" s="13">
        <v>0</v>
      </c>
      <c r="I138" s="13">
        <v>0</v>
      </c>
      <c r="J138" s="10">
        <f t="shared" si="2"/>
        <v>0</v>
      </c>
    </row>
    <row r="139" spans="1:10" x14ac:dyDescent="0.3">
      <c r="A139" s="6" t="s">
        <v>41</v>
      </c>
      <c r="B139" s="7">
        <v>19.229299999999999</v>
      </c>
      <c r="C139" s="32">
        <v>13</v>
      </c>
      <c r="D139" s="8">
        <v>1</v>
      </c>
      <c r="E139" s="8">
        <v>0</v>
      </c>
      <c r="F139" s="9">
        <v>0</v>
      </c>
      <c r="G139" s="8">
        <v>0</v>
      </c>
      <c r="H139" s="8">
        <v>0</v>
      </c>
      <c r="I139" s="8">
        <v>0</v>
      </c>
      <c r="J139" s="10">
        <f t="shared" si="2"/>
        <v>0</v>
      </c>
    </row>
    <row r="140" spans="1:10" x14ac:dyDescent="0.3">
      <c r="A140" s="11" t="s">
        <v>41</v>
      </c>
      <c r="B140" s="12">
        <v>11.3154</v>
      </c>
      <c r="C140" s="37">
        <v>30</v>
      </c>
      <c r="D140" s="13">
        <v>1</v>
      </c>
      <c r="E140" s="13">
        <v>0</v>
      </c>
      <c r="F140" s="14">
        <v>0</v>
      </c>
      <c r="G140" s="13">
        <v>0</v>
      </c>
      <c r="H140" s="13">
        <v>0</v>
      </c>
      <c r="I140" s="13">
        <v>0</v>
      </c>
      <c r="J140" s="10">
        <f t="shared" si="2"/>
        <v>0</v>
      </c>
    </row>
    <row r="141" spans="1:10" x14ac:dyDescent="0.3">
      <c r="A141" s="6" t="s">
        <v>40</v>
      </c>
      <c r="B141" s="7">
        <v>20.9541</v>
      </c>
      <c r="C141" s="32">
        <v>5</v>
      </c>
      <c r="D141" s="8">
        <v>1</v>
      </c>
      <c r="E141" s="8">
        <v>0</v>
      </c>
      <c r="F141" s="9">
        <v>0</v>
      </c>
      <c r="G141" s="8">
        <v>0</v>
      </c>
      <c r="H141" s="8">
        <v>0</v>
      </c>
      <c r="I141" s="8">
        <v>0</v>
      </c>
      <c r="J141" s="10">
        <f t="shared" si="2"/>
        <v>0</v>
      </c>
    </row>
    <row r="142" spans="1:10" x14ac:dyDescent="0.3">
      <c r="A142" s="11" t="s">
        <v>41</v>
      </c>
      <c r="B142" s="12">
        <v>10.11</v>
      </c>
      <c r="C142" s="37">
        <v>0</v>
      </c>
      <c r="D142" s="13">
        <v>1</v>
      </c>
      <c r="E142" s="13">
        <v>0</v>
      </c>
      <c r="F142" s="14">
        <v>0</v>
      </c>
      <c r="G142" s="13">
        <v>0</v>
      </c>
      <c r="H142" s="13">
        <v>0</v>
      </c>
      <c r="I142" s="13">
        <v>0</v>
      </c>
      <c r="J142" s="10">
        <f t="shared" si="2"/>
        <v>0</v>
      </c>
    </row>
    <row r="143" spans="1:10" x14ac:dyDescent="0.3">
      <c r="A143" s="6" t="s">
        <v>41</v>
      </c>
      <c r="B143" s="7">
        <v>13.014799999999999</v>
      </c>
      <c r="C143" s="32">
        <v>0</v>
      </c>
      <c r="D143" s="8">
        <v>1</v>
      </c>
      <c r="E143" s="8">
        <v>0</v>
      </c>
      <c r="F143" s="9">
        <v>0</v>
      </c>
      <c r="G143" s="8">
        <v>0</v>
      </c>
      <c r="H143" s="8">
        <v>0</v>
      </c>
      <c r="I143" s="8">
        <v>0</v>
      </c>
      <c r="J143" s="10">
        <f t="shared" si="2"/>
        <v>0</v>
      </c>
    </row>
    <row r="144" spans="1:10" x14ac:dyDescent="0.3">
      <c r="A144" s="11" t="s">
        <v>41</v>
      </c>
      <c r="B144" s="12">
        <v>3.5758000000000001</v>
      </c>
      <c r="C144" s="37">
        <v>40</v>
      </c>
      <c r="D144" s="13">
        <v>1</v>
      </c>
      <c r="E144" s="13">
        <v>0</v>
      </c>
      <c r="F144" s="14">
        <v>0</v>
      </c>
      <c r="G144" s="13">
        <v>0</v>
      </c>
      <c r="H144" s="13">
        <v>0</v>
      </c>
      <c r="I144" s="13">
        <v>0</v>
      </c>
      <c r="J144" s="10">
        <f t="shared" si="2"/>
        <v>0</v>
      </c>
    </row>
    <row r="145" spans="1:10" x14ac:dyDescent="0.3">
      <c r="A145" s="6" t="s">
        <v>41</v>
      </c>
      <c r="B145" s="7">
        <v>12.8203</v>
      </c>
      <c r="C145" s="32">
        <v>28</v>
      </c>
      <c r="D145" s="8">
        <v>1</v>
      </c>
      <c r="E145" s="8">
        <v>0</v>
      </c>
      <c r="F145" s="9">
        <v>0</v>
      </c>
      <c r="G145" s="8">
        <v>0</v>
      </c>
      <c r="H145" s="8">
        <v>0</v>
      </c>
      <c r="I145" s="8">
        <v>0</v>
      </c>
      <c r="J145" s="10">
        <f t="shared" si="2"/>
        <v>0</v>
      </c>
    </row>
    <row r="146" spans="1:10" x14ac:dyDescent="0.3">
      <c r="A146" s="11" t="s">
        <v>40</v>
      </c>
      <c r="B146" s="12">
        <v>16.327100000000002</v>
      </c>
      <c r="C146" s="37">
        <v>22</v>
      </c>
      <c r="D146" s="13">
        <v>1</v>
      </c>
      <c r="E146" s="13">
        <v>0</v>
      </c>
      <c r="F146" s="14">
        <v>0</v>
      </c>
      <c r="G146" s="13">
        <v>0</v>
      </c>
      <c r="H146" s="13">
        <v>0</v>
      </c>
      <c r="I146" s="13">
        <v>0</v>
      </c>
      <c r="J146" s="10">
        <f t="shared" si="2"/>
        <v>0</v>
      </c>
    </row>
    <row r="147" spans="1:10" x14ac:dyDescent="0.3">
      <c r="A147" s="6" t="s">
        <v>40</v>
      </c>
      <c r="B147" s="7">
        <v>16.089600000000001</v>
      </c>
      <c r="C147" s="32">
        <v>0</v>
      </c>
      <c r="D147" s="8">
        <v>1</v>
      </c>
      <c r="E147" s="8">
        <v>0</v>
      </c>
      <c r="F147" s="9">
        <v>0</v>
      </c>
      <c r="G147" s="8">
        <v>0</v>
      </c>
      <c r="H147" s="8">
        <v>0</v>
      </c>
      <c r="I147" s="8">
        <v>0</v>
      </c>
      <c r="J147" s="10">
        <f t="shared" si="2"/>
        <v>0</v>
      </c>
    </row>
    <row r="148" spans="1:10" x14ac:dyDescent="0.3">
      <c r="A148" s="11" t="s">
        <v>40</v>
      </c>
      <c r="B148" s="12">
        <v>21.433299999999999</v>
      </c>
      <c r="C148" s="37">
        <v>9</v>
      </c>
      <c r="D148" s="13">
        <v>0</v>
      </c>
      <c r="E148" s="13">
        <v>0</v>
      </c>
      <c r="F148" s="14">
        <v>2</v>
      </c>
      <c r="G148" s="13">
        <v>0</v>
      </c>
      <c r="H148" s="13">
        <v>0</v>
      </c>
      <c r="I148" s="13">
        <v>0</v>
      </c>
      <c r="J148" s="10">
        <f t="shared" si="2"/>
        <v>2</v>
      </c>
    </row>
    <row r="149" spans="1:10" x14ac:dyDescent="0.3">
      <c r="A149" s="6" t="s">
        <v>41</v>
      </c>
      <c r="B149" s="7">
        <v>10.8316</v>
      </c>
      <c r="C149" s="32">
        <v>29</v>
      </c>
      <c r="D149" s="8">
        <v>0</v>
      </c>
      <c r="E149" s="8">
        <v>1</v>
      </c>
      <c r="F149" s="9">
        <v>0</v>
      </c>
      <c r="G149" s="8">
        <v>0</v>
      </c>
      <c r="H149" s="8">
        <v>0</v>
      </c>
      <c r="I149" s="8">
        <v>0</v>
      </c>
      <c r="J149" s="10">
        <f t="shared" si="2"/>
        <v>1</v>
      </c>
    </row>
    <row r="150" spans="1:10" x14ac:dyDescent="0.3">
      <c r="A150" s="11" t="s">
        <v>40</v>
      </c>
      <c r="B150" s="12">
        <v>13.024900000000001</v>
      </c>
      <c r="C150" s="37">
        <v>22</v>
      </c>
      <c r="D150" s="13">
        <v>1</v>
      </c>
      <c r="E150" s="13">
        <v>0</v>
      </c>
      <c r="F150" s="14">
        <v>0</v>
      </c>
      <c r="G150" s="13">
        <v>0</v>
      </c>
      <c r="H150" s="13">
        <v>0</v>
      </c>
      <c r="I150" s="13">
        <v>0</v>
      </c>
      <c r="J150" s="10">
        <f t="shared" si="2"/>
        <v>0</v>
      </c>
    </row>
    <row r="151" spans="1:10" x14ac:dyDescent="0.3">
      <c r="A151" s="6" t="s">
        <v>41</v>
      </c>
      <c r="B151" s="7">
        <v>18.4621</v>
      </c>
      <c r="C151" s="32">
        <v>12</v>
      </c>
      <c r="D151" s="8">
        <v>1</v>
      </c>
      <c r="E151" s="8">
        <v>0</v>
      </c>
      <c r="F151" s="9">
        <v>0</v>
      </c>
      <c r="G151" s="8">
        <v>0</v>
      </c>
      <c r="H151" s="8">
        <v>0</v>
      </c>
      <c r="I151" s="8">
        <v>0</v>
      </c>
      <c r="J151" s="10">
        <f t="shared" si="2"/>
        <v>0</v>
      </c>
    </row>
    <row r="152" spans="1:10" x14ac:dyDescent="0.3">
      <c r="A152" s="11" t="s">
        <v>41</v>
      </c>
      <c r="B152" s="12">
        <v>13.431900000000001</v>
      </c>
      <c r="C152" s="37">
        <v>22</v>
      </c>
      <c r="D152" s="13">
        <v>0</v>
      </c>
      <c r="E152" s="13">
        <v>3</v>
      </c>
      <c r="F152" s="14">
        <v>0</v>
      </c>
      <c r="G152" s="13">
        <v>0</v>
      </c>
      <c r="H152" s="13">
        <v>0</v>
      </c>
      <c r="I152" s="13">
        <v>0</v>
      </c>
      <c r="J152" s="10">
        <f t="shared" si="2"/>
        <v>3</v>
      </c>
    </row>
    <row r="153" spans="1:10" x14ac:dyDescent="0.3">
      <c r="A153" s="6" t="s">
        <v>41</v>
      </c>
      <c r="B153" s="7">
        <v>10.944100000000001</v>
      </c>
      <c r="C153" s="32">
        <v>25</v>
      </c>
      <c r="D153" s="8">
        <v>1</v>
      </c>
      <c r="E153" s="8">
        <v>0</v>
      </c>
      <c r="F153" s="9">
        <v>0</v>
      </c>
      <c r="G153" s="8">
        <v>0</v>
      </c>
      <c r="H153" s="8">
        <v>0</v>
      </c>
      <c r="I153" s="8">
        <v>0</v>
      </c>
      <c r="J153" s="10">
        <f t="shared" si="2"/>
        <v>0</v>
      </c>
    </row>
    <row r="154" spans="1:10" x14ac:dyDescent="0.3">
      <c r="A154" s="11" t="s">
        <v>40</v>
      </c>
      <c r="B154" s="12">
        <v>11.973800000000001</v>
      </c>
      <c r="C154" s="37">
        <v>25</v>
      </c>
      <c r="D154" s="13">
        <v>1</v>
      </c>
      <c r="E154" s="13">
        <v>0</v>
      </c>
      <c r="F154" s="14">
        <v>0</v>
      </c>
      <c r="G154" s="13">
        <v>0</v>
      </c>
      <c r="H154" s="13">
        <v>0</v>
      </c>
      <c r="I154" s="13">
        <v>0</v>
      </c>
      <c r="J154" s="10">
        <f t="shared" si="2"/>
        <v>0</v>
      </c>
    </row>
    <row r="155" spans="1:10" x14ac:dyDescent="0.3">
      <c r="A155" s="6" t="s">
        <v>41</v>
      </c>
      <c r="B155" s="7">
        <v>12.577199999999999</v>
      </c>
      <c r="C155" s="32">
        <v>24</v>
      </c>
      <c r="D155" s="8">
        <v>1</v>
      </c>
      <c r="E155" s="8">
        <v>0</v>
      </c>
      <c r="F155" s="9">
        <v>0</v>
      </c>
      <c r="G155" s="8">
        <v>0</v>
      </c>
      <c r="H155" s="8">
        <v>0</v>
      </c>
      <c r="I155" s="8">
        <v>0</v>
      </c>
      <c r="J155" s="10">
        <f t="shared" si="2"/>
        <v>0</v>
      </c>
    </row>
    <row r="156" spans="1:10" x14ac:dyDescent="0.3">
      <c r="A156" s="11" t="s">
        <v>41</v>
      </c>
      <c r="B156" s="12">
        <v>19.648900000000001</v>
      </c>
      <c r="C156" s="37">
        <v>13</v>
      </c>
      <c r="D156" s="13">
        <v>0</v>
      </c>
      <c r="E156" s="13">
        <v>0</v>
      </c>
      <c r="F156" s="14">
        <v>4</v>
      </c>
      <c r="G156" s="13">
        <v>0</v>
      </c>
      <c r="H156" s="13">
        <v>0</v>
      </c>
      <c r="I156" s="13">
        <v>0</v>
      </c>
      <c r="J156" s="10">
        <f t="shared" si="2"/>
        <v>4</v>
      </c>
    </row>
    <row r="157" spans="1:10" x14ac:dyDescent="0.3">
      <c r="A157" s="6" t="s">
        <v>41</v>
      </c>
      <c r="B157" s="7">
        <v>15.119300000000001</v>
      </c>
      <c r="C157" s="32">
        <v>19</v>
      </c>
      <c r="D157" s="8">
        <v>1</v>
      </c>
      <c r="E157" s="8">
        <v>0</v>
      </c>
      <c r="F157" s="9">
        <v>0</v>
      </c>
      <c r="G157" s="8">
        <v>0</v>
      </c>
      <c r="H157" s="8">
        <v>0</v>
      </c>
      <c r="I157" s="8">
        <v>0</v>
      </c>
      <c r="J157" s="10">
        <f t="shared" si="2"/>
        <v>0</v>
      </c>
    </row>
    <row r="158" spans="1:10" x14ac:dyDescent="0.3">
      <c r="A158" s="11" t="s">
        <v>41</v>
      </c>
      <c r="B158" s="12">
        <v>15.789</v>
      </c>
      <c r="C158" s="37">
        <v>18</v>
      </c>
      <c r="D158" s="13">
        <v>1</v>
      </c>
      <c r="E158" s="13">
        <v>0</v>
      </c>
      <c r="F158" s="14">
        <v>0</v>
      </c>
      <c r="G158" s="13">
        <v>0</v>
      </c>
      <c r="H158" s="13">
        <v>0</v>
      </c>
      <c r="I158" s="13">
        <v>0</v>
      </c>
      <c r="J158" s="10">
        <f t="shared" si="2"/>
        <v>0</v>
      </c>
    </row>
    <row r="159" spans="1:10" x14ac:dyDescent="0.3">
      <c r="A159" s="6" t="s">
        <v>40</v>
      </c>
      <c r="B159" s="7">
        <v>10.8399</v>
      </c>
      <c r="C159" s="32">
        <v>27</v>
      </c>
      <c r="D159" s="8">
        <v>1</v>
      </c>
      <c r="E159" s="8">
        <v>0</v>
      </c>
      <c r="F159" s="9">
        <v>0</v>
      </c>
      <c r="G159" s="8">
        <v>0</v>
      </c>
      <c r="H159" s="8">
        <v>0</v>
      </c>
      <c r="I159" s="8">
        <v>0</v>
      </c>
      <c r="J159" s="10">
        <f t="shared" si="2"/>
        <v>0</v>
      </c>
    </row>
    <row r="160" spans="1:10" x14ac:dyDescent="0.3">
      <c r="A160" s="11" t="s">
        <v>41</v>
      </c>
      <c r="B160" s="12">
        <v>6.6681999999999997</v>
      </c>
      <c r="C160" s="37">
        <v>40</v>
      </c>
      <c r="D160" s="13">
        <v>1</v>
      </c>
      <c r="E160" s="13">
        <v>0</v>
      </c>
      <c r="F160" s="14">
        <v>0</v>
      </c>
      <c r="G160" s="13">
        <v>0</v>
      </c>
      <c r="H160" s="13">
        <v>0</v>
      </c>
      <c r="I160" s="13">
        <v>0</v>
      </c>
      <c r="J160" s="10">
        <f t="shared" si="2"/>
        <v>0</v>
      </c>
    </row>
    <row r="161" spans="1:10" x14ac:dyDescent="0.3">
      <c r="A161" s="6" t="s">
        <v>40</v>
      </c>
      <c r="B161" s="7">
        <v>12.5129</v>
      </c>
      <c r="C161" s="32">
        <v>25</v>
      </c>
      <c r="D161" s="8">
        <v>1</v>
      </c>
      <c r="E161" s="8">
        <v>0</v>
      </c>
      <c r="F161" s="9">
        <v>0</v>
      </c>
      <c r="G161" s="8">
        <v>0</v>
      </c>
      <c r="H161" s="8">
        <v>0</v>
      </c>
      <c r="I161" s="8">
        <v>0</v>
      </c>
      <c r="J161" s="10">
        <f t="shared" si="2"/>
        <v>0</v>
      </c>
    </row>
    <row r="162" spans="1:10" x14ac:dyDescent="0.3">
      <c r="A162" s="11" t="s">
        <v>41</v>
      </c>
      <c r="B162" s="12">
        <v>11.095499999999999</v>
      </c>
      <c r="C162" s="37">
        <v>27</v>
      </c>
      <c r="D162" s="13">
        <v>1</v>
      </c>
      <c r="E162" s="13">
        <v>0</v>
      </c>
      <c r="F162" s="14">
        <v>0</v>
      </c>
      <c r="G162" s="13">
        <v>0</v>
      </c>
      <c r="H162" s="13">
        <v>0</v>
      </c>
      <c r="I162" s="13">
        <v>0</v>
      </c>
      <c r="J162" s="10">
        <f t="shared" si="2"/>
        <v>0</v>
      </c>
    </row>
    <row r="163" spans="1:10" x14ac:dyDescent="0.3">
      <c r="A163" s="6" t="s">
        <v>41</v>
      </c>
      <c r="B163" s="7">
        <v>5.0448000000000004</v>
      </c>
      <c r="C163" s="32">
        <v>39</v>
      </c>
      <c r="D163" s="8">
        <v>0</v>
      </c>
      <c r="E163" s="8">
        <v>0</v>
      </c>
      <c r="F163" s="9">
        <v>4</v>
      </c>
      <c r="G163" s="8">
        <v>0</v>
      </c>
      <c r="H163" s="8">
        <v>0</v>
      </c>
      <c r="I163" s="8">
        <v>0</v>
      </c>
      <c r="J163" s="10">
        <f t="shared" si="2"/>
        <v>4</v>
      </c>
    </row>
    <row r="164" spans="1:10" x14ac:dyDescent="0.3">
      <c r="A164" s="11" t="s">
        <v>40</v>
      </c>
      <c r="B164" s="12">
        <v>11.948399999999999</v>
      </c>
      <c r="C164" s="37">
        <v>23</v>
      </c>
      <c r="D164" s="13">
        <v>1</v>
      </c>
      <c r="E164" s="13">
        <v>0</v>
      </c>
      <c r="F164" s="14">
        <v>0</v>
      </c>
      <c r="G164" s="13">
        <v>0</v>
      </c>
      <c r="H164" s="13">
        <v>0</v>
      </c>
      <c r="I164" s="13">
        <v>0</v>
      </c>
      <c r="J164" s="10">
        <f t="shared" si="2"/>
        <v>0</v>
      </c>
    </row>
    <row r="165" spans="1:10" x14ac:dyDescent="0.3">
      <c r="A165" s="6" t="s">
        <v>40</v>
      </c>
      <c r="B165" s="7">
        <v>7.2039999999999997</v>
      </c>
      <c r="C165" s="32">
        <v>36</v>
      </c>
      <c r="D165" s="8">
        <v>1</v>
      </c>
      <c r="E165" s="8">
        <v>0</v>
      </c>
      <c r="F165" s="9">
        <v>0</v>
      </c>
      <c r="G165" s="8">
        <v>0</v>
      </c>
      <c r="H165" s="8">
        <v>0</v>
      </c>
      <c r="I165" s="8">
        <v>0</v>
      </c>
      <c r="J165" s="10">
        <f t="shared" si="2"/>
        <v>0</v>
      </c>
    </row>
    <row r="166" spans="1:10" x14ac:dyDescent="0.3">
      <c r="A166" s="11" t="s">
        <v>41</v>
      </c>
      <c r="B166" s="12">
        <v>17.286300000000001</v>
      </c>
      <c r="C166" s="37">
        <v>15</v>
      </c>
      <c r="D166" s="13">
        <v>1</v>
      </c>
      <c r="E166" s="13">
        <v>0</v>
      </c>
      <c r="F166" s="14">
        <v>0</v>
      </c>
      <c r="G166" s="13">
        <v>0</v>
      </c>
      <c r="H166" s="13">
        <v>0</v>
      </c>
      <c r="I166" s="13">
        <v>0</v>
      </c>
      <c r="J166" s="10">
        <f t="shared" si="2"/>
        <v>0</v>
      </c>
    </row>
    <row r="167" spans="1:10" x14ac:dyDescent="0.3">
      <c r="A167" s="6" t="s">
        <v>41</v>
      </c>
      <c r="B167" s="7">
        <v>18.443999999999999</v>
      </c>
      <c r="C167" s="32">
        <v>14</v>
      </c>
      <c r="D167" s="8">
        <v>1</v>
      </c>
      <c r="E167" s="8">
        <v>0</v>
      </c>
      <c r="F167" s="9">
        <v>0</v>
      </c>
      <c r="G167" s="8">
        <v>0</v>
      </c>
      <c r="H167" s="8">
        <v>0</v>
      </c>
      <c r="I167" s="8">
        <v>0</v>
      </c>
      <c r="J167" s="10">
        <f t="shared" si="2"/>
        <v>0</v>
      </c>
    </row>
    <row r="168" spans="1:10" x14ac:dyDescent="0.3">
      <c r="A168" s="11" t="s">
        <v>40</v>
      </c>
      <c r="B168" s="12">
        <v>8.7126000000000001</v>
      </c>
      <c r="C168" s="37">
        <v>33</v>
      </c>
      <c r="D168" s="13">
        <v>1</v>
      </c>
      <c r="E168" s="13">
        <v>0</v>
      </c>
      <c r="F168" s="14">
        <v>0</v>
      </c>
      <c r="G168" s="13">
        <v>0</v>
      </c>
      <c r="H168" s="13">
        <v>0</v>
      </c>
      <c r="I168" s="13">
        <v>0</v>
      </c>
      <c r="J168" s="10">
        <f t="shared" si="2"/>
        <v>0</v>
      </c>
    </row>
    <row r="169" spans="1:10" x14ac:dyDescent="0.3">
      <c r="A169" s="6" t="s">
        <v>41</v>
      </c>
      <c r="B169" s="7">
        <v>12.834099999999999</v>
      </c>
      <c r="C169" s="32">
        <v>23</v>
      </c>
      <c r="D169" s="8">
        <v>1</v>
      </c>
      <c r="E169" s="8">
        <v>0</v>
      </c>
      <c r="F169" s="9">
        <v>0</v>
      </c>
      <c r="G169" s="8">
        <v>0</v>
      </c>
      <c r="H169" s="8">
        <v>0</v>
      </c>
      <c r="I169" s="8">
        <v>0</v>
      </c>
      <c r="J169" s="10">
        <f t="shared" si="2"/>
        <v>0</v>
      </c>
    </row>
    <row r="170" spans="1:10" x14ac:dyDescent="0.3">
      <c r="A170" s="11" t="s">
        <v>41</v>
      </c>
      <c r="B170" s="12">
        <v>14.725</v>
      </c>
      <c r="C170" s="37">
        <v>23</v>
      </c>
      <c r="D170" s="13">
        <v>1</v>
      </c>
      <c r="E170" s="13">
        <v>0</v>
      </c>
      <c r="F170" s="14">
        <v>0</v>
      </c>
      <c r="G170" s="13">
        <v>0</v>
      </c>
      <c r="H170" s="13">
        <v>0</v>
      </c>
      <c r="I170" s="13">
        <v>0</v>
      </c>
      <c r="J170" s="10">
        <f t="shared" si="2"/>
        <v>0</v>
      </c>
    </row>
    <row r="171" spans="1:10" x14ac:dyDescent="0.3">
      <c r="A171" s="6" t="s">
        <v>41</v>
      </c>
      <c r="B171" s="7">
        <v>14.0299</v>
      </c>
      <c r="C171" s="32">
        <v>21</v>
      </c>
      <c r="D171" s="8">
        <v>0</v>
      </c>
      <c r="E171" s="8">
        <v>4</v>
      </c>
      <c r="F171" s="9">
        <v>0</v>
      </c>
      <c r="G171" s="8">
        <v>0</v>
      </c>
      <c r="H171" s="8">
        <v>0</v>
      </c>
      <c r="I171" s="8">
        <v>0</v>
      </c>
      <c r="J171" s="10">
        <f t="shared" si="2"/>
        <v>4</v>
      </c>
    </row>
    <row r="172" spans="1:10" x14ac:dyDescent="0.3">
      <c r="A172" s="11" t="s">
        <v>41</v>
      </c>
      <c r="B172" s="12">
        <v>14.754799999999999</v>
      </c>
      <c r="C172" s="37">
        <v>24</v>
      </c>
      <c r="D172" s="13">
        <v>0</v>
      </c>
      <c r="E172" s="13">
        <v>1</v>
      </c>
      <c r="F172" s="14">
        <v>0</v>
      </c>
      <c r="G172" s="13">
        <v>0</v>
      </c>
      <c r="H172" s="13">
        <v>0</v>
      </c>
      <c r="I172" s="13">
        <v>0</v>
      </c>
      <c r="J172" s="10">
        <f t="shared" si="2"/>
        <v>1</v>
      </c>
    </row>
    <row r="173" spans="1:10" x14ac:dyDescent="0.3">
      <c r="A173" s="6" t="s">
        <v>40</v>
      </c>
      <c r="B173" s="7">
        <v>11.554500000000001</v>
      </c>
      <c r="C173" s="32">
        <v>0</v>
      </c>
      <c r="D173" s="8">
        <v>1</v>
      </c>
      <c r="E173" s="8">
        <v>0</v>
      </c>
      <c r="F173" s="9">
        <v>0</v>
      </c>
      <c r="G173" s="8">
        <v>0</v>
      </c>
      <c r="H173" s="8">
        <v>0</v>
      </c>
      <c r="I173" s="8">
        <v>0</v>
      </c>
      <c r="J173" s="10">
        <f t="shared" si="2"/>
        <v>0</v>
      </c>
    </row>
    <row r="174" spans="1:10" x14ac:dyDescent="0.3">
      <c r="A174" s="11" t="s">
        <v>41</v>
      </c>
      <c r="B174" s="12">
        <v>16.547699999999999</v>
      </c>
      <c r="C174" s="37">
        <v>21</v>
      </c>
      <c r="D174" s="13">
        <v>1</v>
      </c>
      <c r="E174" s="13">
        <v>0</v>
      </c>
      <c r="F174" s="14">
        <v>0</v>
      </c>
      <c r="G174" s="13">
        <v>0</v>
      </c>
      <c r="H174" s="13">
        <v>0</v>
      </c>
      <c r="I174" s="13">
        <v>0</v>
      </c>
      <c r="J174" s="10">
        <f t="shared" si="2"/>
        <v>0</v>
      </c>
    </row>
    <row r="175" spans="1:10" x14ac:dyDescent="0.3">
      <c r="A175" s="6" t="s">
        <v>41</v>
      </c>
      <c r="B175" s="7">
        <v>15.647500000000001</v>
      </c>
      <c r="C175" s="32">
        <v>24</v>
      </c>
      <c r="D175" s="8">
        <v>1</v>
      </c>
      <c r="E175" s="8">
        <v>0</v>
      </c>
      <c r="F175" s="9">
        <v>0</v>
      </c>
      <c r="G175" s="8">
        <v>0</v>
      </c>
      <c r="H175" s="8">
        <v>0</v>
      </c>
      <c r="I175" s="8">
        <v>0</v>
      </c>
      <c r="J175" s="10">
        <f t="shared" si="2"/>
        <v>0</v>
      </c>
    </row>
    <row r="176" spans="1:10" x14ac:dyDescent="0.3">
      <c r="A176" s="11" t="s">
        <v>40</v>
      </c>
      <c r="B176" s="12">
        <v>12.0464</v>
      </c>
      <c r="C176" s="37">
        <v>29</v>
      </c>
      <c r="D176" s="13">
        <v>1</v>
      </c>
      <c r="E176" s="13">
        <v>0</v>
      </c>
      <c r="F176" s="14">
        <v>0</v>
      </c>
      <c r="G176" s="13">
        <v>0</v>
      </c>
      <c r="H176" s="13">
        <v>0</v>
      </c>
      <c r="I176" s="13">
        <v>0</v>
      </c>
      <c r="J176" s="10">
        <f t="shared" si="2"/>
        <v>0</v>
      </c>
    </row>
    <row r="177" spans="1:10" x14ac:dyDescent="0.3">
      <c r="A177" s="6" t="s">
        <v>41</v>
      </c>
      <c r="B177" s="7">
        <v>5.3756000000000004</v>
      </c>
      <c r="C177" s="32">
        <v>0</v>
      </c>
      <c r="D177" s="8">
        <v>1</v>
      </c>
      <c r="E177" s="8">
        <v>0</v>
      </c>
      <c r="F177" s="9">
        <v>0</v>
      </c>
      <c r="G177" s="8">
        <v>0</v>
      </c>
      <c r="H177" s="8">
        <v>0</v>
      </c>
      <c r="I177" s="8">
        <v>0</v>
      </c>
      <c r="J177" s="10">
        <f t="shared" si="2"/>
        <v>0</v>
      </c>
    </row>
    <row r="178" spans="1:10" x14ac:dyDescent="0.3">
      <c r="A178" s="11" t="s">
        <v>41</v>
      </c>
      <c r="B178" s="12">
        <v>6.4698000000000002</v>
      </c>
      <c r="C178" s="37">
        <v>39</v>
      </c>
      <c r="D178" s="13">
        <v>0</v>
      </c>
      <c r="E178" s="13">
        <v>0</v>
      </c>
      <c r="F178" s="14">
        <v>0</v>
      </c>
      <c r="G178" s="13">
        <v>2</v>
      </c>
      <c r="H178" s="13">
        <v>0</v>
      </c>
      <c r="I178" s="13">
        <v>0</v>
      </c>
      <c r="J178" s="10">
        <f t="shared" si="2"/>
        <v>2</v>
      </c>
    </row>
    <row r="179" spans="1:10" x14ac:dyDescent="0.3">
      <c r="A179" s="6" t="s">
        <v>40</v>
      </c>
      <c r="B179" s="7">
        <v>16.610900000000001</v>
      </c>
      <c r="C179" s="32">
        <v>16</v>
      </c>
      <c r="D179" s="8">
        <v>1</v>
      </c>
      <c r="E179" s="8">
        <v>0</v>
      </c>
      <c r="F179" s="9">
        <v>0</v>
      </c>
      <c r="G179" s="8">
        <v>0</v>
      </c>
      <c r="H179" s="8">
        <v>0</v>
      </c>
      <c r="I179" s="8">
        <v>0</v>
      </c>
      <c r="J179" s="10">
        <f t="shared" si="2"/>
        <v>0</v>
      </c>
    </row>
    <row r="180" spans="1:10" x14ac:dyDescent="0.3">
      <c r="A180" s="11" t="s">
        <v>41</v>
      </c>
      <c r="B180" s="12">
        <v>7.1136999999999997</v>
      </c>
      <c r="C180" s="37">
        <v>35</v>
      </c>
      <c r="D180" s="13">
        <v>1</v>
      </c>
      <c r="E180" s="13">
        <v>0</v>
      </c>
      <c r="F180" s="14">
        <v>0</v>
      </c>
      <c r="G180" s="13">
        <v>0</v>
      </c>
      <c r="H180" s="13">
        <v>0</v>
      </c>
      <c r="I180" s="13">
        <v>0</v>
      </c>
      <c r="J180" s="10">
        <f t="shared" si="2"/>
        <v>0</v>
      </c>
    </row>
    <row r="181" spans="1:10" x14ac:dyDescent="0.3">
      <c r="A181" s="6" t="s">
        <v>41</v>
      </c>
      <c r="B181" s="7">
        <v>24.0777</v>
      </c>
      <c r="C181" s="32">
        <v>4</v>
      </c>
      <c r="D181" s="8">
        <v>1</v>
      </c>
      <c r="E181" s="8">
        <v>0</v>
      </c>
      <c r="F181" s="9">
        <v>0</v>
      </c>
      <c r="G181" s="8">
        <v>0</v>
      </c>
      <c r="H181" s="8">
        <v>0</v>
      </c>
      <c r="I181" s="8">
        <v>0</v>
      </c>
      <c r="J181" s="10">
        <f t="shared" si="2"/>
        <v>0</v>
      </c>
    </row>
    <row r="182" spans="1:10" x14ac:dyDescent="0.3">
      <c r="A182" s="11" t="s">
        <v>41</v>
      </c>
      <c r="B182" s="12">
        <v>11.2203</v>
      </c>
      <c r="C182" s="37">
        <v>25</v>
      </c>
      <c r="D182" s="13">
        <v>1</v>
      </c>
      <c r="E182" s="13">
        <v>0</v>
      </c>
      <c r="F182" s="14">
        <v>0</v>
      </c>
      <c r="G182" s="13">
        <v>0</v>
      </c>
      <c r="H182" s="13">
        <v>0</v>
      </c>
      <c r="I182" s="13">
        <v>0</v>
      </c>
      <c r="J182" s="10">
        <f t="shared" si="2"/>
        <v>0</v>
      </c>
    </row>
    <row r="183" spans="1:10" x14ac:dyDescent="0.3">
      <c r="A183" s="6" t="s">
        <v>40</v>
      </c>
      <c r="B183" s="7">
        <v>6.9306000000000001</v>
      </c>
      <c r="C183" s="32">
        <v>37</v>
      </c>
      <c r="D183" s="8">
        <v>1</v>
      </c>
      <c r="E183" s="8">
        <v>0</v>
      </c>
      <c r="F183" s="9">
        <v>0</v>
      </c>
      <c r="G183" s="8">
        <v>0</v>
      </c>
      <c r="H183" s="8">
        <v>0</v>
      </c>
      <c r="I183" s="8">
        <v>0</v>
      </c>
      <c r="J183" s="10">
        <f t="shared" si="2"/>
        <v>0</v>
      </c>
    </row>
    <row r="184" spans="1:10" x14ac:dyDescent="0.3">
      <c r="A184" s="11" t="s">
        <v>40</v>
      </c>
      <c r="B184" s="12">
        <v>12.8992</v>
      </c>
      <c r="C184" s="37">
        <v>24</v>
      </c>
      <c r="D184" s="13">
        <v>1</v>
      </c>
      <c r="E184" s="13">
        <v>0</v>
      </c>
      <c r="F184" s="14">
        <v>0</v>
      </c>
      <c r="G184" s="13">
        <v>0</v>
      </c>
      <c r="H184" s="13">
        <v>0</v>
      </c>
      <c r="I184" s="13">
        <v>0</v>
      </c>
      <c r="J184" s="10">
        <f t="shared" si="2"/>
        <v>0</v>
      </c>
    </row>
    <row r="185" spans="1:10" x14ac:dyDescent="0.3">
      <c r="A185" s="6" t="s">
        <v>41</v>
      </c>
      <c r="B185" s="7">
        <v>7.8992000000000004</v>
      </c>
      <c r="C185" s="32">
        <v>39</v>
      </c>
      <c r="D185" s="8">
        <v>0</v>
      </c>
      <c r="E185" s="8">
        <v>0</v>
      </c>
      <c r="F185" s="9">
        <v>0</v>
      </c>
      <c r="G185" s="8">
        <v>0</v>
      </c>
      <c r="H185" s="8">
        <v>0</v>
      </c>
      <c r="I185" s="8">
        <v>1</v>
      </c>
      <c r="J185" s="10">
        <f t="shared" si="2"/>
        <v>1</v>
      </c>
    </row>
    <row r="186" spans="1:10" x14ac:dyDescent="0.3">
      <c r="A186" s="11" t="s">
        <v>40</v>
      </c>
      <c r="B186" s="12">
        <v>10.5571</v>
      </c>
      <c r="C186" s="37">
        <v>29</v>
      </c>
      <c r="D186" s="13">
        <v>1</v>
      </c>
      <c r="E186" s="13">
        <v>0</v>
      </c>
      <c r="F186" s="14">
        <v>0</v>
      </c>
      <c r="G186" s="13">
        <v>0</v>
      </c>
      <c r="H186" s="13">
        <v>0</v>
      </c>
      <c r="I186" s="13">
        <v>0</v>
      </c>
      <c r="J186" s="10">
        <f t="shared" si="2"/>
        <v>0</v>
      </c>
    </row>
    <row r="187" spans="1:10" x14ac:dyDescent="0.3">
      <c r="A187" s="6" t="s">
        <v>40</v>
      </c>
      <c r="B187" s="7">
        <v>16.1602</v>
      </c>
      <c r="C187" s="32">
        <v>19</v>
      </c>
      <c r="D187" s="8">
        <v>1</v>
      </c>
      <c r="E187" s="8">
        <v>0</v>
      </c>
      <c r="F187" s="9">
        <v>0</v>
      </c>
      <c r="G187" s="8">
        <v>0</v>
      </c>
      <c r="H187" s="8">
        <v>0</v>
      </c>
      <c r="I187" s="8">
        <v>0</v>
      </c>
      <c r="J187" s="10">
        <f t="shared" si="2"/>
        <v>0</v>
      </c>
    </row>
    <row r="188" spans="1:10" x14ac:dyDescent="0.3">
      <c r="A188" s="11" t="s">
        <v>41</v>
      </c>
      <c r="B188" s="12">
        <v>8.6679999999999993</v>
      </c>
      <c r="C188" s="37">
        <v>37</v>
      </c>
      <c r="D188" s="13">
        <v>0</v>
      </c>
      <c r="E188" s="13">
        <v>0</v>
      </c>
      <c r="F188" s="14">
        <v>0</v>
      </c>
      <c r="G188" s="13">
        <v>0</v>
      </c>
      <c r="H188" s="13">
        <v>0</v>
      </c>
      <c r="I188" s="13">
        <v>2</v>
      </c>
      <c r="J188" s="10">
        <f t="shared" si="2"/>
        <v>2</v>
      </c>
    </row>
    <row r="189" spans="1:10" x14ac:dyDescent="0.3">
      <c r="A189" s="6" t="s">
        <v>41</v>
      </c>
      <c r="B189" s="7">
        <v>12.215999999999999</v>
      </c>
      <c r="C189" s="32">
        <v>29</v>
      </c>
      <c r="D189" s="8">
        <v>0</v>
      </c>
      <c r="E189" s="8">
        <v>3</v>
      </c>
      <c r="F189" s="9">
        <v>0</v>
      </c>
      <c r="G189" s="8">
        <v>0</v>
      </c>
      <c r="H189" s="8">
        <v>0</v>
      </c>
      <c r="I189" s="8">
        <v>0</v>
      </c>
      <c r="J189" s="10">
        <f t="shared" si="2"/>
        <v>3</v>
      </c>
    </row>
    <row r="190" spans="1:10" x14ac:dyDescent="0.3">
      <c r="A190" s="11" t="s">
        <v>41</v>
      </c>
      <c r="B190" s="12">
        <v>9.2451000000000008</v>
      </c>
      <c r="C190" s="37">
        <v>32</v>
      </c>
      <c r="D190" s="13">
        <v>1</v>
      </c>
      <c r="E190" s="13">
        <v>0</v>
      </c>
      <c r="F190" s="14">
        <v>0</v>
      </c>
      <c r="G190" s="13">
        <v>0</v>
      </c>
      <c r="H190" s="13">
        <v>0</v>
      </c>
      <c r="I190" s="13">
        <v>0</v>
      </c>
      <c r="J190" s="10">
        <f t="shared" si="2"/>
        <v>0</v>
      </c>
    </row>
    <row r="191" spans="1:10" x14ac:dyDescent="0.3">
      <c r="A191" s="6" t="s">
        <v>41</v>
      </c>
      <c r="B191" s="7">
        <v>10.093500000000001</v>
      </c>
      <c r="C191" s="32">
        <v>27</v>
      </c>
      <c r="D191" s="8">
        <v>1</v>
      </c>
      <c r="E191" s="8">
        <v>0</v>
      </c>
      <c r="F191" s="9">
        <v>0</v>
      </c>
      <c r="G191" s="8">
        <v>0</v>
      </c>
      <c r="H191" s="8">
        <v>0</v>
      </c>
      <c r="I191" s="8">
        <v>0</v>
      </c>
      <c r="J191" s="10">
        <f t="shared" si="2"/>
        <v>0</v>
      </c>
    </row>
    <row r="192" spans="1:10" x14ac:dyDescent="0.3">
      <c r="A192" s="11" t="s">
        <v>41</v>
      </c>
      <c r="B192" s="12">
        <v>10.6067</v>
      </c>
      <c r="C192" s="37">
        <v>33</v>
      </c>
      <c r="D192" s="13">
        <v>0</v>
      </c>
      <c r="E192" s="13">
        <v>0</v>
      </c>
      <c r="F192" s="14">
        <v>4</v>
      </c>
      <c r="G192" s="13">
        <v>0</v>
      </c>
      <c r="H192" s="13">
        <v>0</v>
      </c>
      <c r="I192" s="13">
        <v>0</v>
      </c>
      <c r="J192" s="10">
        <f t="shared" si="2"/>
        <v>4</v>
      </c>
    </row>
    <row r="193" spans="1:10" x14ac:dyDescent="0.3">
      <c r="A193" s="6" t="s">
        <v>40</v>
      </c>
      <c r="B193" s="7">
        <v>5.6554000000000002</v>
      </c>
      <c r="C193" s="32">
        <v>36</v>
      </c>
      <c r="D193" s="8">
        <v>1</v>
      </c>
      <c r="E193" s="8">
        <v>0</v>
      </c>
      <c r="F193" s="9">
        <v>0</v>
      </c>
      <c r="G193" s="8">
        <v>0</v>
      </c>
      <c r="H193" s="8">
        <v>0</v>
      </c>
      <c r="I193" s="8">
        <v>0</v>
      </c>
      <c r="J193" s="10">
        <f t="shared" si="2"/>
        <v>0</v>
      </c>
    </row>
    <row r="194" spans="1:10" x14ac:dyDescent="0.3">
      <c r="A194" s="11" t="s">
        <v>41</v>
      </c>
      <c r="B194" s="12">
        <v>12.9682</v>
      </c>
      <c r="C194" s="37">
        <v>24</v>
      </c>
      <c r="D194" s="13">
        <v>1</v>
      </c>
      <c r="E194" s="13">
        <v>0</v>
      </c>
      <c r="F194" s="14">
        <v>0</v>
      </c>
      <c r="G194" s="13">
        <v>0</v>
      </c>
      <c r="H194" s="13">
        <v>0</v>
      </c>
      <c r="I194" s="13">
        <v>0</v>
      </c>
      <c r="J194" s="10">
        <f t="shared" si="2"/>
        <v>0</v>
      </c>
    </row>
    <row r="195" spans="1:10" x14ac:dyDescent="0.3">
      <c r="A195" s="6" t="s">
        <v>41</v>
      </c>
      <c r="B195" s="7">
        <v>14.189299999999999</v>
      </c>
      <c r="C195" s="32">
        <v>21</v>
      </c>
      <c r="D195" s="8">
        <v>1</v>
      </c>
      <c r="E195" s="8">
        <v>0</v>
      </c>
      <c r="F195" s="9">
        <v>0</v>
      </c>
      <c r="G195" s="8">
        <v>0</v>
      </c>
      <c r="H195" s="8">
        <v>0</v>
      </c>
      <c r="I195" s="8">
        <v>0</v>
      </c>
      <c r="J195" s="10">
        <f t="shared" si="2"/>
        <v>0</v>
      </c>
    </row>
    <row r="196" spans="1:10" x14ac:dyDescent="0.3">
      <c r="A196" s="11" t="s">
        <v>40</v>
      </c>
      <c r="B196" s="12">
        <v>11.364800000000001</v>
      </c>
      <c r="C196" s="37">
        <v>24</v>
      </c>
      <c r="D196" s="13">
        <v>1</v>
      </c>
      <c r="E196" s="13">
        <v>0</v>
      </c>
      <c r="F196" s="14">
        <v>0</v>
      </c>
      <c r="G196" s="13">
        <v>0</v>
      </c>
      <c r="H196" s="13">
        <v>0</v>
      </c>
      <c r="I196" s="13">
        <v>0</v>
      </c>
      <c r="J196" s="10">
        <f t="shared" si="2"/>
        <v>0</v>
      </c>
    </row>
    <row r="197" spans="1:10" x14ac:dyDescent="0.3">
      <c r="A197" s="6" t="s">
        <v>41</v>
      </c>
      <c r="B197" s="7">
        <v>13.571199999999999</v>
      </c>
      <c r="C197" s="32">
        <v>23</v>
      </c>
      <c r="D197" s="8">
        <v>1</v>
      </c>
      <c r="E197" s="8">
        <v>0</v>
      </c>
      <c r="F197" s="9">
        <v>0</v>
      </c>
      <c r="G197" s="8">
        <v>0</v>
      </c>
      <c r="H197" s="8">
        <v>0</v>
      </c>
      <c r="I197" s="8">
        <v>0</v>
      </c>
      <c r="J197" s="10">
        <f t="shared" si="2"/>
        <v>0</v>
      </c>
    </row>
    <row r="198" spans="1:10" x14ac:dyDescent="0.3">
      <c r="A198" s="11" t="s">
        <v>41</v>
      </c>
      <c r="B198" s="12">
        <v>10.422499999999999</v>
      </c>
      <c r="C198" s="37">
        <v>0</v>
      </c>
      <c r="D198" s="13">
        <v>1</v>
      </c>
      <c r="E198" s="13">
        <v>0</v>
      </c>
      <c r="F198" s="14">
        <v>0</v>
      </c>
      <c r="G198" s="13">
        <v>0</v>
      </c>
      <c r="H198" s="13">
        <v>0</v>
      </c>
      <c r="I198" s="13">
        <v>0</v>
      </c>
      <c r="J198" s="10">
        <f t="shared" ref="J198:J229" si="3">SUM(E198:I198)</f>
        <v>0</v>
      </c>
    </row>
    <row r="199" spans="1:10" x14ac:dyDescent="0.3">
      <c r="A199" s="6" t="s">
        <v>41</v>
      </c>
      <c r="B199" s="7">
        <v>14.8201</v>
      </c>
      <c r="C199" s="32">
        <v>17</v>
      </c>
      <c r="D199" s="8">
        <v>1</v>
      </c>
      <c r="E199" s="8">
        <v>0</v>
      </c>
      <c r="F199" s="9">
        <v>0</v>
      </c>
      <c r="G199" s="8">
        <v>0</v>
      </c>
      <c r="H199" s="8">
        <v>0</v>
      </c>
      <c r="I199" s="8">
        <v>0</v>
      </c>
      <c r="J199" s="10">
        <f t="shared" si="3"/>
        <v>0</v>
      </c>
    </row>
    <row r="200" spans="1:10" x14ac:dyDescent="0.3">
      <c r="A200" s="11" t="s">
        <v>40</v>
      </c>
      <c r="B200" s="12">
        <v>9.4482999999999997</v>
      </c>
      <c r="C200" s="37">
        <v>29</v>
      </c>
      <c r="D200" s="13">
        <v>0</v>
      </c>
      <c r="E200" s="13">
        <v>0</v>
      </c>
      <c r="F200" s="14">
        <v>0</v>
      </c>
      <c r="G200" s="13">
        <v>0</v>
      </c>
      <c r="H200" s="13">
        <v>0</v>
      </c>
      <c r="I200" s="13">
        <v>2</v>
      </c>
      <c r="J200" s="10">
        <f t="shared" si="3"/>
        <v>2</v>
      </c>
    </row>
    <row r="201" spans="1:10" x14ac:dyDescent="0.3">
      <c r="A201" s="6" t="s">
        <v>40</v>
      </c>
      <c r="B201" s="7">
        <v>8.9825999999999997</v>
      </c>
      <c r="C201" s="32">
        <v>37</v>
      </c>
      <c r="D201" s="8">
        <v>1</v>
      </c>
      <c r="E201" s="8">
        <v>0</v>
      </c>
      <c r="F201" s="9">
        <v>0</v>
      </c>
      <c r="G201" s="8">
        <v>0</v>
      </c>
      <c r="H201" s="8">
        <v>0</v>
      </c>
      <c r="I201" s="8">
        <v>0</v>
      </c>
      <c r="J201" s="10">
        <f t="shared" si="3"/>
        <v>0</v>
      </c>
    </row>
    <row r="202" spans="1:10" x14ac:dyDescent="0.3">
      <c r="A202" s="11" t="s">
        <v>41</v>
      </c>
      <c r="B202" s="12">
        <v>12.017899999999999</v>
      </c>
      <c r="C202" s="37">
        <v>23</v>
      </c>
      <c r="D202" s="13">
        <v>0</v>
      </c>
      <c r="E202" s="13">
        <v>5</v>
      </c>
      <c r="F202" s="14">
        <v>0</v>
      </c>
      <c r="G202" s="13">
        <v>0</v>
      </c>
      <c r="H202" s="13">
        <v>0</v>
      </c>
      <c r="I202" s="13">
        <v>0</v>
      </c>
      <c r="J202" s="10">
        <f t="shared" si="3"/>
        <v>5</v>
      </c>
    </row>
    <row r="203" spans="1:10" x14ac:dyDescent="0.3">
      <c r="A203" s="6" t="s">
        <v>41</v>
      </c>
      <c r="B203" s="7">
        <v>15.8551</v>
      </c>
      <c r="C203" s="32">
        <v>22</v>
      </c>
      <c r="D203" s="8">
        <v>1</v>
      </c>
      <c r="E203" s="8">
        <v>0</v>
      </c>
      <c r="F203" s="9">
        <v>0</v>
      </c>
      <c r="G203" s="8">
        <v>0</v>
      </c>
      <c r="H203" s="8">
        <v>0</v>
      </c>
      <c r="I203" s="8">
        <v>0</v>
      </c>
      <c r="J203" s="10">
        <f t="shared" si="3"/>
        <v>0</v>
      </c>
    </row>
    <row r="204" spans="1:10" x14ac:dyDescent="0.3">
      <c r="A204" s="11" t="s">
        <v>41</v>
      </c>
      <c r="B204" s="12">
        <v>7.7704000000000004</v>
      </c>
      <c r="C204" s="37">
        <v>34</v>
      </c>
      <c r="D204" s="13">
        <v>1</v>
      </c>
      <c r="E204" s="13">
        <v>0</v>
      </c>
      <c r="F204" s="14">
        <v>0</v>
      </c>
      <c r="G204" s="13">
        <v>0</v>
      </c>
      <c r="H204" s="13">
        <v>0</v>
      </c>
      <c r="I204" s="13">
        <v>0</v>
      </c>
      <c r="J204" s="10">
        <f t="shared" si="3"/>
        <v>0</v>
      </c>
    </row>
    <row r="205" spans="1:10" x14ac:dyDescent="0.3">
      <c r="A205" s="6" t="s">
        <v>41</v>
      </c>
      <c r="B205" s="7">
        <v>11.854200000000001</v>
      </c>
      <c r="C205" s="32">
        <v>25</v>
      </c>
      <c r="D205" s="8">
        <v>1</v>
      </c>
      <c r="E205" s="8">
        <v>0</v>
      </c>
      <c r="F205" s="9">
        <v>0</v>
      </c>
      <c r="G205" s="8">
        <v>0</v>
      </c>
      <c r="H205" s="8">
        <v>0</v>
      </c>
      <c r="I205" s="8">
        <v>0</v>
      </c>
      <c r="J205" s="10">
        <f t="shared" si="3"/>
        <v>0</v>
      </c>
    </row>
    <row r="206" spans="1:10" x14ac:dyDescent="0.3">
      <c r="A206" s="11" t="s">
        <v>41</v>
      </c>
      <c r="B206" s="12">
        <v>15.975</v>
      </c>
      <c r="C206" s="37">
        <v>15</v>
      </c>
      <c r="D206" s="13">
        <v>0</v>
      </c>
      <c r="E206" s="13">
        <v>0</v>
      </c>
      <c r="F206" s="14">
        <v>5</v>
      </c>
      <c r="G206" s="13">
        <v>0</v>
      </c>
      <c r="H206" s="13">
        <v>0</v>
      </c>
      <c r="I206" s="13">
        <v>0</v>
      </c>
      <c r="J206" s="10">
        <f t="shared" si="3"/>
        <v>5</v>
      </c>
    </row>
    <row r="207" spans="1:10" x14ac:dyDescent="0.3">
      <c r="A207" s="6" t="s">
        <v>41</v>
      </c>
      <c r="B207" s="7">
        <v>16.1494</v>
      </c>
      <c r="C207" s="32">
        <v>18</v>
      </c>
      <c r="D207" s="8">
        <v>1</v>
      </c>
      <c r="E207" s="8">
        <v>0</v>
      </c>
      <c r="F207" s="9">
        <v>0</v>
      </c>
      <c r="G207" s="8">
        <v>0</v>
      </c>
      <c r="H207" s="8">
        <v>0</v>
      </c>
      <c r="I207" s="8">
        <v>0</v>
      </c>
      <c r="J207" s="10">
        <f t="shared" si="3"/>
        <v>0</v>
      </c>
    </row>
    <row r="208" spans="1:10" x14ac:dyDescent="0.3">
      <c r="A208" s="11" t="s">
        <v>41</v>
      </c>
      <c r="B208" s="12">
        <v>13.7681</v>
      </c>
      <c r="C208" s="37">
        <v>23</v>
      </c>
      <c r="D208" s="13">
        <v>0</v>
      </c>
      <c r="E208" s="13">
        <v>0</v>
      </c>
      <c r="F208" s="14">
        <v>1</v>
      </c>
      <c r="G208" s="13">
        <v>0</v>
      </c>
      <c r="H208" s="13">
        <v>0</v>
      </c>
      <c r="I208" s="13">
        <v>0</v>
      </c>
      <c r="J208" s="10">
        <f t="shared" si="3"/>
        <v>1</v>
      </c>
    </row>
    <row r="209" spans="1:10" x14ac:dyDescent="0.3">
      <c r="A209" s="6" t="s">
        <v>41</v>
      </c>
      <c r="B209" s="7">
        <v>15.4306</v>
      </c>
      <c r="C209" s="32">
        <v>21</v>
      </c>
      <c r="D209" s="8">
        <v>1</v>
      </c>
      <c r="E209" s="8">
        <v>0</v>
      </c>
      <c r="F209" s="9">
        <v>0</v>
      </c>
      <c r="G209" s="8">
        <v>0</v>
      </c>
      <c r="H209" s="8">
        <v>0</v>
      </c>
      <c r="I209" s="8">
        <v>0</v>
      </c>
      <c r="J209" s="10">
        <f t="shared" si="3"/>
        <v>0</v>
      </c>
    </row>
    <row r="210" spans="1:10" x14ac:dyDescent="0.3">
      <c r="A210" s="11" t="s">
        <v>41</v>
      </c>
      <c r="B210" s="12">
        <v>8.2667000000000002</v>
      </c>
      <c r="C210" s="37">
        <v>35</v>
      </c>
      <c r="D210" s="13">
        <v>0</v>
      </c>
      <c r="E210" s="13">
        <v>0</v>
      </c>
      <c r="F210" s="14">
        <v>0</v>
      </c>
      <c r="G210" s="13">
        <v>2</v>
      </c>
      <c r="H210" s="13">
        <v>0</v>
      </c>
      <c r="I210" s="13">
        <v>0</v>
      </c>
      <c r="J210" s="10">
        <f t="shared" si="3"/>
        <v>2</v>
      </c>
    </row>
    <row r="211" spans="1:10" x14ac:dyDescent="0.3">
      <c r="A211" s="6" t="s">
        <v>41</v>
      </c>
      <c r="B211" s="7">
        <v>16.604099999999999</v>
      </c>
      <c r="C211" s="32">
        <v>0</v>
      </c>
      <c r="D211" s="8">
        <v>1</v>
      </c>
      <c r="E211" s="8">
        <v>0</v>
      </c>
      <c r="F211" s="9">
        <v>0</v>
      </c>
      <c r="G211" s="8">
        <v>0</v>
      </c>
      <c r="H211" s="8">
        <v>0</v>
      </c>
      <c r="I211" s="8">
        <v>0</v>
      </c>
      <c r="J211" s="10">
        <f t="shared" si="3"/>
        <v>0</v>
      </c>
    </row>
    <row r="212" spans="1:10" x14ac:dyDescent="0.3">
      <c r="A212" s="11" t="s">
        <v>41</v>
      </c>
      <c r="B212" s="12">
        <v>13.636699999999999</v>
      </c>
      <c r="C212" s="37">
        <v>23</v>
      </c>
      <c r="D212" s="13">
        <v>1</v>
      </c>
      <c r="E212" s="13">
        <v>0</v>
      </c>
      <c r="F212" s="14">
        <v>0</v>
      </c>
      <c r="G212" s="13">
        <v>0</v>
      </c>
      <c r="H212" s="13">
        <v>0</v>
      </c>
      <c r="I212" s="13">
        <v>0</v>
      </c>
      <c r="J212" s="10">
        <f t="shared" si="3"/>
        <v>0</v>
      </c>
    </row>
    <row r="213" spans="1:10" x14ac:dyDescent="0.3">
      <c r="A213" s="6" t="s">
        <v>40</v>
      </c>
      <c r="B213" s="7">
        <v>13.348100000000001</v>
      </c>
      <c r="C213" s="32">
        <v>23</v>
      </c>
      <c r="D213" s="8">
        <v>1</v>
      </c>
      <c r="E213" s="8">
        <v>0</v>
      </c>
      <c r="F213" s="9">
        <v>0</v>
      </c>
      <c r="G213" s="8">
        <v>0</v>
      </c>
      <c r="H213" s="8">
        <v>0</v>
      </c>
      <c r="I213" s="8">
        <v>0</v>
      </c>
      <c r="J213" s="10">
        <f t="shared" si="3"/>
        <v>0</v>
      </c>
    </row>
    <row r="214" spans="1:10" x14ac:dyDescent="0.3">
      <c r="A214" s="11" t="s">
        <v>41</v>
      </c>
      <c r="B214" s="12">
        <v>14.120900000000001</v>
      </c>
      <c r="C214" s="37">
        <v>0</v>
      </c>
      <c r="D214" s="13">
        <v>1</v>
      </c>
      <c r="E214" s="13">
        <v>0</v>
      </c>
      <c r="F214" s="14">
        <v>0</v>
      </c>
      <c r="G214" s="13">
        <v>0</v>
      </c>
      <c r="H214" s="13">
        <v>0</v>
      </c>
      <c r="I214" s="13">
        <v>0</v>
      </c>
      <c r="J214" s="10">
        <f t="shared" si="3"/>
        <v>0</v>
      </c>
    </row>
    <row r="215" spans="1:10" x14ac:dyDescent="0.3">
      <c r="A215" s="6" t="s">
        <v>41</v>
      </c>
      <c r="B215" s="7">
        <v>10.752700000000001</v>
      </c>
      <c r="C215" s="32">
        <v>31</v>
      </c>
      <c r="D215" s="8">
        <v>1</v>
      </c>
      <c r="E215" s="8">
        <v>0</v>
      </c>
      <c r="F215" s="9">
        <v>0</v>
      </c>
      <c r="G215" s="8">
        <v>0</v>
      </c>
      <c r="H215" s="8">
        <v>0</v>
      </c>
      <c r="I215" s="8">
        <v>0</v>
      </c>
      <c r="J215" s="10">
        <f t="shared" si="3"/>
        <v>0</v>
      </c>
    </row>
    <row r="216" spans="1:10" x14ac:dyDescent="0.3">
      <c r="A216" s="11" t="s">
        <v>41</v>
      </c>
      <c r="B216" s="12">
        <v>10.4452</v>
      </c>
      <c r="C216" s="37">
        <v>28</v>
      </c>
      <c r="D216" s="13">
        <v>1</v>
      </c>
      <c r="E216" s="13">
        <v>0</v>
      </c>
      <c r="F216" s="14">
        <v>0</v>
      </c>
      <c r="G216" s="13">
        <v>0</v>
      </c>
      <c r="H216" s="13">
        <v>0</v>
      </c>
      <c r="I216" s="13">
        <v>0</v>
      </c>
      <c r="J216" s="10">
        <f t="shared" si="3"/>
        <v>0</v>
      </c>
    </row>
    <row r="217" spans="1:10" x14ac:dyDescent="0.3">
      <c r="A217" s="6" t="s">
        <v>41</v>
      </c>
      <c r="B217" s="7">
        <v>7.9965000000000002</v>
      </c>
      <c r="C217" s="32">
        <v>31</v>
      </c>
      <c r="D217" s="8">
        <v>0</v>
      </c>
      <c r="E217" s="8">
        <v>5</v>
      </c>
      <c r="F217" s="9">
        <v>0</v>
      </c>
      <c r="G217" s="8">
        <v>0</v>
      </c>
      <c r="H217" s="8">
        <v>0</v>
      </c>
      <c r="I217" s="8">
        <v>0</v>
      </c>
      <c r="J217" s="10">
        <f t="shared" si="3"/>
        <v>5</v>
      </c>
    </row>
    <row r="218" spans="1:10" x14ac:dyDescent="0.3">
      <c r="A218" s="11" t="s">
        <v>40</v>
      </c>
      <c r="B218" s="12">
        <v>8.3396000000000008</v>
      </c>
      <c r="C218" s="37">
        <v>36</v>
      </c>
      <c r="D218" s="13">
        <v>1</v>
      </c>
      <c r="E218" s="13">
        <v>0</v>
      </c>
      <c r="F218" s="14">
        <v>0</v>
      </c>
      <c r="G218" s="13">
        <v>0</v>
      </c>
      <c r="H218" s="13">
        <v>0</v>
      </c>
      <c r="I218" s="13">
        <v>0</v>
      </c>
      <c r="J218" s="10">
        <f t="shared" si="3"/>
        <v>0</v>
      </c>
    </row>
    <row r="219" spans="1:10" x14ac:dyDescent="0.3">
      <c r="A219" s="6" t="s">
        <v>41</v>
      </c>
      <c r="B219" s="7">
        <v>10.984299999999999</v>
      </c>
      <c r="C219" s="32">
        <v>28</v>
      </c>
      <c r="D219" s="8">
        <v>1</v>
      </c>
      <c r="E219" s="8">
        <v>0</v>
      </c>
      <c r="F219" s="9">
        <v>0</v>
      </c>
      <c r="G219" s="8">
        <v>0</v>
      </c>
      <c r="H219" s="8">
        <v>0</v>
      </c>
      <c r="I219" s="8">
        <v>0</v>
      </c>
      <c r="J219" s="10">
        <f t="shared" si="3"/>
        <v>0</v>
      </c>
    </row>
    <row r="220" spans="1:10" x14ac:dyDescent="0.3">
      <c r="A220" s="11" t="s">
        <v>41</v>
      </c>
      <c r="B220" s="12">
        <v>15.308999999999999</v>
      </c>
      <c r="C220" s="37">
        <v>23</v>
      </c>
      <c r="D220" s="13">
        <v>1</v>
      </c>
      <c r="E220" s="13">
        <v>0</v>
      </c>
      <c r="F220" s="14">
        <v>0</v>
      </c>
      <c r="G220" s="13">
        <v>0</v>
      </c>
      <c r="H220" s="13">
        <v>0</v>
      </c>
      <c r="I220" s="13">
        <v>0</v>
      </c>
      <c r="J220" s="10">
        <f t="shared" si="3"/>
        <v>0</v>
      </c>
    </row>
    <row r="221" spans="1:10" x14ac:dyDescent="0.3">
      <c r="A221" s="6" t="s">
        <v>41</v>
      </c>
      <c r="B221" s="7">
        <v>5.2542999999999997</v>
      </c>
      <c r="C221" s="32">
        <v>45</v>
      </c>
      <c r="D221" s="8">
        <v>1</v>
      </c>
      <c r="E221" s="8">
        <v>0</v>
      </c>
      <c r="F221" s="9">
        <v>0</v>
      </c>
      <c r="G221" s="8">
        <v>0</v>
      </c>
      <c r="H221" s="8">
        <v>0</v>
      </c>
      <c r="I221" s="8">
        <v>0</v>
      </c>
      <c r="J221" s="10">
        <f t="shared" si="3"/>
        <v>0</v>
      </c>
    </row>
    <row r="222" spans="1:10" x14ac:dyDescent="0.3">
      <c r="A222" s="11" t="s">
        <v>41</v>
      </c>
      <c r="B222" s="12">
        <v>9.3995999999999995</v>
      </c>
      <c r="C222" s="37">
        <v>29</v>
      </c>
      <c r="D222" s="13">
        <v>1</v>
      </c>
      <c r="E222" s="13">
        <v>0</v>
      </c>
      <c r="F222" s="14">
        <v>0</v>
      </c>
      <c r="G222" s="13">
        <v>0</v>
      </c>
      <c r="H222" s="13">
        <v>0</v>
      </c>
      <c r="I222" s="13">
        <v>0</v>
      </c>
      <c r="J222" s="10">
        <f t="shared" si="3"/>
        <v>0</v>
      </c>
    </row>
    <row r="223" spans="1:10" x14ac:dyDescent="0.3">
      <c r="A223" s="6" t="s">
        <v>41</v>
      </c>
      <c r="B223" s="7">
        <v>10.5855</v>
      </c>
      <c r="C223" s="32">
        <v>27</v>
      </c>
      <c r="D223" s="8">
        <v>0</v>
      </c>
      <c r="E223" s="8">
        <v>0</v>
      </c>
      <c r="F223" s="9">
        <v>1</v>
      </c>
      <c r="G223" s="8">
        <v>0</v>
      </c>
      <c r="H223" s="8">
        <v>0</v>
      </c>
      <c r="I223" s="8">
        <v>0</v>
      </c>
      <c r="J223" s="10">
        <f t="shared" si="3"/>
        <v>1</v>
      </c>
    </row>
    <row r="224" spans="1:10" x14ac:dyDescent="0.3">
      <c r="A224" s="11" t="s">
        <v>41</v>
      </c>
      <c r="B224" s="12">
        <v>17.819299999999998</v>
      </c>
      <c r="C224" s="37">
        <v>11</v>
      </c>
      <c r="D224" s="13">
        <v>1</v>
      </c>
      <c r="E224" s="13">
        <v>0</v>
      </c>
      <c r="F224" s="14">
        <v>0</v>
      </c>
      <c r="G224" s="13">
        <v>0</v>
      </c>
      <c r="H224" s="13">
        <v>0</v>
      </c>
      <c r="I224" s="13">
        <v>0</v>
      </c>
      <c r="J224" s="10">
        <f t="shared" si="3"/>
        <v>0</v>
      </c>
    </row>
    <row r="225" spans="1:10" x14ac:dyDescent="0.3">
      <c r="A225" s="6" t="s">
        <v>40</v>
      </c>
      <c r="B225" s="7">
        <v>19.654299999999999</v>
      </c>
      <c r="C225" s="32">
        <v>16</v>
      </c>
      <c r="D225" s="8">
        <v>0</v>
      </c>
      <c r="E225" s="8">
        <v>0</v>
      </c>
      <c r="F225" s="9">
        <v>0</v>
      </c>
      <c r="G225" s="8">
        <v>0</v>
      </c>
      <c r="H225" s="8">
        <v>0</v>
      </c>
      <c r="I225" s="8">
        <v>2</v>
      </c>
      <c r="J225" s="10">
        <f t="shared" si="3"/>
        <v>2</v>
      </c>
    </row>
    <row r="226" spans="1:10" x14ac:dyDescent="0.3">
      <c r="A226" s="11" t="s">
        <v>40</v>
      </c>
      <c r="B226" s="12">
        <v>18.659500000000001</v>
      </c>
      <c r="C226" s="37">
        <v>0</v>
      </c>
      <c r="D226" s="13">
        <v>1</v>
      </c>
      <c r="E226" s="13">
        <v>0</v>
      </c>
      <c r="F226" s="14">
        <v>0</v>
      </c>
      <c r="G226" s="13">
        <v>0</v>
      </c>
      <c r="H226" s="13">
        <v>0</v>
      </c>
      <c r="I226" s="13">
        <v>0</v>
      </c>
      <c r="J226" s="10">
        <f t="shared" si="3"/>
        <v>0</v>
      </c>
    </row>
    <row r="227" spans="1:10" x14ac:dyDescent="0.3">
      <c r="A227" s="6" t="s">
        <v>41</v>
      </c>
      <c r="B227" s="7">
        <v>10.6066</v>
      </c>
      <c r="C227" s="32">
        <v>34</v>
      </c>
      <c r="D227" s="8">
        <v>1</v>
      </c>
      <c r="E227" s="8">
        <v>0</v>
      </c>
      <c r="F227" s="9">
        <v>0</v>
      </c>
      <c r="G227" s="8">
        <v>0</v>
      </c>
      <c r="H227" s="8">
        <v>0</v>
      </c>
      <c r="I227" s="8">
        <v>0</v>
      </c>
      <c r="J227" s="10">
        <f t="shared" si="3"/>
        <v>0</v>
      </c>
    </row>
    <row r="228" spans="1:10" x14ac:dyDescent="0.3">
      <c r="A228" s="11" t="s">
        <v>40</v>
      </c>
      <c r="B228" s="12">
        <v>14.1511</v>
      </c>
      <c r="C228" s="37">
        <v>22</v>
      </c>
      <c r="D228" s="13">
        <v>1</v>
      </c>
      <c r="E228" s="13">
        <v>0</v>
      </c>
      <c r="F228" s="14">
        <v>0</v>
      </c>
      <c r="G228" s="13">
        <v>0</v>
      </c>
      <c r="H228" s="13">
        <v>0</v>
      </c>
      <c r="I228" s="13">
        <v>0</v>
      </c>
      <c r="J228" s="10">
        <f t="shared" si="3"/>
        <v>0</v>
      </c>
    </row>
    <row r="229" spans="1:10" x14ac:dyDescent="0.3">
      <c r="A229" s="16" t="s">
        <v>40</v>
      </c>
      <c r="B229" s="17">
        <v>17.711500000000001</v>
      </c>
      <c r="C229" s="32">
        <v>13</v>
      </c>
      <c r="D229" s="18">
        <v>0</v>
      </c>
      <c r="E229" s="18">
        <v>1</v>
      </c>
      <c r="F229" s="19">
        <v>0</v>
      </c>
      <c r="G229" s="18">
        <v>0</v>
      </c>
      <c r="H229" s="18">
        <v>0</v>
      </c>
      <c r="I229" s="18">
        <v>0</v>
      </c>
      <c r="J229" s="10">
        <f t="shared" si="3"/>
        <v>1</v>
      </c>
    </row>
    <row r="230" spans="1:10" x14ac:dyDescent="0.3">
      <c r="I230" s="1" t="s">
        <v>95</v>
      </c>
      <c r="J230" s="71">
        <f>SUM(J5:J229)</f>
        <v>146</v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mergeCells count="2">
    <mergeCell ref="D3:J3"/>
    <mergeCell ref="A1:J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B153"/>
  <sheetViews>
    <sheetView showGridLines="0" topLeftCell="A128" workbookViewId="0">
      <selection activeCell="A10" sqref="A3:B153"/>
    </sheetView>
  </sheetViews>
  <sheetFormatPr baseColWidth="10" defaultColWidth="11.3984375" defaultRowHeight="13" x14ac:dyDescent="0.3"/>
  <cols>
    <col min="1" max="2" width="14.296875" style="5" customWidth="1"/>
    <col min="3" max="16384" width="11.3984375" style="5"/>
  </cols>
  <sheetData>
    <row r="1" spans="1:2" ht="63.75" customHeight="1" x14ac:dyDescent="0.3">
      <c r="A1" s="155" t="s">
        <v>96</v>
      </c>
      <c r="B1" s="155"/>
    </row>
    <row r="3" spans="1:2" ht="13.5" thickBot="1" x14ac:dyDescent="0.35">
      <c r="A3" s="24" t="s">
        <v>97</v>
      </c>
      <c r="B3" s="25" t="s">
        <v>98</v>
      </c>
    </row>
    <row r="4" spans="1:2" ht="13.5" thickTop="1" x14ac:dyDescent="0.3">
      <c r="A4" s="38">
        <v>11418.710000000001</v>
      </c>
      <c r="B4" s="33">
        <v>2</v>
      </c>
    </row>
    <row r="5" spans="1:2" x14ac:dyDescent="0.3">
      <c r="A5" s="35">
        <v>14077.17</v>
      </c>
      <c r="B5" s="15">
        <v>3</v>
      </c>
    </row>
    <row r="6" spans="1:2" x14ac:dyDescent="0.3">
      <c r="A6" s="38">
        <v>20412.25</v>
      </c>
      <c r="B6" s="33">
        <v>3</v>
      </c>
    </row>
    <row r="7" spans="1:2" x14ac:dyDescent="0.3">
      <c r="A7" s="38">
        <v>17613.400000000001</v>
      </c>
      <c r="B7" s="33">
        <v>4</v>
      </c>
    </row>
    <row r="8" spans="1:2" x14ac:dyDescent="0.3">
      <c r="A8" s="35">
        <v>18744.54</v>
      </c>
      <c r="B8" s="15">
        <v>4</v>
      </c>
    </row>
    <row r="9" spans="1:2" x14ac:dyDescent="0.3">
      <c r="A9" s="38">
        <v>21135.99</v>
      </c>
      <c r="B9" s="33">
        <v>4</v>
      </c>
    </row>
    <row r="10" spans="1:2" x14ac:dyDescent="0.3">
      <c r="A10" s="38">
        <v>25494.510000000002</v>
      </c>
      <c r="B10" s="33">
        <v>5</v>
      </c>
    </row>
    <row r="11" spans="1:2" x14ac:dyDescent="0.3">
      <c r="A11" s="38">
        <v>23026.85</v>
      </c>
      <c r="B11" s="33">
        <v>5</v>
      </c>
    </row>
    <row r="12" spans="1:2" x14ac:dyDescent="0.3">
      <c r="A12" s="38">
        <v>24464.49</v>
      </c>
      <c r="B12" s="33">
        <v>5</v>
      </c>
    </row>
    <row r="13" spans="1:2" x14ac:dyDescent="0.3">
      <c r="A13" s="38">
        <v>21940.13</v>
      </c>
      <c r="B13" s="33">
        <v>5</v>
      </c>
    </row>
    <row r="14" spans="1:2" x14ac:dyDescent="0.3">
      <c r="A14" s="35">
        <v>27339.879999999997</v>
      </c>
      <c r="B14" s="15">
        <v>6</v>
      </c>
    </row>
    <row r="15" spans="1:2" x14ac:dyDescent="0.3">
      <c r="A15" s="35">
        <v>26555.71</v>
      </c>
      <c r="B15" s="15">
        <v>6</v>
      </c>
    </row>
    <row r="16" spans="1:2" x14ac:dyDescent="0.3">
      <c r="A16" s="35">
        <v>20757.12</v>
      </c>
      <c r="B16" s="15">
        <v>6</v>
      </c>
    </row>
    <row r="17" spans="1:2" x14ac:dyDescent="0.3">
      <c r="A17" s="38">
        <v>19158.12</v>
      </c>
      <c r="B17" s="33">
        <v>6</v>
      </c>
    </row>
    <row r="18" spans="1:2" x14ac:dyDescent="0.3">
      <c r="A18" s="38">
        <v>26792.359999999997</v>
      </c>
      <c r="B18" s="33">
        <v>6</v>
      </c>
    </row>
    <row r="19" spans="1:2" x14ac:dyDescent="0.3">
      <c r="A19" s="35">
        <v>29239.289999999997</v>
      </c>
      <c r="B19" s="15">
        <v>7</v>
      </c>
    </row>
    <row r="20" spans="1:2" x14ac:dyDescent="0.3">
      <c r="A20" s="35">
        <v>28247.969999999998</v>
      </c>
      <c r="B20" s="15">
        <v>7</v>
      </c>
    </row>
    <row r="21" spans="1:2" x14ac:dyDescent="0.3">
      <c r="A21" s="35">
        <v>26136.95</v>
      </c>
      <c r="B21" s="15">
        <v>7</v>
      </c>
    </row>
    <row r="22" spans="1:2" x14ac:dyDescent="0.3">
      <c r="A22" s="35">
        <v>29053.200000000001</v>
      </c>
      <c r="B22" s="15">
        <v>7</v>
      </c>
    </row>
    <row r="23" spans="1:2" x14ac:dyDescent="0.3">
      <c r="A23" s="38">
        <v>30118.18</v>
      </c>
      <c r="B23" s="33">
        <v>8</v>
      </c>
    </row>
    <row r="24" spans="1:2" x14ac:dyDescent="0.3">
      <c r="A24" s="38">
        <v>31202.9</v>
      </c>
      <c r="B24" s="33">
        <v>8</v>
      </c>
    </row>
    <row r="25" spans="1:2" x14ac:dyDescent="0.3">
      <c r="A25" s="38">
        <v>30078.44</v>
      </c>
      <c r="B25" s="33">
        <v>8</v>
      </c>
    </row>
    <row r="26" spans="1:2" x14ac:dyDescent="0.3">
      <c r="A26" s="38">
        <v>26578.260000000002</v>
      </c>
      <c r="B26" s="33">
        <v>8</v>
      </c>
    </row>
    <row r="27" spans="1:2" x14ac:dyDescent="0.3">
      <c r="A27" s="35">
        <v>29980.79</v>
      </c>
      <c r="B27" s="15">
        <v>8</v>
      </c>
    </row>
    <row r="28" spans="1:2" x14ac:dyDescent="0.3">
      <c r="A28" s="38">
        <v>32080.760000000002</v>
      </c>
      <c r="B28" s="33">
        <v>9</v>
      </c>
    </row>
    <row r="29" spans="1:2" x14ac:dyDescent="0.3">
      <c r="A29" s="35">
        <v>30677.61</v>
      </c>
      <c r="B29" s="15">
        <v>9</v>
      </c>
    </row>
    <row r="30" spans="1:2" x14ac:dyDescent="0.3">
      <c r="A30" s="38">
        <v>31357.530000000002</v>
      </c>
      <c r="B30" s="33">
        <v>9</v>
      </c>
    </row>
    <row r="31" spans="1:2" x14ac:dyDescent="0.3">
      <c r="A31" s="35">
        <v>31900.100000000002</v>
      </c>
      <c r="B31" s="15">
        <v>9</v>
      </c>
    </row>
    <row r="32" spans="1:2" x14ac:dyDescent="0.3">
      <c r="A32" s="35">
        <v>29881.439999999999</v>
      </c>
      <c r="B32" s="15">
        <v>9</v>
      </c>
    </row>
    <row r="33" spans="1:2" x14ac:dyDescent="0.3">
      <c r="A33" s="38">
        <v>33137.490000000005</v>
      </c>
      <c r="B33" s="33">
        <v>9</v>
      </c>
    </row>
    <row r="34" spans="1:2" x14ac:dyDescent="0.3">
      <c r="A34" s="35">
        <v>24398.15</v>
      </c>
      <c r="B34" s="15">
        <v>9</v>
      </c>
    </row>
    <row r="35" spans="1:2" x14ac:dyDescent="0.3">
      <c r="A35" s="35">
        <v>32212.690000000002</v>
      </c>
      <c r="B35" s="15">
        <v>9</v>
      </c>
    </row>
    <row r="36" spans="1:2" x14ac:dyDescent="0.3">
      <c r="A36" s="38">
        <v>31681.32</v>
      </c>
      <c r="B36" s="33">
        <v>9</v>
      </c>
    </row>
    <row r="37" spans="1:2" x14ac:dyDescent="0.3">
      <c r="A37" s="35">
        <v>30727.649999999998</v>
      </c>
      <c r="B37" s="15">
        <v>9</v>
      </c>
    </row>
    <row r="38" spans="1:2" x14ac:dyDescent="0.3">
      <c r="A38" s="38">
        <v>27081.010000000002</v>
      </c>
      <c r="B38" s="33">
        <v>9</v>
      </c>
    </row>
    <row r="39" spans="1:2" x14ac:dyDescent="0.3">
      <c r="A39" s="35">
        <v>31312.69</v>
      </c>
      <c r="B39" s="15">
        <v>9</v>
      </c>
    </row>
    <row r="40" spans="1:2" x14ac:dyDescent="0.3">
      <c r="A40" s="38">
        <v>32864.25</v>
      </c>
      <c r="B40" s="33">
        <v>10</v>
      </c>
    </row>
    <row r="41" spans="1:2" x14ac:dyDescent="0.3">
      <c r="A41" s="35">
        <v>34245.03</v>
      </c>
      <c r="B41" s="15">
        <v>10</v>
      </c>
    </row>
    <row r="42" spans="1:2" x14ac:dyDescent="0.3">
      <c r="A42" s="35">
        <v>32498.41</v>
      </c>
      <c r="B42" s="15">
        <v>10</v>
      </c>
    </row>
    <row r="43" spans="1:2" x14ac:dyDescent="0.3">
      <c r="A43" s="35">
        <v>34247.199999999997</v>
      </c>
      <c r="B43" s="15">
        <v>10</v>
      </c>
    </row>
    <row r="44" spans="1:2" x14ac:dyDescent="0.3">
      <c r="A44" s="38">
        <v>28998.31</v>
      </c>
      <c r="B44" s="33">
        <v>10</v>
      </c>
    </row>
    <row r="45" spans="1:2" x14ac:dyDescent="0.3">
      <c r="A45" s="38">
        <v>33096.050000000003</v>
      </c>
      <c r="B45" s="33">
        <v>10</v>
      </c>
    </row>
    <row r="46" spans="1:2" x14ac:dyDescent="0.3">
      <c r="A46" s="35">
        <v>36884.61</v>
      </c>
      <c r="B46" s="15">
        <v>11</v>
      </c>
    </row>
    <row r="47" spans="1:2" x14ac:dyDescent="0.3">
      <c r="A47" s="35">
        <v>28677.280000000002</v>
      </c>
      <c r="B47" s="15">
        <v>11</v>
      </c>
    </row>
    <row r="48" spans="1:2" x14ac:dyDescent="0.3">
      <c r="A48" s="38">
        <v>34106.410000000003</v>
      </c>
      <c r="B48" s="33">
        <v>11</v>
      </c>
    </row>
    <row r="49" spans="1:2" x14ac:dyDescent="0.3">
      <c r="A49" s="38">
        <v>33063.42</v>
      </c>
      <c r="B49" s="33">
        <v>11</v>
      </c>
    </row>
    <row r="50" spans="1:2" x14ac:dyDescent="0.3">
      <c r="A50" s="38">
        <v>33908.42</v>
      </c>
      <c r="B50" s="33">
        <v>11</v>
      </c>
    </row>
    <row r="51" spans="1:2" x14ac:dyDescent="0.3">
      <c r="A51" s="35">
        <v>32749.95</v>
      </c>
      <c r="B51" s="15">
        <v>11</v>
      </c>
    </row>
    <row r="52" spans="1:2" x14ac:dyDescent="0.3">
      <c r="A52" s="38">
        <v>32226.81</v>
      </c>
      <c r="B52" s="33">
        <v>11</v>
      </c>
    </row>
    <row r="53" spans="1:2" x14ac:dyDescent="0.3">
      <c r="A53" s="38">
        <v>36294.629999999997</v>
      </c>
      <c r="B53" s="33">
        <v>11</v>
      </c>
    </row>
    <row r="54" spans="1:2" x14ac:dyDescent="0.3">
      <c r="A54" s="35">
        <v>35296.46</v>
      </c>
      <c r="B54" s="15">
        <v>11</v>
      </c>
    </row>
    <row r="55" spans="1:2" x14ac:dyDescent="0.3">
      <c r="A55" s="38">
        <v>31558.639999999999</v>
      </c>
      <c r="B55" s="33">
        <v>12</v>
      </c>
    </row>
    <row r="56" spans="1:2" x14ac:dyDescent="0.3">
      <c r="A56" s="38">
        <v>33249.99</v>
      </c>
      <c r="B56" s="33">
        <v>12</v>
      </c>
    </row>
    <row r="57" spans="1:2" x14ac:dyDescent="0.3">
      <c r="A57" s="38">
        <v>35912.100000000006</v>
      </c>
      <c r="B57" s="33">
        <v>12</v>
      </c>
    </row>
    <row r="58" spans="1:2" x14ac:dyDescent="0.3">
      <c r="A58" s="38">
        <v>36357.07</v>
      </c>
      <c r="B58" s="33">
        <v>12</v>
      </c>
    </row>
    <row r="59" spans="1:2" x14ac:dyDescent="0.3">
      <c r="A59" s="38">
        <v>30613.11</v>
      </c>
      <c r="B59" s="33">
        <v>12</v>
      </c>
    </row>
    <row r="60" spans="1:2" x14ac:dyDescent="0.3">
      <c r="A60" s="35">
        <v>31886.47</v>
      </c>
      <c r="B60" s="15">
        <v>12</v>
      </c>
    </row>
    <row r="61" spans="1:2" x14ac:dyDescent="0.3">
      <c r="A61" s="38">
        <v>34419.170000000006</v>
      </c>
      <c r="B61" s="33">
        <v>12</v>
      </c>
    </row>
    <row r="62" spans="1:2" x14ac:dyDescent="0.3">
      <c r="A62" s="38">
        <v>36848.469999999994</v>
      </c>
      <c r="B62" s="33">
        <v>12</v>
      </c>
    </row>
    <row r="63" spans="1:2" x14ac:dyDescent="0.3">
      <c r="A63" s="35">
        <v>34516.800000000003</v>
      </c>
      <c r="B63" s="15">
        <v>12</v>
      </c>
    </row>
    <row r="64" spans="1:2" x14ac:dyDescent="0.3">
      <c r="A64" s="35">
        <v>36420.960000000006</v>
      </c>
      <c r="B64" s="15">
        <v>12</v>
      </c>
    </row>
    <row r="65" spans="1:2" x14ac:dyDescent="0.3">
      <c r="A65" s="38">
        <v>38232.25</v>
      </c>
      <c r="B65" s="33">
        <v>12</v>
      </c>
    </row>
    <row r="66" spans="1:2" x14ac:dyDescent="0.3">
      <c r="A66" s="35">
        <v>38740.83</v>
      </c>
      <c r="B66" s="15">
        <v>12</v>
      </c>
    </row>
    <row r="67" spans="1:2" x14ac:dyDescent="0.3">
      <c r="A67" s="35">
        <v>37684.700000000004</v>
      </c>
      <c r="B67" s="15">
        <v>12</v>
      </c>
    </row>
    <row r="68" spans="1:2" x14ac:dyDescent="0.3">
      <c r="A68" s="38">
        <v>33801.360000000001</v>
      </c>
      <c r="B68" s="33">
        <v>12</v>
      </c>
    </row>
    <row r="69" spans="1:2" x14ac:dyDescent="0.3">
      <c r="A69" s="35">
        <v>39073.94</v>
      </c>
      <c r="B69" s="15">
        <v>13</v>
      </c>
    </row>
    <row r="70" spans="1:2" x14ac:dyDescent="0.3">
      <c r="A70" s="35">
        <v>32890.75</v>
      </c>
      <c r="B70" s="15">
        <v>13</v>
      </c>
    </row>
    <row r="71" spans="1:2" x14ac:dyDescent="0.3">
      <c r="A71" s="35">
        <v>35049.950000000004</v>
      </c>
      <c r="B71" s="15">
        <v>13</v>
      </c>
    </row>
    <row r="72" spans="1:2" x14ac:dyDescent="0.3">
      <c r="A72" s="38">
        <v>31779.989999999998</v>
      </c>
      <c r="B72" s="33">
        <v>13</v>
      </c>
    </row>
    <row r="73" spans="1:2" x14ac:dyDescent="0.3">
      <c r="A73" s="35">
        <v>34632.99</v>
      </c>
      <c r="B73" s="15">
        <v>13</v>
      </c>
    </row>
    <row r="74" spans="1:2" x14ac:dyDescent="0.3">
      <c r="A74" s="38">
        <v>36077.240000000005</v>
      </c>
      <c r="B74" s="33">
        <v>13</v>
      </c>
    </row>
    <row r="75" spans="1:2" x14ac:dyDescent="0.3">
      <c r="A75" s="38">
        <v>33706.240000000005</v>
      </c>
      <c r="B75" s="33">
        <v>13</v>
      </c>
    </row>
    <row r="76" spans="1:2" x14ac:dyDescent="0.3">
      <c r="A76" s="38">
        <v>33372.76</v>
      </c>
      <c r="B76" s="33">
        <v>13</v>
      </c>
    </row>
    <row r="77" spans="1:2" x14ac:dyDescent="0.3">
      <c r="A77" s="35">
        <v>34215.660000000003</v>
      </c>
      <c r="B77" s="15">
        <v>13</v>
      </c>
    </row>
    <row r="78" spans="1:2" x14ac:dyDescent="0.3">
      <c r="A78" s="35">
        <v>37738.25</v>
      </c>
      <c r="B78" s="15">
        <v>13</v>
      </c>
    </row>
    <row r="79" spans="1:2" x14ac:dyDescent="0.3">
      <c r="A79" s="35">
        <v>39720.769999999997</v>
      </c>
      <c r="B79" s="15">
        <v>13</v>
      </c>
    </row>
    <row r="80" spans="1:2" x14ac:dyDescent="0.3">
      <c r="A80" s="35">
        <v>40602.89</v>
      </c>
      <c r="B80" s="15">
        <v>13</v>
      </c>
    </row>
    <row r="81" spans="1:2" x14ac:dyDescent="0.3">
      <c r="A81" s="35">
        <v>38220.549999999996</v>
      </c>
      <c r="B81" s="15">
        <v>13</v>
      </c>
    </row>
    <row r="82" spans="1:2" x14ac:dyDescent="0.3">
      <c r="A82" s="35">
        <v>35239.93</v>
      </c>
      <c r="B82" s="15">
        <v>13</v>
      </c>
    </row>
    <row r="83" spans="1:2" x14ac:dyDescent="0.3">
      <c r="A83" s="35">
        <v>38326.39</v>
      </c>
      <c r="B83" s="15">
        <v>13</v>
      </c>
    </row>
    <row r="84" spans="1:2" x14ac:dyDescent="0.3">
      <c r="A84" s="38">
        <v>33866.26</v>
      </c>
      <c r="B84" s="33">
        <v>13</v>
      </c>
    </row>
    <row r="85" spans="1:2" x14ac:dyDescent="0.3">
      <c r="A85" s="38">
        <v>33777.93</v>
      </c>
      <c r="B85" s="33">
        <v>14</v>
      </c>
    </row>
    <row r="86" spans="1:2" x14ac:dyDescent="0.3">
      <c r="A86" s="38">
        <v>40416.370000000003</v>
      </c>
      <c r="B86" s="33">
        <v>14</v>
      </c>
    </row>
    <row r="87" spans="1:2" x14ac:dyDescent="0.3">
      <c r="A87" s="35">
        <v>36654.46</v>
      </c>
      <c r="B87" s="15">
        <v>14</v>
      </c>
    </row>
    <row r="88" spans="1:2" x14ac:dyDescent="0.3">
      <c r="A88" s="38">
        <v>41825.550000000003</v>
      </c>
      <c r="B88" s="33">
        <v>14</v>
      </c>
    </row>
    <row r="89" spans="1:2" x14ac:dyDescent="0.3">
      <c r="A89" s="35">
        <v>40941.78</v>
      </c>
      <c r="B89" s="15">
        <v>14</v>
      </c>
    </row>
    <row r="90" spans="1:2" x14ac:dyDescent="0.3">
      <c r="A90" s="38">
        <v>36617.35</v>
      </c>
      <c r="B90" s="33">
        <v>14</v>
      </c>
    </row>
    <row r="91" spans="1:2" x14ac:dyDescent="0.3">
      <c r="A91" s="38">
        <v>38480.32</v>
      </c>
      <c r="B91" s="33">
        <v>14</v>
      </c>
    </row>
    <row r="92" spans="1:2" x14ac:dyDescent="0.3">
      <c r="A92" s="35">
        <v>35698.509999999995</v>
      </c>
      <c r="B92" s="15">
        <v>14</v>
      </c>
    </row>
    <row r="93" spans="1:2" x14ac:dyDescent="0.3">
      <c r="A93" s="38">
        <v>41659.1</v>
      </c>
      <c r="B93" s="33">
        <v>14</v>
      </c>
    </row>
    <row r="94" spans="1:2" x14ac:dyDescent="0.3">
      <c r="A94" s="38">
        <v>36593.259999999995</v>
      </c>
      <c r="B94" s="33">
        <v>14</v>
      </c>
    </row>
    <row r="95" spans="1:2" x14ac:dyDescent="0.3">
      <c r="A95" s="38">
        <v>42678.12</v>
      </c>
      <c r="B95" s="33">
        <v>14</v>
      </c>
    </row>
    <row r="96" spans="1:2" x14ac:dyDescent="0.3">
      <c r="A96" s="35">
        <v>34232.79</v>
      </c>
      <c r="B96" s="15">
        <v>14</v>
      </c>
    </row>
    <row r="97" spans="1:2" x14ac:dyDescent="0.3">
      <c r="A97" s="38">
        <v>42669.799999999996</v>
      </c>
      <c r="B97" s="33">
        <v>14</v>
      </c>
    </row>
    <row r="98" spans="1:2" x14ac:dyDescent="0.3">
      <c r="A98" s="35">
        <v>37985.719999999994</v>
      </c>
      <c r="B98" s="15">
        <v>15</v>
      </c>
    </row>
    <row r="99" spans="1:2" x14ac:dyDescent="0.3">
      <c r="A99" s="38">
        <v>43083.060000000005</v>
      </c>
      <c r="B99" s="33">
        <v>15</v>
      </c>
    </row>
    <row r="100" spans="1:2" x14ac:dyDescent="0.3">
      <c r="A100" s="38">
        <v>43292.960000000006</v>
      </c>
      <c r="B100" s="33">
        <v>15</v>
      </c>
    </row>
    <row r="101" spans="1:2" x14ac:dyDescent="0.3">
      <c r="A101" s="38">
        <v>43439.619999999995</v>
      </c>
      <c r="B101" s="33">
        <v>15</v>
      </c>
    </row>
    <row r="102" spans="1:2" x14ac:dyDescent="0.3">
      <c r="A102" s="38">
        <v>39953.67</v>
      </c>
      <c r="B102" s="33">
        <v>15</v>
      </c>
    </row>
    <row r="103" spans="1:2" x14ac:dyDescent="0.3">
      <c r="A103" s="35">
        <v>39892.53</v>
      </c>
      <c r="B103" s="15">
        <v>15</v>
      </c>
    </row>
    <row r="104" spans="1:2" x14ac:dyDescent="0.3">
      <c r="A104" s="35">
        <v>42644.5</v>
      </c>
      <c r="B104" s="15">
        <v>15</v>
      </c>
    </row>
    <row r="105" spans="1:2" x14ac:dyDescent="0.3">
      <c r="A105" s="35">
        <v>43214.97</v>
      </c>
      <c r="B105" s="15">
        <v>15</v>
      </c>
    </row>
    <row r="106" spans="1:2" x14ac:dyDescent="0.3">
      <c r="A106" s="35">
        <v>37187.910000000003</v>
      </c>
      <c r="B106" s="15">
        <v>15</v>
      </c>
    </row>
    <row r="107" spans="1:2" x14ac:dyDescent="0.3">
      <c r="A107" s="35">
        <v>36523.32</v>
      </c>
      <c r="B107" s="15">
        <v>15</v>
      </c>
    </row>
    <row r="108" spans="1:2" x14ac:dyDescent="0.3">
      <c r="A108" s="38">
        <v>35975.200000000004</v>
      </c>
      <c r="B108" s="33">
        <v>15</v>
      </c>
    </row>
    <row r="109" spans="1:2" x14ac:dyDescent="0.3">
      <c r="A109" s="35">
        <v>43257.799999999996</v>
      </c>
      <c r="B109" s="15">
        <v>15</v>
      </c>
    </row>
    <row r="110" spans="1:2" x14ac:dyDescent="0.3">
      <c r="A110" s="38">
        <v>38631.43</v>
      </c>
      <c r="B110" s="33">
        <v>15</v>
      </c>
    </row>
    <row r="111" spans="1:2" x14ac:dyDescent="0.3">
      <c r="A111" s="38">
        <v>35325.990000000005</v>
      </c>
      <c r="B111" s="33">
        <v>15</v>
      </c>
    </row>
    <row r="112" spans="1:2" x14ac:dyDescent="0.3">
      <c r="A112" s="35">
        <v>37284.67</v>
      </c>
      <c r="B112" s="15">
        <v>15</v>
      </c>
    </row>
    <row r="113" spans="1:2" x14ac:dyDescent="0.3">
      <c r="A113" s="35">
        <v>46463.359999999993</v>
      </c>
      <c r="B113" s="15">
        <v>16</v>
      </c>
    </row>
    <row r="114" spans="1:2" x14ac:dyDescent="0.3">
      <c r="A114" s="35">
        <v>42090.080000000002</v>
      </c>
      <c r="B114" s="15">
        <v>16</v>
      </c>
    </row>
    <row r="115" spans="1:2" x14ac:dyDescent="0.3">
      <c r="A115" s="38">
        <v>37893.549999999996</v>
      </c>
      <c r="B115" s="33">
        <v>16</v>
      </c>
    </row>
    <row r="116" spans="1:2" x14ac:dyDescent="0.3">
      <c r="A116" s="38">
        <v>39090.269999999997</v>
      </c>
      <c r="B116" s="33">
        <v>16</v>
      </c>
    </row>
    <row r="117" spans="1:2" x14ac:dyDescent="0.3">
      <c r="A117" s="38">
        <v>39460.300000000003</v>
      </c>
      <c r="B117" s="33">
        <v>16</v>
      </c>
    </row>
    <row r="118" spans="1:2" x14ac:dyDescent="0.3">
      <c r="A118" s="38">
        <v>44898.200000000004</v>
      </c>
      <c r="B118" s="33">
        <v>16</v>
      </c>
    </row>
    <row r="119" spans="1:2" x14ac:dyDescent="0.3">
      <c r="A119" s="38">
        <v>41496.619999999995</v>
      </c>
      <c r="B119" s="33">
        <v>16</v>
      </c>
    </row>
    <row r="120" spans="1:2" x14ac:dyDescent="0.3">
      <c r="A120" s="35">
        <v>41297.219999999994</v>
      </c>
      <c r="B120" s="15">
        <v>17</v>
      </c>
    </row>
    <row r="121" spans="1:2" x14ac:dyDescent="0.3">
      <c r="A121" s="38">
        <v>48463.08</v>
      </c>
      <c r="B121" s="33">
        <v>17</v>
      </c>
    </row>
    <row r="122" spans="1:2" x14ac:dyDescent="0.3">
      <c r="A122" s="35">
        <v>45015.05</v>
      </c>
      <c r="B122" s="15">
        <v>17</v>
      </c>
    </row>
    <row r="123" spans="1:2" x14ac:dyDescent="0.3">
      <c r="A123" s="35">
        <v>41740.92</v>
      </c>
      <c r="B123" s="15">
        <v>17</v>
      </c>
    </row>
    <row r="124" spans="1:2" x14ac:dyDescent="0.3">
      <c r="A124" s="35">
        <v>40413.269999999997</v>
      </c>
      <c r="B124" s="15">
        <v>17</v>
      </c>
    </row>
    <row r="125" spans="1:2" x14ac:dyDescent="0.3">
      <c r="A125" s="35">
        <v>43877.35</v>
      </c>
      <c r="B125" s="15">
        <v>17</v>
      </c>
    </row>
    <row r="126" spans="1:2" x14ac:dyDescent="0.3">
      <c r="A126" s="38">
        <v>47999.630000000005</v>
      </c>
      <c r="B126" s="33">
        <v>17</v>
      </c>
    </row>
    <row r="127" spans="1:2" x14ac:dyDescent="0.3">
      <c r="A127" s="38">
        <v>41500.21</v>
      </c>
      <c r="B127" s="33">
        <v>17</v>
      </c>
    </row>
    <row r="128" spans="1:2" x14ac:dyDescent="0.3">
      <c r="A128" s="35">
        <v>40523.26</v>
      </c>
      <c r="B128" s="15">
        <v>17</v>
      </c>
    </row>
    <row r="129" spans="1:2" x14ac:dyDescent="0.3">
      <c r="A129" s="35">
        <v>43463.43</v>
      </c>
      <c r="B129" s="15">
        <v>17</v>
      </c>
    </row>
    <row r="130" spans="1:2" x14ac:dyDescent="0.3">
      <c r="A130" s="38">
        <v>43369.159999999996</v>
      </c>
      <c r="B130" s="33">
        <v>17</v>
      </c>
    </row>
    <row r="131" spans="1:2" x14ac:dyDescent="0.3">
      <c r="A131" s="35">
        <v>39851.619999999995</v>
      </c>
      <c r="B131" s="15">
        <v>17</v>
      </c>
    </row>
    <row r="132" spans="1:2" x14ac:dyDescent="0.3">
      <c r="A132" s="38">
        <v>48827.1</v>
      </c>
      <c r="B132" s="33">
        <v>18</v>
      </c>
    </row>
    <row r="133" spans="1:2" x14ac:dyDescent="0.3">
      <c r="A133" s="35">
        <v>42028.049999999996</v>
      </c>
      <c r="B133" s="15">
        <v>18</v>
      </c>
    </row>
    <row r="134" spans="1:2" x14ac:dyDescent="0.3">
      <c r="A134" s="35">
        <v>46160.420000000006</v>
      </c>
      <c r="B134" s="15">
        <v>18</v>
      </c>
    </row>
    <row r="135" spans="1:2" x14ac:dyDescent="0.3">
      <c r="A135" s="35">
        <v>42130.8</v>
      </c>
      <c r="B135" s="15">
        <v>18</v>
      </c>
    </row>
    <row r="136" spans="1:2" x14ac:dyDescent="0.3">
      <c r="A136" s="38">
        <v>43163.32</v>
      </c>
      <c r="B136" s="33">
        <v>18</v>
      </c>
    </row>
    <row r="137" spans="1:2" x14ac:dyDescent="0.3">
      <c r="A137" s="38">
        <v>44212.259999999995</v>
      </c>
      <c r="B137" s="33">
        <v>18</v>
      </c>
    </row>
    <row r="138" spans="1:2" x14ac:dyDescent="0.3">
      <c r="A138" s="38">
        <v>49527.96</v>
      </c>
      <c r="B138" s="33">
        <v>18</v>
      </c>
    </row>
    <row r="139" spans="1:2" x14ac:dyDescent="0.3">
      <c r="A139" s="35">
        <v>51328.11</v>
      </c>
      <c r="B139" s="15">
        <v>19</v>
      </c>
    </row>
    <row r="140" spans="1:2" x14ac:dyDescent="0.3">
      <c r="A140" s="35">
        <v>43248.19</v>
      </c>
      <c r="B140" s="15">
        <v>19</v>
      </c>
    </row>
    <row r="141" spans="1:2" x14ac:dyDescent="0.3">
      <c r="A141" s="35">
        <v>47804.39</v>
      </c>
      <c r="B141" s="15">
        <v>19</v>
      </c>
    </row>
    <row r="142" spans="1:2" x14ac:dyDescent="0.3">
      <c r="A142" s="35">
        <v>48033.35</v>
      </c>
      <c r="B142" s="15">
        <v>20</v>
      </c>
    </row>
    <row r="143" spans="1:2" x14ac:dyDescent="0.3">
      <c r="A143" s="38">
        <v>49630.16</v>
      </c>
      <c r="B143" s="33">
        <v>20</v>
      </c>
    </row>
    <row r="144" spans="1:2" x14ac:dyDescent="0.3">
      <c r="A144" s="35">
        <v>45970.75</v>
      </c>
      <c r="B144" s="15">
        <v>20</v>
      </c>
    </row>
    <row r="145" spans="1:2" x14ac:dyDescent="0.3">
      <c r="A145" s="35">
        <v>48634.420000000006</v>
      </c>
      <c r="B145" s="15">
        <v>21</v>
      </c>
    </row>
    <row r="146" spans="1:2" x14ac:dyDescent="0.3">
      <c r="A146" s="35">
        <v>52010.23</v>
      </c>
      <c r="B146" s="15">
        <v>21</v>
      </c>
    </row>
    <row r="147" spans="1:2" x14ac:dyDescent="0.3">
      <c r="A147" s="35">
        <v>49868.479999999996</v>
      </c>
      <c r="B147" s="15">
        <v>21</v>
      </c>
    </row>
    <row r="148" spans="1:2" x14ac:dyDescent="0.3">
      <c r="A148" s="38">
        <v>51704.83</v>
      </c>
      <c r="B148" s="33">
        <v>21</v>
      </c>
    </row>
    <row r="149" spans="1:2" x14ac:dyDescent="0.3">
      <c r="A149" s="38">
        <v>55239.24</v>
      </c>
      <c r="B149" s="33">
        <v>22</v>
      </c>
    </row>
    <row r="150" spans="1:2" x14ac:dyDescent="0.3">
      <c r="A150" s="35">
        <v>54491.189999999995</v>
      </c>
      <c r="B150" s="15">
        <v>23</v>
      </c>
    </row>
    <row r="151" spans="1:2" x14ac:dyDescent="0.3">
      <c r="A151" s="38">
        <v>63148.46</v>
      </c>
      <c r="B151" s="33">
        <v>28</v>
      </c>
    </row>
    <row r="152" spans="1:2" x14ac:dyDescent="0.3">
      <c r="A152" s="38">
        <v>60080.15</v>
      </c>
      <c r="B152" s="33">
        <v>28</v>
      </c>
    </row>
    <row r="153" spans="1:2" x14ac:dyDescent="0.3">
      <c r="A153" s="36">
        <v>72330.039999999994</v>
      </c>
      <c r="B153" s="40">
        <v>34</v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sortState xmlns:xlrd2="http://schemas.microsoft.com/office/spreadsheetml/2017/richdata2" ref="A4:B153">
    <sortCondition ref="B4:B153"/>
  </sortState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1CE9-BAC9-4909-A05F-A859F9625594}">
  <dimension ref="B2:N60"/>
  <sheetViews>
    <sheetView topLeftCell="B1" workbookViewId="0">
      <selection activeCell="J43" sqref="J43"/>
    </sheetView>
  </sheetViews>
  <sheetFormatPr baseColWidth="10" defaultColWidth="8.8984375" defaultRowHeight="13" x14ac:dyDescent="0.3"/>
  <cols>
    <col min="2" max="2" width="21.69921875" customWidth="1"/>
    <col min="3" max="3" width="26.296875" customWidth="1"/>
    <col min="4" max="4" width="26.8984375" customWidth="1"/>
    <col min="5" max="5" width="5.8984375" customWidth="1"/>
    <col min="6" max="6" width="18.8984375" customWidth="1"/>
    <col min="7" max="7" width="18.69921875" customWidth="1"/>
    <col min="8" max="8" width="19.09765625" customWidth="1"/>
    <col min="9" max="9" width="20" customWidth="1"/>
    <col min="10" max="10" width="17.59765625" customWidth="1"/>
    <col min="11" max="11" width="19.09765625" bestFit="1" customWidth="1"/>
    <col min="12" max="151" width="10" bestFit="1" customWidth="1"/>
    <col min="152" max="152" width="11" bestFit="1" customWidth="1"/>
  </cols>
  <sheetData>
    <row r="2" spans="2:14" x14ac:dyDescent="0.3">
      <c r="B2" s="72" t="s">
        <v>97</v>
      </c>
      <c r="C2" t="s">
        <v>99</v>
      </c>
      <c r="D2" t="s">
        <v>100</v>
      </c>
      <c r="F2" s="151" t="s">
        <v>101</v>
      </c>
      <c r="G2" s="151"/>
    </row>
    <row r="3" spans="2:14" x14ac:dyDescent="0.3">
      <c r="B3" s="100" t="s">
        <v>102</v>
      </c>
      <c r="C3">
        <v>5</v>
      </c>
      <c r="D3" s="70">
        <v>3.3333333333333333E-2</v>
      </c>
      <c r="F3" t="s">
        <v>103</v>
      </c>
      <c r="G3">
        <f>C22</f>
        <v>150</v>
      </c>
    </row>
    <row r="4" spans="2:14" x14ac:dyDescent="0.3">
      <c r="B4" s="100" t="s">
        <v>104</v>
      </c>
      <c r="C4">
        <v>8</v>
      </c>
      <c r="D4" s="70">
        <v>5.3333333333333337E-2</v>
      </c>
      <c r="F4" t="s">
        <v>105</v>
      </c>
      <c r="G4" s="143">
        <f>36300</f>
        <v>36300</v>
      </c>
    </row>
    <row r="5" spans="2:14" x14ac:dyDescent="0.3">
      <c r="B5" s="100" t="s">
        <v>106</v>
      </c>
      <c r="C5">
        <v>26</v>
      </c>
      <c r="D5" s="70">
        <v>0.17333333333333334</v>
      </c>
      <c r="F5" t="s">
        <v>107</v>
      </c>
      <c r="G5" s="143">
        <f>9500</f>
        <v>9500</v>
      </c>
    </row>
    <row r="6" spans="2:14" x14ac:dyDescent="0.3">
      <c r="B6" s="100" t="s">
        <v>108</v>
      </c>
      <c r="C6">
        <v>48</v>
      </c>
      <c r="D6" s="70">
        <v>0.32</v>
      </c>
    </row>
    <row r="7" spans="2:14" x14ac:dyDescent="0.3">
      <c r="B7" s="100" t="s">
        <v>109</v>
      </c>
      <c r="C7">
        <v>40</v>
      </c>
      <c r="D7" s="70">
        <v>0.26666666666666666</v>
      </c>
      <c r="F7" s="165" t="s">
        <v>110</v>
      </c>
      <c r="G7" s="165"/>
      <c r="H7" s="165"/>
      <c r="I7" s="165"/>
    </row>
    <row r="8" spans="2:14" ht="14.5" x14ac:dyDescent="0.3">
      <c r="B8" s="100" t="s">
        <v>111</v>
      </c>
      <c r="C8">
        <v>15</v>
      </c>
      <c r="D8" s="70">
        <v>0.1</v>
      </c>
      <c r="F8" s="163" t="s">
        <v>112</v>
      </c>
      <c r="G8" s="163"/>
      <c r="H8" s="163"/>
      <c r="I8" s="163"/>
      <c r="J8" s="163"/>
      <c r="K8" s="163"/>
      <c r="L8" s="163"/>
      <c r="M8" s="163"/>
      <c r="N8" s="163"/>
    </row>
    <row r="9" spans="2:14" ht="14.5" x14ac:dyDescent="0.3">
      <c r="B9" s="100" t="s">
        <v>113</v>
      </c>
      <c r="C9">
        <v>8</v>
      </c>
      <c r="D9" s="70">
        <v>5.3333333333333337E-2</v>
      </c>
      <c r="F9" s="163" t="s">
        <v>114</v>
      </c>
      <c r="G9" s="163"/>
      <c r="H9" s="163"/>
      <c r="I9" s="163"/>
      <c r="J9" s="163"/>
      <c r="K9" s="163"/>
      <c r="L9" s="163"/>
      <c r="M9" s="163"/>
      <c r="N9" s="163"/>
    </row>
    <row r="10" spans="2:14" ht="14.5" x14ac:dyDescent="0.3">
      <c r="B10" s="100" t="s">
        <v>11</v>
      </c>
      <c r="C10">
        <v>150</v>
      </c>
      <c r="D10" s="70">
        <v>1</v>
      </c>
      <c r="F10" s="102"/>
      <c r="G10" s="102"/>
      <c r="H10" s="102"/>
      <c r="I10" s="102"/>
      <c r="J10" s="102"/>
      <c r="K10" s="102"/>
      <c r="L10" s="102"/>
      <c r="M10" s="102"/>
      <c r="N10" s="102"/>
    </row>
    <row r="11" spans="2:14" ht="21.65" customHeight="1" x14ac:dyDescent="0.3">
      <c r="B11" s="100"/>
      <c r="D11" s="70"/>
      <c r="F11" s="164" t="s">
        <v>115</v>
      </c>
      <c r="G11" s="164"/>
      <c r="H11" s="164"/>
      <c r="I11" s="164"/>
      <c r="J11" s="164"/>
      <c r="K11" s="102"/>
      <c r="L11" s="102"/>
      <c r="M11" s="102"/>
      <c r="N11" s="102"/>
    </row>
    <row r="12" spans="2:14" ht="14.5" x14ac:dyDescent="0.3">
      <c r="B12" s="162" t="s">
        <v>116</v>
      </c>
      <c r="C12" s="162"/>
      <c r="D12" s="162"/>
      <c r="E12" s="162"/>
      <c r="F12" s="74" t="s">
        <v>117</v>
      </c>
      <c r="G12" s="74" t="s">
        <v>118</v>
      </c>
      <c r="H12" s="74" t="s">
        <v>119</v>
      </c>
      <c r="I12" s="81" t="s">
        <v>120</v>
      </c>
      <c r="J12" s="85" t="s">
        <v>121</v>
      </c>
      <c r="K12" s="85" t="s">
        <v>122</v>
      </c>
      <c r="L12" s="102"/>
      <c r="M12" s="102"/>
      <c r="N12" s="102"/>
    </row>
    <row r="13" spans="2:14" ht="14.5" x14ac:dyDescent="0.3">
      <c r="F13" s="108" t="s">
        <v>102</v>
      </c>
      <c r="G13" s="108">
        <f t="shared" ref="G13:G19" si="0">C15</f>
        <v>5</v>
      </c>
      <c r="H13" s="109">
        <f xml:space="preserve"> _xlfn.NORM.DIST(20000,G4,G5,TRUE)</f>
        <v>4.3100290734297816E-2</v>
      </c>
      <c r="I13" s="128">
        <f>$G$20*H13</f>
        <v>6.4650436101446722</v>
      </c>
      <c r="J13" s="131">
        <f>(G13-I13)^2</f>
        <v>2.1463527796257345</v>
      </c>
      <c r="K13" s="133">
        <f>J13/I13</f>
        <v>0.3319935500911036</v>
      </c>
      <c r="L13" s="102"/>
      <c r="M13" s="102"/>
      <c r="N13" s="102"/>
    </row>
    <row r="14" spans="2:14" ht="14.5" x14ac:dyDescent="0.3">
      <c r="B14" s="104" t="s">
        <v>117</v>
      </c>
      <c r="C14" s="104" t="s">
        <v>123</v>
      </c>
      <c r="D14" s="104" t="s">
        <v>124</v>
      </c>
      <c r="F14" s="107" t="s">
        <v>104</v>
      </c>
      <c r="G14" s="108">
        <f t="shared" si="0"/>
        <v>8</v>
      </c>
      <c r="H14" s="109">
        <f>_xlfn.NORM.DIST(26000,G4,G5,TRUE)-_xlfn.NORM.DIST(20000,G4,G5,TRUE)</f>
        <v>9.6035442024579018E-2</v>
      </c>
      <c r="I14" s="128">
        <f t="shared" ref="I14:I19" si="1">H14*$G$20</f>
        <v>14.405316303686853</v>
      </c>
      <c r="J14" s="131">
        <f t="shared" ref="J14:J19" si="2">(G14-I14)^2</f>
        <v>41.028076950276606</v>
      </c>
      <c r="K14" s="133">
        <f t="shared" ref="K14:K19" si="3">J14/I14</f>
        <v>2.8481205192124803</v>
      </c>
      <c r="L14" s="102"/>
      <c r="M14" s="102"/>
      <c r="N14" s="102"/>
    </row>
    <row r="15" spans="2:14" ht="14.5" x14ac:dyDescent="0.3">
      <c r="B15" s="111" t="s">
        <v>125</v>
      </c>
      <c r="C15" s="108">
        <v>5</v>
      </c>
      <c r="D15" s="109">
        <f t="shared" ref="D15:D22" si="4">C15/$C$22</f>
        <v>3.3333333333333333E-2</v>
      </c>
      <c r="F15" s="107" t="s">
        <v>106</v>
      </c>
      <c r="G15" s="108">
        <f t="shared" si="0"/>
        <v>26</v>
      </c>
      <c r="H15" s="109">
        <f>_xlfn.NORM.DIST(32000,G4,G5,TRUE)-_xlfn.NORM.DIST(26000,G4,G5,TRUE)</f>
        <v>0.18627129499999492</v>
      </c>
      <c r="I15" s="128">
        <f t="shared" si="1"/>
        <v>27.94069424999924</v>
      </c>
      <c r="J15" s="131">
        <f t="shared" si="2"/>
        <v>3.7662941719801113</v>
      </c>
      <c r="K15" s="133">
        <f t="shared" si="3"/>
        <v>0.13479601252142165</v>
      </c>
      <c r="L15" s="102"/>
      <c r="M15" s="102"/>
      <c r="N15" s="102"/>
    </row>
    <row r="16" spans="2:14" ht="14.5" x14ac:dyDescent="0.3">
      <c r="B16" s="107" t="s">
        <v>126</v>
      </c>
      <c r="C16" s="108">
        <f t="shared" ref="C16:C21" si="5">C4</f>
        <v>8</v>
      </c>
      <c r="D16" s="109">
        <f t="shared" si="4"/>
        <v>5.3333333333333337E-2</v>
      </c>
      <c r="F16" s="107" t="s">
        <v>108</v>
      </c>
      <c r="G16" s="108">
        <f t="shared" si="0"/>
        <v>48</v>
      </c>
      <c r="H16" s="109">
        <f>_xlfn.NORM.DIST(38000,G4,G5,TRUE)-_xlfn.NORM.DIST(32000,G4,G5,TRUE)</f>
        <v>0.24560345803659489</v>
      </c>
      <c r="I16" s="128">
        <f t="shared" si="1"/>
        <v>36.840518705489231</v>
      </c>
      <c r="J16" s="131">
        <f t="shared" si="2"/>
        <v>124.53402276253576</v>
      </c>
      <c r="K16" s="133">
        <f t="shared" si="3"/>
        <v>3.3803547598796486</v>
      </c>
      <c r="L16" s="102"/>
      <c r="M16" s="102"/>
      <c r="N16" s="102"/>
    </row>
    <row r="17" spans="2:14" ht="14.5" x14ac:dyDescent="0.3">
      <c r="B17" s="107" t="s">
        <v>106</v>
      </c>
      <c r="C17" s="108">
        <f t="shared" si="5"/>
        <v>26</v>
      </c>
      <c r="D17" s="109">
        <f t="shared" si="4"/>
        <v>0.17333333333333334</v>
      </c>
      <c r="F17" s="107" t="s">
        <v>109</v>
      </c>
      <c r="G17" s="108">
        <f t="shared" si="0"/>
        <v>40</v>
      </c>
      <c r="H17" s="109">
        <f>_xlfn.NORM.DIST(44000,G4,G5,TRUE)-_xlfn.NORM.DIST(38000,G4,G5,TRUE)</f>
        <v>0.22017064087897686</v>
      </c>
      <c r="I17" s="128">
        <f t="shared" si="1"/>
        <v>33.025596131846527</v>
      </c>
      <c r="J17" s="131">
        <f t="shared" si="2"/>
        <v>48.64230931611413</v>
      </c>
      <c r="K17" s="133">
        <f t="shared" si="3"/>
        <v>1.4728669581594147</v>
      </c>
      <c r="L17" s="102"/>
      <c r="M17" s="102"/>
      <c r="N17" s="102"/>
    </row>
    <row r="18" spans="2:14" ht="14.5" x14ac:dyDescent="0.3">
      <c r="B18" s="107" t="s">
        <v>108</v>
      </c>
      <c r="C18" s="108">
        <f t="shared" si="5"/>
        <v>48</v>
      </c>
      <c r="D18" s="109">
        <f t="shared" si="4"/>
        <v>0.32</v>
      </c>
      <c r="F18" s="107" t="s">
        <v>111</v>
      </c>
      <c r="G18" s="108">
        <f t="shared" si="0"/>
        <v>15</v>
      </c>
      <c r="H18" s="109">
        <f>_xlfn.NORM.DIST(50000,G4,G5,TRUE)-_xlfn.NORM.DIST(44000,G4,G5,TRUE)</f>
        <v>0.1341825330627191</v>
      </c>
      <c r="I18" s="128">
        <f t="shared" si="1"/>
        <v>20.127379959407865</v>
      </c>
      <c r="J18" s="131">
        <f t="shared" si="2"/>
        <v>26.290025248137397</v>
      </c>
      <c r="K18" s="133">
        <f t="shared" si="3"/>
        <v>1.3061821906854305</v>
      </c>
      <c r="L18" s="102"/>
      <c r="M18" s="102"/>
      <c r="N18" s="102"/>
    </row>
    <row r="19" spans="2:14" ht="14.5" x14ac:dyDescent="0.3">
      <c r="B19" s="107" t="s">
        <v>109</v>
      </c>
      <c r="C19" s="108">
        <f t="shared" si="5"/>
        <v>40</v>
      </c>
      <c r="D19" s="109">
        <f t="shared" si="4"/>
        <v>0.26666666666666666</v>
      </c>
      <c r="F19" s="107" t="s">
        <v>113</v>
      </c>
      <c r="G19" s="108">
        <f t="shared" si="0"/>
        <v>8</v>
      </c>
      <c r="H19" s="109">
        <f>1-_xlfn.NORM.DIST(50000,G4,G5,TRUE)</f>
        <v>7.4636340262837386E-2</v>
      </c>
      <c r="I19" s="128">
        <f t="shared" si="1"/>
        <v>11.195451039425608</v>
      </c>
      <c r="J19" s="131">
        <f t="shared" si="2"/>
        <v>10.210907345366198</v>
      </c>
      <c r="K19" s="133">
        <f t="shared" si="3"/>
        <v>0.91205859499610453</v>
      </c>
      <c r="L19" s="102"/>
      <c r="M19" s="102"/>
      <c r="N19" s="102"/>
    </row>
    <row r="20" spans="2:14" ht="15" thickBot="1" x14ac:dyDescent="0.35">
      <c r="B20" s="107" t="s">
        <v>111</v>
      </c>
      <c r="C20" s="108">
        <f t="shared" si="5"/>
        <v>15</v>
      </c>
      <c r="D20" s="109">
        <f t="shared" si="4"/>
        <v>0.1</v>
      </c>
      <c r="F20" s="74" t="s">
        <v>14</v>
      </c>
      <c r="G20" s="74">
        <f>SUM(G13:G19)</f>
        <v>150</v>
      </c>
      <c r="H20" s="106">
        <f>SUM(H13:H19)</f>
        <v>1</v>
      </c>
      <c r="I20" s="129">
        <f>SUM(I13:I19)</f>
        <v>150</v>
      </c>
      <c r="J20" s="132"/>
      <c r="K20" s="134">
        <f>SUM(K13:K19)</f>
        <v>10.386372585545603</v>
      </c>
      <c r="L20" s="102"/>
      <c r="M20" s="102"/>
      <c r="N20" s="102"/>
    </row>
    <row r="21" spans="2:14" ht="14.5" x14ac:dyDescent="0.3">
      <c r="B21" s="107" t="s">
        <v>113</v>
      </c>
      <c r="C21" s="108">
        <f t="shared" si="5"/>
        <v>8</v>
      </c>
      <c r="D21" s="109">
        <f t="shared" si="4"/>
        <v>5.3333333333333337E-2</v>
      </c>
      <c r="F21" s="110"/>
      <c r="G21" s="110"/>
      <c r="H21" s="102"/>
      <c r="I21" s="102"/>
      <c r="J21" s="102"/>
      <c r="K21" s="102"/>
      <c r="L21" s="102"/>
      <c r="M21" s="102"/>
      <c r="N21" s="102"/>
    </row>
    <row r="22" spans="2:14" ht="14.5" x14ac:dyDescent="0.3">
      <c r="B22" s="105" t="s">
        <v>11</v>
      </c>
      <c r="C22" s="112">
        <f>SUM(C15:C21)</f>
        <v>150</v>
      </c>
      <c r="D22" s="113">
        <f t="shared" si="4"/>
        <v>1</v>
      </c>
      <c r="F22" s="110"/>
      <c r="G22" s="110"/>
      <c r="H22" s="102"/>
      <c r="I22" s="102"/>
      <c r="J22" s="102"/>
      <c r="K22" s="102"/>
      <c r="L22" s="102"/>
      <c r="M22" s="102"/>
      <c r="N22" s="102"/>
    </row>
    <row r="23" spans="2:14" x14ac:dyDescent="0.3">
      <c r="F23" s="151" t="s">
        <v>127</v>
      </c>
      <c r="G23" s="151"/>
    </row>
    <row r="25" spans="2:14" x14ac:dyDescent="0.3">
      <c r="F25" s="151"/>
      <c r="G25" s="151"/>
      <c r="H25" s="151"/>
    </row>
    <row r="27" spans="2:14" x14ac:dyDescent="0.3">
      <c r="F27" t="s">
        <v>128</v>
      </c>
      <c r="G27">
        <v>0.05</v>
      </c>
    </row>
    <row r="28" spans="2:14" x14ac:dyDescent="0.3">
      <c r="F28" t="s">
        <v>129</v>
      </c>
      <c r="G28">
        <f>7-1</f>
        <v>6</v>
      </c>
      <c r="H28" t="s">
        <v>130</v>
      </c>
      <c r="I28" s="48">
        <f>_xlfn.CHISQ.INV.RT(G27,G28)</f>
        <v>12.591587243743978</v>
      </c>
    </row>
    <row r="29" spans="2:14" x14ac:dyDescent="0.3">
      <c r="F29" s="56"/>
    </row>
    <row r="30" spans="2:14" x14ac:dyDescent="0.3">
      <c r="F30" s="56" t="s">
        <v>131</v>
      </c>
      <c r="G30" t="s">
        <v>132</v>
      </c>
    </row>
    <row r="31" spans="2:14" x14ac:dyDescent="0.3">
      <c r="F31" s="56"/>
    </row>
    <row r="32" spans="2:14" x14ac:dyDescent="0.3">
      <c r="F32" s="56" t="s">
        <v>133</v>
      </c>
    </row>
    <row r="33" spans="2:11" x14ac:dyDescent="0.3">
      <c r="F33" t="s">
        <v>134</v>
      </c>
    </row>
    <row r="35" spans="2:11" x14ac:dyDescent="0.3">
      <c r="F35" s="56" t="s">
        <v>135</v>
      </c>
    </row>
    <row r="36" spans="2:11" x14ac:dyDescent="0.3">
      <c r="F36" s="160" t="s">
        <v>188</v>
      </c>
      <c r="G36" s="160"/>
      <c r="H36" s="160"/>
      <c r="I36" s="160"/>
    </row>
    <row r="37" spans="2:11" x14ac:dyDescent="0.3">
      <c r="F37" s="160"/>
      <c r="G37" s="160"/>
      <c r="H37" s="160"/>
      <c r="I37" s="160"/>
    </row>
    <row r="38" spans="2:11" x14ac:dyDescent="0.3">
      <c r="B38" s="103"/>
      <c r="C38" s="56"/>
      <c r="D38" s="87"/>
      <c r="F38" s="160"/>
      <c r="G38" s="160"/>
      <c r="H38" s="160"/>
      <c r="I38" s="160"/>
      <c r="J38" s="83"/>
      <c r="K38" s="83"/>
    </row>
    <row r="39" spans="2:11" x14ac:dyDescent="0.3">
      <c r="B39" s="56"/>
      <c r="C39" s="56"/>
      <c r="D39" s="87"/>
      <c r="F39" s="160"/>
      <c r="G39" s="160"/>
      <c r="H39" s="160"/>
      <c r="I39" s="160"/>
    </row>
    <row r="40" spans="2:11" ht="14.5" customHeight="1" x14ac:dyDescent="0.3">
      <c r="B40" s="56"/>
      <c r="C40" s="56"/>
      <c r="D40" s="87"/>
      <c r="F40" s="160"/>
      <c r="G40" s="160"/>
      <c r="H40" s="160"/>
      <c r="I40" s="160"/>
    </row>
    <row r="41" spans="2:11" ht="14.5" customHeight="1" x14ac:dyDescent="0.3">
      <c r="B41" s="56"/>
      <c r="C41" s="56"/>
      <c r="D41" s="87"/>
      <c r="F41" s="160"/>
      <c r="G41" s="160"/>
      <c r="H41" s="160"/>
      <c r="I41" s="160"/>
    </row>
    <row r="42" spans="2:11" x14ac:dyDescent="0.3">
      <c r="B42" s="56"/>
      <c r="C42" s="56"/>
      <c r="D42" s="87"/>
    </row>
    <row r="43" spans="2:11" x14ac:dyDescent="0.3">
      <c r="B43" s="56"/>
      <c r="C43" s="56"/>
      <c r="D43" s="87"/>
    </row>
    <row r="45" spans="2:11" x14ac:dyDescent="0.3">
      <c r="F45" s="83" t="s">
        <v>136</v>
      </c>
      <c r="G45" s="56"/>
      <c r="H45" s="56"/>
      <c r="I45" s="56"/>
    </row>
    <row r="46" spans="2:11" ht="14.5" x14ac:dyDescent="0.3">
      <c r="F46" s="161" t="s">
        <v>137</v>
      </c>
      <c r="G46" s="161"/>
      <c r="H46" s="161"/>
      <c r="I46" s="161"/>
      <c r="J46" s="161"/>
      <c r="K46" s="161"/>
    </row>
    <row r="47" spans="2:11" ht="18.5" x14ac:dyDescent="0.3">
      <c r="F47" s="157" t="s">
        <v>138</v>
      </c>
      <c r="G47" s="157"/>
      <c r="H47" s="157"/>
      <c r="I47" s="158">
        <f>_xlfn.NORM.INV(0.75,36300,9500)</f>
        <v>42707.652626862779</v>
      </c>
      <c r="J47" s="158"/>
      <c r="K47" s="158"/>
    </row>
    <row r="48" spans="2:11" x14ac:dyDescent="0.3">
      <c r="F48" s="159" t="s">
        <v>139</v>
      </c>
      <c r="G48" s="159"/>
      <c r="H48" s="159"/>
      <c r="I48" s="159"/>
      <c r="J48" s="159"/>
      <c r="K48" s="159"/>
    </row>
    <row r="49" spans="3:11" x14ac:dyDescent="0.3">
      <c r="C49" s="101"/>
      <c r="F49" s="159"/>
      <c r="G49" s="159"/>
      <c r="H49" s="159"/>
      <c r="I49" s="159"/>
      <c r="J49" s="159"/>
      <c r="K49" s="159"/>
    </row>
    <row r="50" spans="3:11" x14ac:dyDescent="0.3">
      <c r="C50" s="101"/>
    </row>
    <row r="51" spans="3:11" x14ac:dyDescent="0.3">
      <c r="C51" s="101"/>
    </row>
    <row r="56" spans="3:11" ht="25.5" customHeight="1" x14ac:dyDescent="0.3"/>
    <row r="57" spans="3:11" ht="25.5" customHeight="1" x14ac:dyDescent="0.3"/>
    <row r="58" spans="3:11" ht="13" customHeight="1" x14ac:dyDescent="0.3"/>
    <row r="60" spans="3:11" ht="13" customHeight="1" x14ac:dyDescent="0.3"/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mergeCells count="13">
    <mergeCell ref="F25:H25"/>
    <mergeCell ref="B12:E12"/>
    <mergeCell ref="F2:G2"/>
    <mergeCell ref="F23:G23"/>
    <mergeCell ref="F8:N8"/>
    <mergeCell ref="F9:N9"/>
    <mergeCell ref="F11:J11"/>
    <mergeCell ref="F7:I7"/>
    <mergeCell ref="F47:H47"/>
    <mergeCell ref="I47:K47"/>
    <mergeCell ref="F48:K49"/>
    <mergeCell ref="F36:I41"/>
    <mergeCell ref="F46:K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4702-76D8-4C14-B865-1CEBFCC38404}">
  <dimension ref="A1:K109"/>
  <sheetViews>
    <sheetView workbookViewId="0">
      <selection activeCell="G14" sqref="G14"/>
    </sheetView>
  </sheetViews>
  <sheetFormatPr baseColWidth="10" defaultColWidth="11.3984375" defaultRowHeight="13" x14ac:dyDescent="0.3"/>
  <cols>
    <col min="1" max="1" width="12" customWidth="1"/>
    <col min="2" max="2" width="10.296875" customWidth="1"/>
    <col min="4" max="4" width="25.69921875" bestFit="1" customWidth="1"/>
    <col min="7" max="7" width="14.59765625" bestFit="1" customWidth="1"/>
    <col min="9" max="9" width="13.296875" customWidth="1"/>
    <col min="10" max="10" width="13.69921875" bestFit="1" customWidth="1"/>
  </cols>
  <sheetData>
    <row r="1" spans="1:11" x14ac:dyDescent="0.3">
      <c r="A1" t="s">
        <v>117</v>
      </c>
      <c r="B1" t="s">
        <v>140</v>
      </c>
    </row>
    <row r="2" spans="1:11" ht="29" x14ac:dyDescent="0.3">
      <c r="A2" s="35">
        <v>36884.61</v>
      </c>
      <c r="B2" s="15">
        <v>11</v>
      </c>
      <c r="C2" s="56"/>
      <c r="D2" s="114" t="s">
        <v>103</v>
      </c>
      <c r="E2" s="116">
        <f>COUNTA(A2:A1048576)</f>
        <v>108</v>
      </c>
      <c r="F2" s="114" t="s">
        <v>105</v>
      </c>
      <c r="G2" s="115">
        <f>AVERAGE(A2:A109)</f>
        <v>40614.644814814819</v>
      </c>
      <c r="H2" s="118" t="s">
        <v>107</v>
      </c>
      <c r="I2" s="117">
        <f>_xlfn.STDEV.S(A2:A109)</f>
        <v>7008.3374683645334</v>
      </c>
      <c r="J2" s="123" t="s">
        <v>141</v>
      </c>
      <c r="K2" s="122">
        <v>0.05</v>
      </c>
    </row>
    <row r="3" spans="1:11" x14ac:dyDescent="0.3">
      <c r="A3" s="35">
        <v>28677.280000000002</v>
      </c>
      <c r="B3" s="15">
        <v>11</v>
      </c>
    </row>
    <row r="4" spans="1:11" x14ac:dyDescent="0.3">
      <c r="A4" s="38">
        <v>34106.410000000003</v>
      </c>
      <c r="B4" s="33">
        <v>11</v>
      </c>
      <c r="D4" t="s">
        <v>142</v>
      </c>
      <c r="E4" s="124">
        <v>44000</v>
      </c>
    </row>
    <row r="5" spans="1:11" ht="14.5" x14ac:dyDescent="0.3">
      <c r="A5" s="38">
        <v>33063.42</v>
      </c>
      <c r="B5" s="33">
        <v>11</v>
      </c>
      <c r="G5" s="120"/>
    </row>
    <row r="6" spans="1:11" ht="14.5" x14ac:dyDescent="0.3">
      <c r="A6" s="38">
        <v>33908.42</v>
      </c>
      <c r="B6" s="33">
        <v>11</v>
      </c>
      <c r="D6" s="56" t="s">
        <v>143</v>
      </c>
      <c r="G6" s="120"/>
    </row>
    <row r="7" spans="1:11" ht="14.5" x14ac:dyDescent="0.3">
      <c r="A7" s="35">
        <v>32749.95</v>
      </c>
      <c r="B7" s="15">
        <v>11</v>
      </c>
      <c r="D7" s="69" t="s">
        <v>144</v>
      </c>
      <c r="E7" s="121">
        <f>E4</f>
        <v>44000</v>
      </c>
      <c r="F7" s="119"/>
      <c r="G7" s="120"/>
    </row>
    <row r="8" spans="1:11" ht="14.5" x14ac:dyDescent="0.3">
      <c r="A8" s="38">
        <v>32226.81</v>
      </c>
      <c r="B8" s="33">
        <v>11</v>
      </c>
      <c r="D8" s="69" t="s">
        <v>145</v>
      </c>
      <c r="E8" s="121">
        <f>E7</f>
        <v>44000</v>
      </c>
      <c r="F8" s="119"/>
    </row>
    <row r="9" spans="1:11" x14ac:dyDescent="0.3">
      <c r="A9" s="38">
        <v>36294.629999999997</v>
      </c>
      <c r="B9" s="33">
        <v>11</v>
      </c>
      <c r="D9" s="56" t="s">
        <v>146</v>
      </c>
      <c r="E9" t="s">
        <v>147</v>
      </c>
    </row>
    <row r="10" spans="1:11" x14ac:dyDescent="0.3">
      <c r="A10" s="35">
        <v>35296.46</v>
      </c>
      <c r="B10" s="15">
        <v>11</v>
      </c>
      <c r="D10" s="125" t="s">
        <v>148</v>
      </c>
      <c r="E10" s="48">
        <f>I2/SQRT(E2)</f>
        <v>674.37758732200064</v>
      </c>
      <c r="G10" s="146"/>
      <c r="H10" s="147"/>
    </row>
    <row r="11" spans="1:11" x14ac:dyDescent="0.3">
      <c r="A11" s="38">
        <v>31558.639999999999</v>
      </c>
      <c r="B11" s="33">
        <v>12</v>
      </c>
    </row>
    <row r="12" spans="1:11" x14ac:dyDescent="0.3">
      <c r="A12" s="38">
        <v>33249.99</v>
      </c>
      <c r="B12" s="33">
        <v>12</v>
      </c>
      <c r="D12" s="56" t="s">
        <v>149</v>
      </c>
      <c r="E12" s="148">
        <f>_xlfn.NORM.INV(0.05,E4,E10)</f>
        <v>42890.747579558622</v>
      </c>
    </row>
    <row r="13" spans="1:11" x14ac:dyDescent="0.3">
      <c r="A13" s="38">
        <v>35912.100000000006</v>
      </c>
      <c r="B13" s="33">
        <v>12</v>
      </c>
      <c r="D13" s="56" t="s">
        <v>150</v>
      </c>
      <c r="E13" s="56"/>
    </row>
    <row r="14" spans="1:11" x14ac:dyDescent="0.3">
      <c r="A14" s="38">
        <v>36357.07</v>
      </c>
      <c r="B14" s="33">
        <v>12</v>
      </c>
      <c r="D14" t="s">
        <v>187</v>
      </c>
    </row>
    <row r="15" spans="1:11" x14ac:dyDescent="0.3">
      <c r="A15" s="38">
        <v>30613.11</v>
      </c>
      <c r="B15" s="33">
        <v>12</v>
      </c>
    </row>
    <row r="16" spans="1:11" x14ac:dyDescent="0.3">
      <c r="A16" s="35">
        <v>31886.47</v>
      </c>
      <c r="B16" s="15">
        <v>12</v>
      </c>
    </row>
    <row r="17" spans="1:4" x14ac:dyDescent="0.3">
      <c r="A17" s="38">
        <v>34419.170000000006</v>
      </c>
      <c r="B17" s="33">
        <v>12</v>
      </c>
      <c r="D17" s="56" t="s">
        <v>151</v>
      </c>
    </row>
    <row r="18" spans="1:4" x14ac:dyDescent="0.3">
      <c r="A18" s="38">
        <v>36848.469999999994</v>
      </c>
      <c r="B18" s="33">
        <v>12</v>
      </c>
      <c r="D18" t="s">
        <v>152</v>
      </c>
    </row>
    <row r="19" spans="1:4" x14ac:dyDescent="0.3">
      <c r="A19" s="35">
        <v>34516.800000000003</v>
      </c>
      <c r="B19" s="15">
        <v>12</v>
      </c>
    </row>
    <row r="20" spans="1:4" x14ac:dyDescent="0.3">
      <c r="A20" s="35">
        <v>36420.960000000006</v>
      </c>
      <c r="B20" s="15">
        <v>12</v>
      </c>
    </row>
    <row r="21" spans="1:4" x14ac:dyDescent="0.3">
      <c r="A21" s="38">
        <v>38232.25</v>
      </c>
      <c r="B21" s="33">
        <v>12</v>
      </c>
    </row>
    <row r="22" spans="1:4" x14ac:dyDescent="0.3">
      <c r="A22" s="35">
        <v>38740.83</v>
      </c>
      <c r="B22" s="15">
        <v>12</v>
      </c>
    </row>
    <row r="23" spans="1:4" x14ac:dyDescent="0.3">
      <c r="A23" s="35">
        <v>37684.700000000004</v>
      </c>
      <c r="B23" s="15">
        <v>12</v>
      </c>
    </row>
    <row r="24" spans="1:4" x14ac:dyDescent="0.3">
      <c r="A24" s="38">
        <v>33801.360000000001</v>
      </c>
      <c r="B24" s="33">
        <v>12</v>
      </c>
    </row>
    <row r="25" spans="1:4" x14ac:dyDescent="0.3">
      <c r="A25" s="35">
        <v>39073.94</v>
      </c>
      <c r="B25" s="15">
        <v>13</v>
      </c>
    </row>
    <row r="26" spans="1:4" x14ac:dyDescent="0.3">
      <c r="A26" s="35">
        <v>32890.75</v>
      </c>
      <c r="B26" s="15">
        <v>13</v>
      </c>
    </row>
    <row r="27" spans="1:4" x14ac:dyDescent="0.3">
      <c r="A27" s="35">
        <v>35049.950000000004</v>
      </c>
      <c r="B27" s="15">
        <v>13</v>
      </c>
    </row>
    <row r="28" spans="1:4" x14ac:dyDescent="0.3">
      <c r="A28" s="38">
        <v>31779.989999999998</v>
      </c>
      <c r="B28" s="33">
        <v>13</v>
      </c>
    </row>
    <row r="29" spans="1:4" x14ac:dyDescent="0.3">
      <c r="A29" s="35">
        <v>34632.99</v>
      </c>
      <c r="B29" s="15">
        <v>13</v>
      </c>
    </row>
    <row r="30" spans="1:4" x14ac:dyDescent="0.3">
      <c r="A30" s="38">
        <v>36077.240000000005</v>
      </c>
      <c r="B30" s="33">
        <v>13</v>
      </c>
    </row>
    <row r="31" spans="1:4" x14ac:dyDescent="0.3">
      <c r="A31" s="38">
        <v>33706.240000000005</v>
      </c>
      <c r="B31" s="33">
        <v>13</v>
      </c>
    </row>
    <row r="32" spans="1:4" x14ac:dyDescent="0.3">
      <c r="A32" s="38">
        <v>33372.76</v>
      </c>
      <c r="B32" s="33">
        <v>13</v>
      </c>
    </row>
    <row r="33" spans="1:2" x14ac:dyDescent="0.3">
      <c r="A33" s="35">
        <v>34215.660000000003</v>
      </c>
      <c r="B33" s="15">
        <v>13</v>
      </c>
    </row>
    <row r="34" spans="1:2" x14ac:dyDescent="0.3">
      <c r="A34" s="35">
        <v>37738.25</v>
      </c>
      <c r="B34" s="15">
        <v>13</v>
      </c>
    </row>
    <row r="35" spans="1:2" x14ac:dyDescent="0.3">
      <c r="A35" s="35">
        <v>39720.769999999997</v>
      </c>
      <c r="B35" s="15">
        <v>13</v>
      </c>
    </row>
    <row r="36" spans="1:2" x14ac:dyDescent="0.3">
      <c r="A36" s="35">
        <v>40602.89</v>
      </c>
      <c r="B36" s="15">
        <v>13</v>
      </c>
    </row>
    <row r="37" spans="1:2" x14ac:dyDescent="0.3">
      <c r="A37" s="35">
        <v>38220.549999999996</v>
      </c>
      <c r="B37" s="15">
        <v>13</v>
      </c>
    </row>
    <row r="38" spans="1:2" x14ac:dyDescent="0.3">
      <c r="A38" s="35">
        <v>35239.93</v>
      </c>
      <c r="B38" s="15">
        <v>13</v>
      </c>
    </row>
    <row r="39" spans="1:2" x14ac:dyDescent="0.3">
      <c r="A39" s="35">
        <v>38326.39</v>
      </c>
      <c r="B39" s="15">
        <v>13</v>
      </c>
    </row>
    <row r="40" spans="1:2" x14ac:dyDescent="0.3">
      <c r="A40" s="38">
        <v>33866.26</v>
      </c>
      <c r="B40" s="33">
        <v>13</v>
      </c>
    </row>
    <row r="41" spans="1:2" x14ac:dyDescent="0.3">
      <c r="A41" s="38">
        <v>33777.93</v>
      </c>
      <c r="B41" s="33">
        <v>14</v>
      </c>
    </row>
    <row r="42" spans="1:2" x14ac:dyDescent="0.3">
      <c r="A42" s="38">
        <v>40416.370000000003</v>
      </c>
      <c r="B42" s="33">
        <v>14</v>
      </c>
    </row>
    <row r="43" spans="1:2" x14ac:dyDescent="0.3">
      <c r="A43" s="35">
        <v>36654.46</v>
      </c>
      <c r="B43" s="15">
        <v>14</v>
      </c>
    </row>
    <row r="44" spans="1:2" x14ac:dyDescent="0.3">
      <c r="A44" s="38">
        <v>41825.550000000003</v>
      </c>
      <c r="B44" s="33">
        <v>14</v>
      </c>
    </row>
    <row r="45" spans="1:2" x14ac:dyDescent="0.3">
      <c r="A45" s="35">
        <v>40941.78</v>
      </c>
      <c r="B45" s="15">
        <v>14</v>
      </c>
    </row>
    <row r="46" spans="1:2" x14ac:dyDescent="0.3">
      <c r="A46" s="38">
        <v>36617.35</v>
      </c>
      <c r="B46" s="33">
        <v>14</v>
      </c>
    </row>
    <row r="47" spans="1:2" x14ac:dyDescent="0.3">
      <c r="A47" s="38">
        <v>38480.32</v>
      </c>
      <c r="B47" s="33">
        <v>14</v>
      </c>
    </row>
    <row r="48" spans="1:2" x14ac:dyDescent="0.3">
      <c r="A48" s="35">
        <v>35698.509999999995</v>
      </c>
      <c r="B48" s="15">
        <v>14</v>
      </c>
    </row>
    <row r="49" spans="1:2" x14ac:dyDescent="0.3">
      <c r="A49" s="38">
        <v>41659.1</v>
      </c>
      <c r="B49" s="33">
        <v>14</v>
      </c>
    </row>
    <row r="50" spans="1:2" x14ac:dyDescent="0.3">
      <c r="A50" s="38">
        <v>36593.259999999995</v>
      </c>
      <c r="B50" s="33">
        <v>14</v>
      </c>
    </row>
    <row r="51" spans="1:2" x14ac:dyDescent="0.3">
      <c r="A51" s="38">
        <v>42678.12</v>
      </c>
      <c r="B51" s="33">
        <v>14</v>
      </c>
    </row>
    <row r="52" spans="1:2" x14ac:dyDescent="0.3">
      <c r="A52" s="35">
        <v>34232.79</v>
      </c>
      <c r="B52" s="15">
        <v>14</v>
      </c>
    </row>
    <row r="53" spans="1:2" x14ac:dyDescent="0.3">
      <c r="A53" s="38">
        <v>42669.799999999996</v>
      </c>
      <c r="B53" s="33">
        <v>14</v>
      </c>
    </row>
    <row r="54" spans="1:2" x14ac:dyDescent="0.3">
      <c r="A54" s="35">
        <v>37985.719999999994</v>
      </c>
      <c r="B54" s="15">
        <v>15</v>
      </c>
    </row>
    <row r="55" spans="1:2" x14ac:dyDescent="0.3">
      <c r="A55" s="38">
        <v>43083.060000000005</v>
      </c>
      <c r="B55" s="33">
        <v>15</v>
      </c>
    </row>
    <row r="56" spans="1:2" x14ac:dyDescent="0.3">
      <c r="A56" s="38">
        <v>43292.960000000006</v>
      </c>
      <c r="B56" s="33">
        <v>15</v>
      </c>
    </row>
    <row r="57" spans="1:2" x14ac:dyDescent="0.3">
      <c r="A57" s="38">
        <v>43439.619999999995</v>
      </c>
      <c r="B57" s="33">
        <v>15</v>
      </c>
    </row>
    <row r="58" spans="1:2" x14ac:dyDescent="0.3">
      <c r="A58" s="38">
        <v>39953.67</v>
      </c>
      <c r="B58" s="33">
        <v>15</v>
      </c>
    </row>
    <row r="59" spans="1:2" x14ac:dyDescent="0.3">
      <c r="A59" s="35">
        <v>39892.53</v>
      </c>
      <c r="B59" s="15">
        <v>15</v>
      </c>
    </row>
    <row r="60" spans="1:2" x14ac:dyDescent="0.3">
      <c r="A60" s="35">
        <v>42644.5</v>
      </c>
      <c r="B60" s="15">
        <v>15</v>
      </c>
    </row>
    <row r="61" spans="1:2" x14ac:dyDescent="0.3">
      <c r="A61" s="35">
        <v>43214.97</v>
      </c>
      <c r="B61" s="15">
        <v>15</v>
      </c>
    </row>
    <row r="62" spans="1:2" x14ac:dyDescent="0.3">
      <c r="A62" s="35">
        <v>37187.910000000003</v>
      </c>
      <c r="B62" s="15">
        <v>15</v>
      </c>
    </row>
    <row r="63" spans="1:2" x14ac:dyDescent="0.3">
      <c r="A63" s="35">
        <v>36523.32</v>
      </c>
      <c r="B63" s="15">
        <v>15</v>
      </c>
    </row>
    <row r="64" spans="1:2" x14ac:dyDescent="0.3">
      <c r="A64" s="38">
        <v>35975.200000000004</v>
      </c>
      <c r="B64" s="33">
        <v>15</v>
      </c>
    </row>
    <row r="65" spans="1:2" x14ac:dyDescent="0.3">
      <c r="A65" s="35">
        <v>43257.799999999996</v>
      </c>
      <c r="B65" s="15">
        <v>15</v>
      </c>
    </row>
    <row r="66" spans="1:2" x14ac:dyDescent="0.3">
      <c r="A66" s="38">
        <v>38631.43</v>
      </c>
      <c r="B66" s="33">
        <v>15</v>
      </c>
    </row>
    <row r="67" spans="1:2" x14ac:dyDescent="0.3">
      <c r="A67" s="38">
        <v>35325.990000000005</v>
      </c>
      <c r="B67" s="33">
        <v>15</v>
      </c>
    </row>
    <row r="68" spans="1:2" x14ac:dyDescent="0.3">
      <c r="A68" s="35">
        <v>37284.67</v>
      </c>
      <c r="B68" s="15">
        <v>15</v>
      </c>
    </row>
    <row r="69" spans="1:2" x14ac:dyDescent="0.3">
      <c r="A69" s="35">
        <v>46463.359999999993</v>
      </c>
      <c r="B69" s="15">
        <v>16</v>
      </c>
    </row>
    <row r="70" spans="1:2" x14ac:dyDescent="0.3">
      <c r="A70" s="35">
        <v>42090.080000000002</v>
      </c>
      <c r="B70" s="15">
        <v>16</v>
      </c>
    </row>
    <row r="71" spans="1:2" x14ac:dyDescent="0.3">
      <c r="A71" s="38">
        <v>37893.549999999996</v>
      </c>
      <c r="B71" s="33">
        <v>16</v>
      </c>
    </row>
    <row r="72" spans="1:2" x14ac:dyDescent="0.3">
      <c r="A72" s="38">
        <v>39090.269999999997</v>
      </c>
      <c r="B72" s="33">
        <v>16</v>
      </c>
    </row>
    <row r="73" spans="1:2" x14ac:dyDescent="0.3">
      <c r="A73" s="38">
        <v>39460.300000000003</v>
      </c>
      <c r="B73" s="33">
        <v>16</v>
      </c>
    </row>
    <row r="74" spans="1:2" x14ac:dyDescent="0.3">
      <c r="A74" s="38">
        <v>44898.200000000004</v>
      </c>
      <c r="B74" s="33">
        <v>16</v>
      </c>
    </row>
    <row r="75" spans="1:2" x14ac:dyDescent="0.3">
      <c r="A75" s="38">
        <v>41496.619999999995</v>
      </c>
      <c r="B75" s="33">
        <v>16</v>
      </c>
    </row>
    <row r="76" spans="1:2" x14ac:dyDescent="0.3">
      <c r="A76" s="35">
        <v>41297.219999999994</v>
      </c>
      <c r="B76" s="15">
        <v>17</v>
      </c>
    </row>
    <row r="77" spans="1:2" x14ac:dyDescent="0.3">
      <c r="A77" s="38">
        <v>48463.08</v>
      </c>
      <c r="B77" s="33">
        <v>17</v>
      </c>
    </row>
    <row r="78" spans="1:2" x14ac:dyDescent="0.3">
      <c r="A78" s="35">
        <v>45015.05</v>
      </c>
      <c r="B78" s="15">
        <v>17</v>
      </c>
    </row>
    <row r="79" spans="1:2" x14ac:dyDescent="0.3">
      <c r="A79" s="35">
        <v>41740.92</v>
      </c>
      <c r="B79" s="15">
        <v>17</v>
      </c>
    </row>
    <row r="80" spans="1:2" x14ac:dyDescent="0.3">
      <c r="A80" s="35">
        <v>40413.269999999997</v>
      </c>
      <c r="B80" s="15">
        <v>17</v>
      </c>
    </row>
    <row r="81" spans="1:2" x14ac:dyDescent="0.3">
      <c r="A81" s="35">
        <v>43877.35</v>
      </c>
      <c r="B81" s="15">
        <v>17</v>
      </c>
    </row>
    <row r="82" spans="1:2" x14ac:dyDescent="0.3">
      <c r="A82" s="38">
        <v>47999.630000000005</v>
      </c>
      <c r="B82" s="33">
        <v>17</v>
      </c>
    </row>
    <row r="83" spans="1:2" x14ac:dyDescent="0.3">
      <c r="A83" s="38">
        <v>41500.21</v>
      </c>
      <c r="B83" s="33">
        <v>17</v>
      </c>
    </row>
    <row r="84" spans="1:2" x14ac:dyDescent="0.3">
      <c r="A84" s="35">
        <v>40523.26</v>
      </c>
      <c r="B84" s="15">
        <v>17</v>
      </c>
    </row>
    <row r="85" spans="1:2" x14ac:dyDescent="0.3">
      <c r="A85" s="35">
        <v>43463.43</v>
      </c>
      <c r="B85" s="15">
        <v>17</v>
      </c>
    </row>
    <row r="86" spans="1:2" x14ac:dyDescent="0.3">
      <c r="A86" s="38">
        <v>43369.159999999996</v>
      </c>
      <c r="B86" s="33">
        <v>17</v>
      </c>
    </row>
    <row r="87" spans="1:2" x14ac:dyDescent="0.3">
      <c r="A87" s="35">
        <v>39851.619999999995</v>
      </c>
      <c r="B87" s="15">
        <v>17</v>
      </c>
    </row>
    <row r="88" spans="1:2" x14ac:dyDescent="0.3">
      <c r="A88" s="38">
        <v>48827.1</v>
      </c>
      <c r="B88" s="33">
        <v>18</v>
      </c>
    </row>
    <row r="89" spans="1:2" x14ac:dyDescent="0.3">
      <c r="A89" s="35">
        <v>42028.049999999996</v>
      </c>
      <c r="B89" s="15">
        <v>18</v>
      </c>
    </row>
    <row r="90" spans="1:2" x14ac:dyDescent="0.3">
      <c r="A90" s="35">
        <v>46160.420000000006</v>
      </c>
      <c r="B90" s="15">
        <v>18</v>
      </c>
    </row>
    <row r="91" spans="1:2" x14ac:dyDescent="0.3">
      <c r="A91" s="35">
        <v>42130.8</v>
      </c>
      <c r="B91" s="15">
        <v>18</v>
      </c>
    </row>
    <row r="92" spans="1:2" x14ac:dyDescent="0.3">
      <c r="A92" s="38">
        <v>43163.32</v>
      </c>
      <c r="B92" s="33">
        <v>18</v>
      </c>
    </row>
    <row r="93" spans="1:2" x14ac:dyDescent="0.3">
      <c r="A93" s="38">
        <v>44212.259999999995</v>
      </c>
      <c r="B93" s="33">
        <v>18</v>
      </c>
    </row>
    <row r="94" spans="1:2" x14ac:dyDescent="0.3">
      <c r="A94" s="38">
        <v>49527.96</v>
      </c>
      <c r="B94" s="33">
        <v>18</v>
      </c>
    </row>
    <row r="95" spans="1:2" x14ac:dyDescent="0.3">
      <c r="A95" s="35">
        <v>51328.11</v>
      </c>
      <c r="B95" s="15">
        <v>19</v>
      </c>
    </row>
    <row r="96" spans="1:2" x14ac:dyDescent="0.3">
      <c r="A96" s="35">
        <v>43248.19</v>
      </c>
      <c r="B96" s="15">
        <v>19</v>
      </c>
    </row>
    <row r="97" spans="1:2" x14ac:dyDescent="0.3">
      <c r="A97" s="35">
        <v>47804.39</v>
      </c>
      <c r="B97" s="15">
        <v>19</v>
      </c>
    </row>
    <row r="98" spans="1:2" x14ac:dyDescent="0.3">
      <c r="A98" s="35">
        <v>48033.35</v>
      </c>
      <c r="B98" s="15">
        <v>20</v>
      </c>
    </row>
    <row r="99" spans="1:2" x14ac:dyDescent="0.3">
      <c r="A99" s="38">
        <v>49630.16</v>
      </c>
      <c r="B99" s="33">
        <v>20</v>
      </c>
    </row>
    <row r="100" spans="1:2" x14ac:dyDescent="0.3">
      <c r="A100" s="35">
        <v>45970.75</v>
      </c>
      <c r="B100" s="15">
        <v>20</v>
      </c>
    </row>
    <row r="101" spans="1:2" x14ac:dyDescent="0.3">
      <c r="A101" s="35">
        <v>48634.420000000006</v>
      </c>
      <c r="B101" s="15">
        <v>21</v>
      </c>
    </row>
    <row r="102" spans="1:2" x14ac:dyDescent="0.3">
      <c r="A102" s="35">
        <v>52010.23</v>
      </c>
      <c r="B102" s="15">
        <v>21</v>
      </c>
    </row>
    <row r="103" spans="1:2" x14ac:dyDescent="0.3">
      <c r="A103" s="35">
        <v>49868.479999999996</v>
      </c>
      <c r="B103" s="15">
        <v>21</v>
      </c>
    </row>
    <row r="104" spans="1:2" x14ac:dyDescent="0.3">
      <c r="A104" s="38">
        <v>51704.83</v>
      </c>
      <c r="B104" s="33">
        <v>21</v>
      </c>
    </row>
    <row r="105" spans="1:2" x14ac:dyDescent="0.3">
      <c r="A105" s="38">
        <v>55239.24</v>
      </c>
      <c r="B105" s="33">
        <v>22</v>
      </c>
    </row>
    <row r="106" spans="1:2" x14ac:dyDescent="0.3">
      <c r="A106" s="35">
        <v>54491.189999999995</v>
      </c>
      <c r="B106" s="15">
        <v>23</v>
      </c>
    </row>
    <row r="107" spans="1:2" x14ac:dyDescent="0.3">
      <c r="A107" s="38">
        <v>63148.46</v>
      </c>
      <c r="B107" s="33">
        <v>28</v>
      </c>
    </row>
    <row r="108" spans="1:2" x14ac:dyDescent="0.3">
      <c r="A108" s="38">
        <v>60080.15</v>
      </c>
      <c r="B108" s="33">
        <v>28</v>
      </c>
    </row>
    <row r="109" spans="1:2" x14ac:dyDescent="0.3">
      <c r="A109" s="36">
        <v>72330.039999999994</v>
      </c>
      <c r="B109" s="40">
        <v>34</v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E2333"/>
  <sheetViews>
    <sheetView showGridLines="0" topLeftCell="A350" workbookViewId="0">
      <selection activeCell="A4" sqref="A4"/>
    </sheetView>
  </sheetViews>
  <sheetFormatPr baseColWidth="10" defaultColWidth="11.3984375" defaultRowHeight="13" x14ac:dyDescent="0.3"/>
  <cols>
    <col min="1" max="1" width="27" style="5" customWidth="1"/>
    <col min="2" max="16384" width="11.3984375" style="5"/>
  </cols>
  <sheetData>
    <row r="1" spans="1:5" ht="69" customHeight="1" x14ac:dyDescent="0.3">
      <c r="A1" s="39" t="s">
        <v>153</v>
      </c>
      <c r="B1" s="29"/>
    </row>
    <row r="3" spans="1:5" ht="33.5" thickBot="1" x14ac:dyDescent="0.35">
      <c r="A3" s="20" t="s">
        <v>154</v>
      </c>
      <c r="E3" s="30"/>
    </row>
    <row r="4" spans="1:5" ht="15" thickTop="1" x14ac:dyDescent="0.3">
      <c r="A4" s="26">
        <v>1</v>
      </c>
      <c r="D4" s="28"/>
      <c r="E4" s="30"/>
    </row>
    <row r="5" spans="1:5" x14ac:dyDescent="0.3">
      <c r="A5" s="27">
        <v>1</v>
      </c>
    </row>
    <row r="6" spans="1:5" x14ac:dyDescent="0.3">
      <c r="A6" s="26">
        <v>1</v>
      </c>
    </row>
    <row r="7" spans="1:5" x14ac:dyDescent="0.3">
      <c r="A7" s="27">
        <v>1</v>
      </c>
    </row>
    <row r="8" spans="1:5" x14ac:dyDescent="0.3">
      <c r="A8" s="26">
        <v>1</v>
      </c>
    </row>
    <row r="9" spans="1:5" x14ac:dyDescent="0.3">
      <c r="A9" s="27">
        <v>1</v>
      </c>
    </row>
    <row r="10" spans="1:5" x14ac:dyDescent="0.3">
      <c r="A10" s="26">
        <v>1</v>
      </c>
    </row>
    <row r="11" spans="1:5" x14ac:dyDescent="0.3">
      <c r="A11" s="27">
        <v>1</v>
      </c>
    </row>
    <row r="12" spans="1:5" x14ac:dyDescent="0.3">
      <c r="A12" s="26">
        <v>1</v>
      </c>
    </row>
    <row r="13" spans="1:5" x14ac:dyDescent="0.3">
      <c r="A13" s="27">
        <v>1</v>
      </c>
    </row>
    <row r="14" spans="1:5" x14ac:dyDescent="0.3">
      <c r="A14" s="26">
        <v>1</v>
      </c>
    </row>
    <row r="15" spans="1:5" x14ac:dyDescent="0.3">
      <c r="A15" s="27">
        <v>1</v>
      </c>
    </row>
    <row r="16" spans="1:5" x14ac:dyDescent="0.3">
      <c r="A16" s="26">
        <v>1</v>
      </c>
    </row>
    <row r="17" spans="1:1" x14ac:dyDescent="0.3">
      <c r="A17" s="27">
        <v>1</v>
      </c>
    </row>
    <row r="18" spans="1:1" x14ac:dyDescent="0.3">
      <c r="A18" s="26">
        <v>1</v>
      </c>
    </row>
    <row r="19" spans="1:1" x14ac:dyDescent="0.3">
      <c r="A19" s="27">
        <v>1</v>
      </c>
    </row>
    <row r="20" spans="1:1" x14ac:dyDescent="0.3">
      <c r="A20" s="26">
        <v>1</v>
      </c>
    </row>
    <row r="21" spans="1:1" x14ac:dyDescent="0.3">
      <c r="A21" s="27">
        <v>1</v>
      </c>
    </row>
    <row r="22" spans="1:1" x14ac:dyDescent="0.3">
      <c r="A22" s="26">
        <v>1</v>
      </c>
    </row>
    <row r="23" spans="1:1" x14ac:dyDescent="0.3">
      <c r="A23" s="27">
        <v>1</v>
      </c>
    </row>
    <row r="24" spans="1:1" x14ac:dyDescent="0.3">
      <c r="A24" s="26">
        <v>1</v>
      </c>
    </row>
    <row r="25" spans="1:1" x14ac:dyDescent="0.3">
      <c r="A25" s="27">
        <v>1</v>
      </c>
    </row>
    <row r="26" spans="1:1" x14ac:dyDescent="0.3">
      <c r="A26" s="26">
        <v>1</v>
      </c>
    </row>
    <row r="27" spans="1:1" x14ac:dyDescent="0.3">
      <c r="A27" s="27">
        <v>1</v>
      </c>
    </row>
    <row r="28" spans="1:1" x14ac:dyDescent="0.3">
      <c r="A28" s="26">
        <v>1</v>
      </c>
    </row>
    <row r="29" spans="1:1" x14ac:dyDescent="0.3">
      <c r="A29" s="27">
        <v>1</v>
      </c>
    </row>
    <row r="30" spans="1:1" x14ac:dyDescent="0.3">
      <c r="A30" s="26">
        <v>1</v>
      </c>
    </row>
    <row r="31" spans="1:1" x14ac:dyDescent="0.3">
      <c r="A31" s="27">
        <v>1</v>
      </c>
    </row>
    <row r="32" spans="1:1" x14ac:dyDescent="0.3">
      <c r="A32" s="26">
        <v>1</v>
      </c>
    </row>
    <row r="33" spans="1:1" x14ac:dyDescent="0.3">
      <c r="A33" s="27">
        <v>1</v>
      </c>
    </row>
    <row r="34" spans="1:1" x14ac:dyDescent="0.3">
      <c r="A34" s="26">
        <v>1</v>
      </c>
    </row>
    <row r="35" spans="1:1" x14ac:dyDescent="0.3">
      <c r="A35" s="27">
        <v>1</v>
      </c>
    </row>
    <row r="36" spans="1:1" x14ac:dyDescent="0.3">
      <c r="A36" s="26">
        <v>1</v>
      </c>
    </row>
    <row r="37" spans="1:1" x14ac:dyDescent="0.3">
      <c r="A37" s="27">
        <v>1</v>
      </c>
    </row>
    <row r="38" spans="1:1" x14ac:dyDescent="0.3">
      <c r="A38" s="26">
        <v>1</v>
      </c>
    </row>
    <row r="39" spans="1:1" x14ac:dyDescent="0.3">
      <c r="A39" s="27">
        <v>1</v>
      </c>
    </row>
    <row r="40" spans="1:1" x14ac:dyDescent="0.3">
      <c r="A40" s="26">
        <v>1</v>
      </c>
    </row>
    <row r="41" spans="1:1" x14ac:dyDescent="0.3">
      <c r="A41" s="27">
        <v>1</v>
      </c>
    </row>
    <row r="42" spans="1:1" x14ac:dyDescent="0.3">
      <c r="A42" s="26">
        <v>1</v>
      </c>
    </row>
    <row r="43" spans="1:1" x14ac:dyDescent="0.3">
      <c r="A43" s="27">
        <v>1</v>
      </c>
    </row>
    <row r="44" spans="1:1" x14ac:dyDescent="0.3">
      <c r="A44" s="26">
        <v>1</v>
      </c>
    </row>
    <row r="45" spans="1:1" x14ac:dyDescent="0.3">
      <c r="A45" s="27">
        <v>1</v>
      </c>
    </row>
    <row r="46" spans="1:1" x14ac:dyDescent="0.3">
      <c r="A46" s="26">
        <v>1</v>
      </c>
    </row>
    <row r="47" spans="1:1" x14ac:dyDescent="0.3">
      <c r="A47" s="27">
        <v>1</v>
      </c>
    </row>
    <row r="48" spans="1:1" x14ac:dyDescent="0.3">
      <c r="A48" s="26">
        <v>1</v>
      </c>
    </row>
    <row r="49" spans="1:1" x14ac:dyDescent="0.3">
      <c r="A49" s="27">
        <v>1</v>
      </c>
    </row>
    <row r="50" spans="1:1" x14ac:dyDescent="0.3">
      <c r="A50" s="26">
        <v>1</v>
      </c>
    </row>
    <row r="51" spans="1:1" x14ac:dyDescent="0.3">
      <c r="A51" s="27">
        <v>1</v>
      </c>
    </row>
    <row r="52" spans="1:1" x14ac:dyDescent="0.3">
      <c r="A52" s="26">
        <v>1</v>
      </c>
    </row>
    <row r="53" spans="1:1" x14ac:dyDescent="0.3">
      <c r="A53" s="27">
        <v>1</v>
      </c>
    </row>
    <row r="54" spans="1:1" x14ac:dyDescent="0.3">
      <c r="A54" s="26">
        <v>1</v>
      </c>
    </row>
    <row r="55" spans="1:1" x14ac:dyDescent="0.3">
      <c r="A55" s="27">
        <v>1</v>
      </c>
    </row>
    <row r="56" spans="1:1" x14ac:dyDescent="0.3">
      <c r="A56" s="26">
        <v>1</v>
      </c>
    </row>
    <row r="57" spans="1:1" x14ac:dyDescent="0.3">
      <c r="A57" s="27">
        <v>1</v>
      </c>
    </row>
    <row r="58" spans="1:1" x14ac:dyDescent="0.3">
      <c r="A58" s="26">
        <v>1</v>
      </c>
    </row>
    <row r="59" spans="1:1" x14ac:dyDescent="0.3">
      <c r="A59" s="27">
        <v>1</v>
      </c>
    </row>
    <row r="60" spans="1:1" x14ac:dyDescent="0.3">
      <c r="A60" s="26">
        <v>1</v>
      </c>
    </row>
    <row r="61" spans="1:1" x14ac:dyDescent="0.3">
      <c r="A61" s="27">
        <v>1</v>
      </c>
    </row>
    <row r="62" spans="1:1" x14ac:dyDescent="0.3">
      <c r="A62" s="26">
        <v>1</v>
      </c>
    </row>
    <row r="63" spans="1:1" x14ac:dyDescent="0.3">
      <c r="A63" s="27">
        <v>1</v>
      </c>
    </row>
    <row r="64" spans="1:1" x14ac:dyDescent="0.3">
      <c r="A64" s="26">
        <v>1</v>
      </c>
    </row>
    <row r="65" spans="1:1" x14ac:dyDescent="0.3">
      <c r="A65" s="27">
        <v>1</v>
      </c>
    </row>
    <row r="66" spans="1:1" x14ac:dyDescent="0.3">
      <c r="A66" s="26">
        <v>1</v>
      </c>
    </row>
    <row r="67" spans="1:1" x14ac:dyDescent="0.3">
      <c r="A67" s="27">
        <v>1</v>
      </c>
    </row>
    <row r="68" spans="1:1" x14ac:dyDescent="0.3">
      <c r="A68" s="26">
        <v>1</v>
      </c>
    </row>
    <row r="69" spans="1:1" x14ac:dyDescent="0.3">
      <c r="A69" s="27">
        <v>1</v>
      </c>
    </row>
    <row r="70" spans="1:1" x14ac:dyDescent="0.3">
      <c r="A70" s="26">
        <v>1</v>
      </c>
    </row>
    <row r="71" spans="1:1" x14ac:dyDescent="0.3">
      <c r="A71" s="27">
        <v>1</v>
      </c>
    </row>
    <row r="72" spans="1:1" x14ac:dyDescent="0.3">
      <c r="A72" s="26">
        <v>1</v>
      </c>
    </row>
    <row r="73" spans="1:1" x14ac:dyDescent="0.3">
      <c r="A73" s="27">
        <v>1</v>
      </c>
    </row>
    <row r="74" spans="1:1" x14ac:dyDescent="0.3">
      <c r="A74" s="26">
        <v>1</v>
      </c>
    </row>
    <row r="75" spans="1:1" x14ac:dyDescent="0.3">
      <c r="A75" s="27">
        <v>1</v>
      </c>
    </row>
    <row r="76" spans="1:1" x14ac:dyDescent="0.3">
      <c r="A76" s="26">
        <v>1</v>
      </c>
    </row>
    <row r="77" spans="1:1" x14ac:dyDescent="0.3">
      <c r="A77" s="27">
        <v>1</v>
      </c>
    </row>
    <row r="78" spans="1:1" x14ac:dyDescent="0.3">
      <c r="A78" s="26">
        <v>1</v>
      </c>
    </row>
    <row r="79" spans="1:1" x14ac:dyDescent="0.3">
      <c r="A79" s="27">
        <v>1</v>
      </c>
    </row>
    <row r="80" spans="1:1" x14ac:dyDescent="0.3">
      <c r="A80" s="26">
        <v>1</v>
      </c>
    </row>
    <row r="81" spans="1:1" x14ac:dyDescent="0.3">
      <c r="A81" s="27">
        <v>1</v>
      </c>
    </row>
    <row r="82" spans="1:1" x14ac:dyDescent="0.3">
      <c r="A82" s="26">
        <v>1</v>
      </c>
    </row>
    <row r="83" spans="1:1" x14ac:dyDescent="0.3">
      <c r="A83" s="27">
        <v>1</v>
      </c>
    </row>
    <row r="84" spans="1:1" x14ac:dyDescent="0.3">
      <c r="A84" s="26">
        <v>1</v>
      </c>
    </row>
    <row r="85" spans="1:1" x14ac:dyDescent="0.3">
      <c r="A85" s="27">
        <v>1</v>
      </c>
    </row>
    <row r="86" spans="1:1" x14ac:dyDescent="0.3">
      <c r="A86" s="26">
        <v>1</v>
      </c>
    </row>
    <row r="87" spans="1:1" x14ac:dyDescent="0.3">
      <c r="A87" s="27">
        <v>1</v>
      </c>
    </row>
    <row r="88" spans="1:1" x14ac:dyDescent="0.3">
      <c r="A88" s="26">
        <v>1</v>
      </c>
    </row>
    <row r="89" spans="1:1" x14ac:dyDescent="0.3">
      <c r="A89" s="27">
        <v>1</v>
      </c>
    </row>
    <row r="90" spans="1:1" x14ac:dyDescent="0.3">
      <c r="A90" s="26">
        <v>1</v>
      </c>
    </row>
    <row r="91" spans="1:1" x14ac:dyDescent="0.3">
      <c r="A91" s="27">
        <v>1</v>
      </c>
    </row>
    <row r="92" spans="1:1" x14ac:dyDescent="0.3">
      <c r="A92" s="26">
        <v>1</v>
      </c>
    </row>
    <row r="93" spans="1:1" x14ac:dyDescent="0.3">
      <c r="A93" s="27">
        <v>1</v>
      </c>
    </row>
    <row r="94" spans="1:1" x14ac:dyDescent="0.3">
      <c r="A94" s="26">
        <v>1</v>
      </c>
    </row>
    <row r="95" spans="1:1" x14ac:dyDescent="0.3">
      <c r="A95" s="27">
        <v>1</v>
      </c>
    </row>
    <row r="96" spans="1:1" x14ac:dyDescent="0.3">
      <c r="A96" s="26">
        <v>1</v>
      </c>
    </row>
    <row r="97" spans="1:1" x14ac:dyDescent="0.3">
      <c r="A97" s="27">
        <v>1</v>
      </c>
    </row>
    <row r="98" spans="1:1" x14ac:dyDescent="0.3">
      <c r="A98" s="26">
        <v>1</v>
      </c>
    </row>
    <row r="99" spans="1:1" x14ac:dyDescent="0.3">
      <c r="A99" s="27">
        <v>1</v>
      </c>
    </row>
    <row r="100" spans="1:1" x14ac:dyDescent="0.3">
      <c r="A100" s="26">
        <v>1</v>
      </c>
    </row>
    <row r="101" spans="1:1" x14ac:dyDescent="0.3">
      <c r="A101" s="27">
        <v>1</v>
      </c>
    </row>
    <row r="102" spans="1:1" x14ac:dyDescent="0.3">
      <c r="A102" s="26">
        <v>1</v>
      </c>
    </row>
    <row r="103" spans="1:1" x14ac:dyDescent="0.3">
      <c r="A103" s="27">
        <v>1</v>
      </c>
    </row>
    <row r="104" spans="1:1" x14ac:dyDescent="0.3">
      <c r="A104" s="26">
        <v>1</v>
      </c>
    </row>
    <row r="105" spans="1:1" x14ac:dyDescent="0.3">
      <c r="A105" s="27">
        <v>1</v>
      </c>
    </row>
    <row r="106" spans="1:1" x14ac:dyDescent="0.3">
      <c r="A106" s="26">
        <v>1</v>
      </c>
    </row>
    <row r="107" spans="1:1" x14ac:dyDescent="0.3">
      <c r="A107" s="27">
        <v>1</v>
      </c>
    </row>
    <row r="108" spans="1:1" x14ac:dyDescent="0.3">
      <c r="A108" s="26">
        <v>1</v>
      </c>
    </row>
    <row r="109" spans="1:1" x14ac:dyDescent="0.3">
      <c r="A109" s="27">
        <v>1</v>
      </c>
    </row>
    <row r="110" spans="1:1" x14ac:dyDescent="0.3">
      <c r="A110" s="26">
        <v>1</v>
      </c>
    </row>
    <row r="111" spans="1:1" x14ac:dyDescent="0.3">
      <c r="A111" s="27">
        <v>1</v>
      </c>
    </row>
    <row r="112" spans="1:1" x14ac:dyDescent="0.3">
      <c r="A112" s="26">
        <v>1</v>
      </c>
    </row>
    <row r="113" spans="1:1" x14ac:dyDescent="0.3">
      <c r="A113" s="27">
        <v>1</v>
      </c>
    </row>
    <row r="114" spans="1:1" x14ac:dyDescent="0.3">
      <c r="A114" s="26">
        <v>1</v>
      </c>
    </row>
    <row r="115" spans="1:1" x14ac:dyDescent="0.3">
      <c r="A115" s="27">
        <v>1</v>
      </c>
    </row>
    <row r="116" spans="1:1" x14ac:dyDescent="0.3">
      <c r="A116" s="26">
        <v>1</v>
      </c>
    </row>
    <row r="117" spans="1:1" x14ac:dyDescent="0.3">
      <c r="A117" s="27">
        <v>1</v>
      </c>
    </row>
    <row r="118" spans="1:1" x14ac:dyDescent="0.3">
      <c r="A118" s="26">
        <v>1</v>
      </c>
    </row>
    <row r="119" spans="1:1" x14ac:dyDescent="0.3">
      <c r="A119" s="27">
        <v>1</v>
      </c>
    </row>
    <row r="120" spans="1:1" x14ac:dyDescent="0.3">
      <c r="A120" s="26">
        <v>1</v>
      </c>
    </row>
    <row r="121" spans="1:1" x14ac:dyDescent="0.3">
      <c r="A121" s="27">
        <v>1</v>
      </c>
    </row>
    <row r="122" spans="1:1" x14ac:dyDescent="0.3">
      <c r="A122" s="26">
        <v>1</v>
      </c>
    </row>
    <row r="123" spans="1:1" x14ac:dyDescent="0.3">
      <c r="A123" s="27">
        <v>1</v>
      </c>
    </row>
    <row r="124" spans="1:1" x14ac:dyDescent="0.3">
      <c r="A124" s="26">
        <v>1</v>
      </c>
    </row>
    <row r="125" spans="1:1" x14ac:dyDescent="0.3">
      <c r="A125" s="27">
        <v>2</v>
      </c>
    </row>
    <row r="126" spans="1:1" x14ac:dyDescent="0.3">
      <c r="A126" s="26">
        <v>1</v>
      </c>
    </row>
    <row r="127" spans="1:1" x14ac:dyDescent="0.3">
      <c r="A127" s="27">
        <v>1</v>
      </c>
    </row>
    <row r="128" spans="1:1" x14ac:dyDescent="0.3">
      <c r="A128" s="26">
        <v>1</v>
      </c>
    </row>
    <row r="129" spans="1:1" x14ac:dyDescent="0.3">
      <c r="A129" s="27">
        <v>1</v>
      </c>
    </row>
    <row r="130" spans="1:1" x14ac:dyDescent="0.3">
      <c r="A130" s="26">
        <v>1</v>
      </c>
    </row>
    <row r="131" spans="1:1" x14ac:dyDescent="0.3">
      <c r="A131" s="27">
        <v>1</v>
      </c>
    </row>
    <row r="132" spans="1:1" x14ac:dyDescent="0.3">
      <c r="A132" s="26">
        <v>1</v>
      </c>
    </row>
    <row r="133" spans="1:1" x14ac:dyDescent="0.3">
      <c r="A133" s="27">
        <v>1</v>
      </c>
    </row>
    <row r="134" spans="1:1" x14ac:dyDescent="0.3">
      <c r="A134" s="26">
        <v>1</v>
      </c>
    </row>
    <row r="135" spans="1:1" x14ac:dyDescent="0.3">
      <c r="A135" s="27">
        <v>1</v>
      </c>
    </row>
    <row r="136" spans="1:1" x14ac:dyDescent="0.3">
      <c r="A136" s="26">
        <v>1</v>
      </c>
    </row>
    <row r="137" spans="1:1" x14ac:dyDescent="0.3">
      <c r="A137" s="27">
        <v>1</v>
      </c>
    </row>
    <row r="138" spans="1:1" x14ac:dyDescent="0.3">
      <c r="A138" s="26">
        <v>1</v>
      </c>
    </row>
    <row r="139" spans="1:1" x14ac:dyDescent="0.3">
      <c r="A139" s="27">
        <v>1</v>
      </c>
    </row>
    <row r="140" spans="1:1" x14ac:dyDescent="0.3">
      <c r="A140" s="26">
        <v>1</v>
      </c>
    </row>
    <row r="141" spans="1:1" x14ac:dyDescent="0.3">
      <c r="A141" s="27">
        <v>1</v>
      </c>
    </row>
    <row r="142" spans="1:1" x14ac:dyDescent="0.3">
      <c r="A142" s="26">
        <v>1</v>
      </c>
    </row>
    <row r="143" spans="1:1" x14ac:dyDescent="0.3">
      <c r="A143" s="27">
        <v>1</v>
      </c>
    </row>
    <row r="144" spans="1:1" x14ac:dyDescent="0.3">
      <c r="A144" s="26">
        <v>1</v>
      </c>
    </row>
    <row r="145" spans="1:1" x14ac:dyDescent="0.3">
      <c r="A145" s="27">
        <v>1</v>
      </c>
    </row>
    <row r="146" spans="1:1" x14ac:dyDescent="0.3">
      <c r="A146" s="26">
        <v>1</v>
      </c>
    </row>
    <row r="147" spans="1:1" x14ac:dyDescent="0.3">
      <c r="A147" s="27">
        <v>1</v>
      </c>
    </row>
    <row r="148" spans="1:1" x14ac:dyDescent="0.3">
      <c r="A148" s="26">
        <v>1</v>
      </c>
    </row>
    <row r="149" spans="1:1" x14ac:dyDescent="0.3">
      <c r="A149" s="27">
        <v>1</v>
      </c>
    </row>
    <row r="150" spans="1:1" x14ac:dyDescent="0.3">
      <c r="A150" s="26">
        <v>1</v>
      </c>
    </row>
    <row r="151" spans="1:1" x14ac:dyDescent="0.3">
      <c r="A151" s="27">
        <v>1</v>
      </c>
    </row>
    <row r="152" spans="1:1" x14ac:dyDescent="0.3">
      <c r="A152" s="26">
        <v>1</v>
      </c>
    </row>
    <row r="153" spans="1:1" x14ac:dyDescent="0.3">
      <c r="A153" s="27">
        <v>1</v>
      </c>
    </row>
    <row r="154" spans="1:1" x14ac:dyDescent="0.3">
      <c r="A154" s="26">
        <v>1</v>
      </c>
    </row>
    <row r="155" spans="1:1" x14ac:dyDescent="0.3">
      <c r="A155" s="27">
        <v>1</v>
      </c>
    </row>
    <row r="156" spans="1:1" x14ac:dyDescent="0.3">
      <c r="A156" s="26">
        <v>1</v>
      </c>
    </row>
    <row r="157" spans="1:1" x14ac:dyDescent="0.3">
      <c r="A157" s="27">
        <v>1</v>
      </c>
    </row>
    <row r="158" spans="1:1" x14ac:dyDescent="0.3">
      <c r="A158" s="26">
        <v>1</v>
      </c>
    </row>
    <row r="159" spans="1:1" x14ac:dyDescent="0.3">
      <c r="A159" s="27">
        <v>1</v>
      </c>
    </row>
    <row r="160" spans="1:1" x14ac:dyDescent="0.3">
      <c r="A160" s="26">
        <v>1</v>
      </c>
    </row>
    <row r="161" spans="1:1" x14ac:dyDescent="0.3">
      <c r="A161" s="27">
        <v>1</v>
      </c>
    </row>
    <row r="162" spans="1:1" x14ac:dyDescent="0.3">
      <c r="A162" s="26">
        <v>1</v>
      </c>
    </row>
    <row r="163" spans="1:1" x14ac:dyDescent="0.3">
      <c r="A163" s="27">
        <v>1</v>
      </c>
    </row>
    <row r="164" spans="1:1" x14ac:dyDescent="0.3">
      <c r="A164" s="26">
        <v>1</v>
      </c>
    </row>
    <row r="165" spans="1:1" x14ac:dyDescent="0.3">
      <c r="A165" s="27">
        <v>1</v>
      </c>
    </row>
    <row r="166" spans="1:1" x14ac:dyDescent="0.3">
      <c r="A166" s="26">
        <v>1</v>
      </c>
    </row>
    <row r="167" spans="1:1" x14ac:dyDescent="0.3">
      <c r="A167" s="27">
        <v>1</v>
      </c>
    </row>
    <row r="168" spans="1:1" x14ac:dyDescent="0.3">
      <c r="A168" s="26">
        <v>1</v>
      </c>
    </row>
    <row r="169" spans="1:1" x14ac:dyDescent="0.3">
      <c r="A169" s="27">
        <v>1</v>
      </c>
    </row>
    <row r="170" spans="1:1" x14ac:dyDescent="0.3">
      <c r="A170" s="26">
        <v>1</v>
      </c>
    </row>
    <row r="171" spans="1:1" x14ac:dyDescent="0.3">
      <c r="A171" s="27">
        <v>1</v>
      </c>
    </row>
    <row r="172" spans="1:1" x14ac:dyDescent="0.3">
      <c r="A172" s="26">
        <v>1</v>
      </c>
    </row>
    <row r="173" spans="1:1" x14ac:dyDescent="0.3">
      <c r="A173" s="27">
        <v>1</v>
      </c>
    </row>
    <row r="174" spans="1:1" x14ac:dyDescent="0.3">
      <c r="A174" s="26">
        <v>1</v>
      </c>
    </row>
    <row r="175" spans="1:1" x14ac:dyDescent="0.3">
      <c r="A175" s="27">
        <v>1</v>
      </c>
    </row>
    <row r="176" spans="1:1" x14ac:dyDescent="0.3">
      <c r="A176" s="26">
        <v>1</v>
      </c>
    </row>
    <row r="177" spans="1:1" x14ac:dyDescent="0.3">
      <c r="A177" s="27">
        <v>1</v>
      </c>
    </row>
    <row r="178" spans="1:1" x14ac:dyDescent="0.3">
      <c r="A178" s="26">
        <v>1</v>
      </c>
    </row>
    <row r="179" spans="1:1" x14ac:dyDescent="0.3">
      <c r="A179" s="27">
        <v>1</v>
      </c>
    </row>
    <row r="180" spans="1:1" x14ac:dyDescent="0.3">
      <c r="A180" s="26">
        <v>1</v>
      </c>
    </row>
    <row r="181" spans="1:1" x14ac:dyDescent="0.3">
      <c r="A181" s="27">
        <v>1</v>
      </c>
    </row>
    <row r="182" spans="1:1" x14ac:dyDescent="0.3">
      <c r="A182" s="26">
        <v>1</v>
      </c>
    </row>
    <row r="183" spans="1:1" x14ac:dyDescent="0.3">
      <c r="A183" s="27">
        <v>1</v>
      </c>
    </row>
    <row r="184" spans="1:1" x14ac:dyDescent="0.3">
      <c r="A184" s="26">
        <v>1</v>
      </c>
    </row>
    <row r="185" spans="1:1" x14ac:dyDescent="0.3">
      <c r="A185" s="27">
        <v>1</v>
      </c>
    </row>
    <row r="186" spans="1:1" x14ac:dyDescent="0.3">
      <c r="A186" s="26">
        <v>1</v>
      </c>
    </row>
    <row r="187" spans="1:1" x14ac:dyDescent="0.3">
      <c r="A187" s="27">
        <v>1</v>
      </c>
    </row>
    <row r="188" spans="1:1" x14ac:dyDescent="0.3">
      <c r="A188" s="26">
        <v>1</v>
      </c>
    </row>
    <row r="189" spans="1:1" x14ac:dyDescent="0.3">
      <c r="A189" s="27">
        <v>1</v>
      </c>
    </row>
    <row r="190" spans="1:1" x14ac:dyDescent="0.3">
      <c r="A190" s="26">
        <v>1</v>
      </c>
    </row>
    <row r="191" spans="1:1" x14ac:dyDescent="0.3">
      <c r="A191" s="27">
        <v>1</v>
      </c>
    </row>
    <row r="192" spans="1:1" x14ac:dyDescent="0.3">
      <c r="A192" s="26">
        <v>1</v>
      </c>
    </row>
    <row r="193" spans="1:1" x14ac:dyDescent="0.3">
      <c r="A193" s="27">
        <v>1</v>
      </c>
    </row>
    <row r="194" spans="1:1" x14ac:dyDescent="0.3">
      <c r="A194" s="26">
        <v>1</v>
      </c>
    </row>
    <row r="195" spans="1:1" x14ac:dyDescent="0.3">
      <c r="A195" s="27">
        <v>1</v>
      </c>
    </row>
    <row r="196" spans="1:1" x14ac:dyDescent="0.3">
      <c r="A196" s="26">
        <v>1</v>
      </c>
    </row>
    <row r="197" spans="1:1" x14ac:dyDescent="0.3">
      <c r="A197" s="27">
        <v>1</v>
      </c>
    </row>
    <row r="198" spans="1:1" x14ac:dyDescent="0.3">
      <c r="A198" s="26">
        <v>1</v>
      </c>
    </row>
    <row r="199" spans="1:1" x14ac:dyDescent="0.3">
      <c r="A199" s="27">
        <v>1</v>
      </c>
    </row>
    <row r="200" spans="1:1" x14ac:dyDescent="0.3">
      <c r="A200" s="26">
        <v>1</v>
      </c>
    </row>
    <row r="201" spans="1:1" x14ac:dyDescent="0.3">
      <c r="A201" s="27">
        <v>1</v>
      </c>
    </row>
    <row r="202" spans="1:1" x14ac:dyDescent="0.3">
      <c r="A202" s="26">
        <v>1</v>
      </c>
    </row>
    <row r="203" spans="1:1" x14ac:dyDescent="0.3">
      <c r="A203" s="27">
        <v>1</v>
      </c>
    </row>
    <row r="204" spans="1:1" x14ac:dyDescent="0.3">
      <c r="A204" s="26">
        <v>1</v>
      </c>
    </row>
    <row r="205" spans="1:1" x14ac:dyDescent="0.3">
      <c r="A205" s="27">
        <v>1</v>
      </c>
    </row>
    <row r="206" spans="1:1" x14ac:dyDescent="0.3">
      <c r="A206" s="26">
        <v>1</v>
      </c>
    </row>
    <row r="207" spans="1:1" x14ac:dyDescent="0.3">
      <c r="A207" s="27">
        <v>1</v>
      </c>
    </row>
    <row r="208" spans="1:1" x14ac:dyDescent="0.3">
      <c r="A208" s="26">
        <v>1</v>
      </c>
    </row>
    <row r="209" spans="1:1" x14ac:dyDescent="0.3">
      <c r="A209" s="27">
        <v>1</v>
      </c>
    </row>
    <row r="210" spans="1:1" x14ac:dyDescent="0.3">
      <c r="A210" s="26">
        <v>1</v>
      </c>
    </row>
    <row r="211" spans="1:1" x14ac:dyDescent="0.3">
      <c r="A211" s="27">
        <v>1</v>
      </c>
    </row>
    <row r="212" spans="1:1" x14ac:dyDescent="0.3">
      <c r="A212" s="26">
        <v>1</v>
      </c>
    </row>
    <row r="213" spans="1:1" x14ac:dyDescent="0.3">
      <c r="A213" s="27">
        <v>1</v>
      </c>
    </row>
    <row r="214" spans="1:1" x14ac:dyDescent="0.3">
      <c r="A214" s="26">
        <v>1</v>
      </c>
    </row>
    <row r="215" spans="1:1" x14ac:dyDescent="0.3">
      <c r="A215" s="27">
        <v>1</v>
      </c>
    </row>
    <row r="216" spans="1:1" x14ac:dyDescent="0.3">
      <c r="A216" s="26">
        <v>1</v>
      </c>
    </row>
    <row r="217" spans="1:1" x14ac:dyDescent="0.3">
      <c r="A217" s="27">
        <v>1</v>
      </c>
    </row>
    <row r="218" spans="1:1" x14ac:dyDescent="0.3">
      <c r="A218" s="26">
        <v>1</v>
      </c>
    </row>
    <row r="219" spans="1:1" x14ac:dyDescent="0.3">
      <c r="A219" s="27">
        <v>1</v>
      </c>
    </row>
    <row r="220" spans="1:1" x14ac:dyDescent="0.3">
      <c r="A220" s="26">
        <v>1</v>
      </c>
    </row>
    <row r="221" spans="1:1" x14ac:dyDescent="0.3">
      <c r="A221" s="27">
        <v>1</v>
      </c>
    </row>
    <row r="222" spans="1:1" x14ac:dyDescent="0.3">
      <c r="A222" s="26">
        <v>1</v>
      </c>
    </row>
    <row r="223" spans="1:1" x14ac:dyDescent="0.3">
      <c r="A223" s="27">
        <v>1</v>
      </c>
    </row>
    <row r="224" spans="1:1" x14ac:dyDescent="0.3">
      <c r="A224" s="26">
        <v>1</v>
      </c>
    </row>
    <row r="225" spans="1:1" x14ac:dyDescent="0.3">
      <c r="A225" s="27">
        <v>1</v>
      </c>
    </row>
    <row r="226" spans="1:1" x14ac:dyDescent="0.3">
      <c r="A226" s="26">
        <v>1</v>
      </c>
    </row>
    <row r="227" spans="1:1" x14ac:dyDescent="0.3">
      <c r="A227" s="27">
        <v>1</v>
      </c>
    </row>
    <row r="228" spans="1:1" x14ac:dyDescent="0.3">
      <c r="A228" s="26">
        <v>1</v>
      </c>
    </row>
    <row r="229" spans="1:1" x14ac:dyDescent="0.3">
      <c r="A229" s="27">
        <v>1</v>
      </c>
    </row>
    <row r="230" spans="1:1" x14ac:dyDescent="0.3">
      <c r="A230" s="26">
        <v>1</v>
      </c>
    </row>
    <row r="231" spans="1:1" x14ac:dyDescent="0.3">
      <c r="A231" s="27">
        <v>1</v>
      </c>
    </row>
    <row r="232" spans="1:1" x14ac:dyDescent="0.3">
      <c r="A232" s="26">
        <v>1</v>
      </c>
    </row>
    <row r="233" spans="1:1" x14ac:dyDescent="0.3">
      <c r="A233" s="27">
        <v>1</v>
      </c>
    </row>
    <row r="234" spans="1:1" x14ac:dyDescent="0.3">
      <c r="A234" s="26">
        <v>1</v>
      </c>
    </row>
    <row r="235" spans="1:1" x14ac:dyDescent="0.3">
      <c r="A235" s="27">
        <v>1</v>
      </c>
    </row>
    <row r="236" spans="1:1" x14ac:dyDescent="0.3">
      <c r="A236" s="26">
        <v>1</v>
      </c>
    </row>
    <row r="237" spans="1:1" x14ac:dyDescent="0.3">
      <c r="A237" s="27">
        <v>1</v>
      </c>
    </row>
    <row r="238" spans="1:1" x14ac:dyDescent="0.3">
      <c r="A238" s="26">
        <v>1</v>
      </c>
    </row>
    <row r="239" spans="1:1" x14ac:dyDescent="0.3">
      <c r="A239" s="27">
        <v>1</v>
      </c>
    </row>
    <row r="240" spans="1:1" x14ac:dyDescent="0.3">
      <c r="A240" s="26">
        <v>1</v>
      </c>
    </row>
    <row r="241" spans="1:1" x14ac:dyDescent="0.3">
      <c r="A241" s="27">
        <v>1</v>
      </c>
    </row>
    <row r="242" spans="1:1" x14ac:dyDescent="0.3">
      <c r="A242" s="26">
        <v>1</v>
      </c>
    </row>
    <row r="243" spans="1:1" x14ac:dyDescent="0.3">
      <c r="A243" s="27">
        <v>1</v>
      </c>
    </row>
    <row r="244" spans="1:1" x14ac:dyDescent="0.3">
      <c r="A244" s="26">
        <v>1</v>
      </c>
    </row>
    <row r="245" spans="1:1" x14ac:dyDescent="0.3">
      <c r="A245" s="27">
        <v>1</v>
      </c>
    </row>
    <row r="246" spans="1:1" x14ac:dyDescent="0.3">
      <c r="A246" s="26">
        <v>1</v>
      </c>
    </row>
    <row r="247" spans="1:1" x14ac:dyDescent="0.3">
      <c r="A247" s="27">
        <v>1</v>
      </c>
    </row>
    <row r="248" spans="1:1" x14ac:dyDescent="0.3">
      <c r="A248" s="26">
        <v>1</v>
      </c>
    </row>
    <row r="249" spans="1:1" x14ac:dyDescent="0.3">
      <c r="A249" s="27">
        <v>1</v>
      </c>
    </row>
    <row r="250" spans="1:1" x14ac:dyDescent="0.3">
      <c r="A250" s="26">
        <v>1</v>
      </c>
    </row>
    <row r="251" spans="1:1" x14ac:dyDescent="0.3">
      <c r="A251" s="27">
        <v>1</v>
      </c>
    </row>
    <row r="252" spans="1:1" x14ac:dyDescent="0.3">
      <c r="A252" s="26">
        <v>1</v>
      </c>
    </row>
    <row r="253" spans="1:1" x14ac:dyDescent="0.3">
      <c r="A253" s="27">
        <v>1</v>
      </c>
    </row>
    <row r="254" spans="1:1" x14ac:dyDescent="0.3">
      <c r="A254" s="26">
        <v>1</v>
      </c>
    </row>
    <row r="255" spans="1:1" x14ac:dyDescent="0.3">
      <c r="A255" s="27">
        <v>1</v>
      </c>
    </row>
    <row r="256" spans="1:1" x14ac:dyDescent="0.3">
      <c r="A256" s="26">
        <v>1</v>
      </c>
    </row>
    <row r="257" spans="1:1" x14ac:dyDescent="0.3">
      <c r="A257" s="27">
        <v>1</v>
      </c>
    </row>
    <row r="258" spans="1:1" x14ac:dyDescent="0.3">
      <c r="A258" s="26">
        <v>1</v>
      </c>
    </row>
    <row r="259" spans="1:1" x14ac:dyDescent="0.3">
      <c r="A259" s="27">
        <v>1</v>
      </c>
    </row>
    <row r="260" spans="1:1" x14ac:dyDescent="0.3">
      <c r="A260" s="26">
        <v>1</v>
      </c>
    </row>
    <row r="261" spans="1:1" x14ac:dyDescent="0.3">
      <c r="A261" s="27">
        <v>1</v>
      </c>
    </row>
    <row r="262" spans="1:1" x14ac:dyDescent="0.3">
      <c r="A262" s="26">
        <v>1</v>
      </c>
    </row>
    <row r="263" spans="1:1" x14ac:dyDescent="0.3">
      <c r="A263" s="27">
        <v>1</v>
      </c>
    </row>
    <row r="264" spans="1:1" x14ac:dyDescent="0.3">
      <c r="A264" s="26">
        <v>1</v>
      </c>
    </row>
    <row r="265" spans="1:1" x14ac:dyDescent="0.3">
      <c r="A265" s="27">
        <v>1</v>
      </c>
    </row>
    <row r="266" spans="1:1" x14ac:dyDescent="0.3">
      <c r="A266" s="26">
        <v>1</v>
      </c>
    </row>
    <row r="267" spans="1:1" x14ac:dyDescent="0.3">
      <c r="A267" s="27">
        <v>1</v>
      </c>
    </row>
    <row r="268" spans="1:1" x14ac:dyDescent="0.3">
      <c r="A268" s="26">
        <v>1</v>
      </c>
    </row>
    <row r="269" spans="1:1" x14ac:dyDescent="0.3">
      <c r="A269" s="27">
        <v>1</v>
      </c>
    </row>
    <row r="270" spans="1:1" x14ac:dyDescent="0.3">
      <c r="A270" s="26">
        <v>1</v>
      </c>
    </row>
    <row r="271" spans="1:1" x14ac:dyDescent="0.3">
      <c r="A271" s="27">
        <v>1</v>
      </c>
    </row>
    <row r="272" spans="1:1" x14ac:dyDescent="0.3">
      <c r="A272" s="26">
        <v>1</v>
      </c>
    </row>
    <row r="273" spans="1:1" x14ac:dyDescent="0.3">
      <c r="A273" s="27">
        <v>1</v>
      </c>
    </row>
    <row r="274" spans="1:1" x14ac:dyDescent="0.3">
      <c r="A274" s="26">
        <v>1</v>
      </c>
    </row>
    <row r="275" spans="1:1" x14ac:dyDescent="0.3">
      <c r="A275" s="27">
        <v>1</v>
      </c>
    </row>
    <row r="276" spans="1:1" x14ac:dyDescent="0.3">
      <c r="A276" s="26">
        <v>1</v>
      </c>
    </row>
    <row r="277" spans="1:1" x14ac:dyDescent="0.3">
      <c r="A277" s="27">
        <v>1</v>
      </c>
    </row>
    <row r="278" spans="1:1" x14ac:dyDescent="0.3">
      <c r="A278" s="26">
        <v>1</v>
      </c>
    </row>
    <row r="279" spans="1:1" x14ac:dyDescent="0.3">
      <c r="A279" s="27">
        <v>1</v>
      </c>
    </row>
    <row r="280" spans="1:1" x14ac:dyDescent="0.3">
      <c r="A280" s="26">
        <v>1</v>
      </c>
    </row>
    <row r="281" spans="1:1" x14ac:dyDescent="0.3">
      <c r="A281" s="27">
        <v>1</v>
      </c>
    </row>
    <row r="282" spans="1:1" x14ac:dyDescent="0.3">
      <c r="A282" s="26">
        <v>1</v>
      </c>
    </row>
    <row r="283" spans="1:1" x14ac:dyDescent="0.3">
      <c r="A283" s="27">
        <v>1</v>
      </c>
    </row>
    <row r="284" spans="1:1" x14ac:dyDescent="0.3">
      <c r="A284" s="26">
        <v>1</v>
      </c>
    </row>
    <row r="285" spans="1:1" x14ac:dyDescent="0.3">
      <c r="A285" s="27">
        <v>1</v>
      </c>
    </row>
    <row r="286" spans="1:1" x14ac:dyDescent="0.3">
      <c r="A286" s="26">
        <v>1</v>
      </c>
    </row>
    <row r="287" spans="1:1" x14ac:dyDescent="0.3">
      <c r="A287" s="27">
        <v>1</v>
      </c>
    </row>
    <row r="288" spans="1:1" x14ac:dyDescent="0.3">
      <c r="A288" s="26">
        <v>1</v>
      </c>
    </row>
    <row r="289" spans="1:1" x14ac:dyDescent="0.3">
      <c r="A289" s="27">
        <v>1</v>
      </c>
    </row>
    <row r="290" spans="1:1" x14ac:dyDescent="0.3">
      <c r="A290" s="26">
        <v>1</v>
      </c>
    </row>
    <row r="291" spans="1:1" x14ac:dyDescent="0.3">
      <c r="A291" s="27">
        <v>1</v>
      </c>
    </row>
    <row r="292" spans="1:1" x14ac:dyDescent="0.3">
      <c r="A292" s="26">
        <v>1</v>
      </c>
    </row>
    <row r="293" spans="1:1" x14ac:dyDescent="0.3">
      <c r="A293" s="27">
        <v>1</v>
      </c>
    </row>
    <row r="294" spans="1:1" x14ac:dyDescent="0.3">
      <c r="A294" s="26">
        <v>1</v>
      </c>
    </row>
    <row r="295" spans="1:1" x14ac:dyDescent="0.3">
      <c r="A295" s="27">
        <v>1</v>
      </c>
    </row>
    <row r="296" spans="1:1" x14ac:dyDescent="0.3">
      <c r="A296" s="26">
        <v>1</v>
      </c>
    </row>
    <row r="297" spans="1:1" x14ac:dyDescent="0.3">
      <c r="A297" s="27">
        <v>1</v>
      </c>
    </row>
    <row r="298" spans="1:1" x14ac:dyDescent="0.3">
      <c r="A298" s="26">
        <v>1</v>
      </c>
    </row>
    <row r="299" spans="1:1" x14ac:dyDescent="0.3">
      <c r="A299" s="27">
        <v>1</v>
      </c>
    </row>
    <row r="300" spans="1:1" x14ac:dyDescent="0.3">
      <c r="A300" s="26">
        <v>1</v>
      </c>
    </row>
    <row r="301" spans="1:1" x14ac:dyDescent="0.3">
      <c r="A301" s="27">
        <v>1</v>
      </c>
    </row>
    <row r="302" spans="1:1" x14ac:dyDescent="0.3">
      <c r="A302" s="26">
        <v>1</v>
      </c>
    </row>
    <row r="303" spans="1:1" x14ac:dyDescent="0.3">
      <c r="A303" s="27">
        <v>1</v>
      </c>
    </row>
    <row r="304" spans="1:1" x14ac:dyDescent="0.3">
      <c r="A304" s="26">
        <v>1</v>
      </c>
    </row>
    <row r="305" spans="1:1" x14ac:dyDescent="0.3">
      <c r="A305" s="27">
        <v>1</v>
      </c>
    </row>
    <row r="306" spans="1:1" x14ac:dyDescent="0.3">
      <c r="A306" s="26">
        <v>1</v>
      </c>
    </row>
    <row r="307" spans="1:1" x14ac:dyDescent="0.3">
      <c r="A307" s="27">
        <v>1</v>
      </c>
    </row>
    <row r="308" spans="1:1" x14ac:dyDescent="0.3">
      <c r="A308" s="26">
        <v>1</v>
      </c>
    </row>
    <row r="309" spans="1:1" x14ac:dyDescent="0.3">
      <c r="A309" s="27">
        <v>1</v>
      </c>
    </row>
    <row r="310" spans="1:1" x14ac:dyDescent="0.3">
      <c r="A310" s="26">
        <v>1</v>
      </c>
    </row>
    <row r="311" spans="1:1" x14ac:dyDescent="0.3">
      <c r="A311" s="27">
        <v>1</v>
      </c>
    </row>
    <row r="312" spans="1:1" x14ac:dyDescent="0.3">
      <c r="A312" s="26">
        <v>1</v>
      </c>
    </row>
    <row r="313" spans="1:1" x14ac:dyDescent="0.3">
      <c r="A313" s="27">
        <v>1</v>
      </c>
    </row>
    <row r="314" spans="1:1" x14ac:dyDescent="0.3">
      <c r="A314" s="26">
        <v>1</v>
      </c>
    </row>
    <row r="315" spans="1:1" x14ac:dyDescent="0.3">
      <c r="A315" s="27">
        <v>1</v>
      </c>
    </row>
    <row r="316" spans="1:1" x14ac:dyDescent="0.3">
      <c r="A316" s="26">
        <v>1</v>
      </c>
    </row>
    <row r="317" spans="1:1" x14ac:dyDescent="0.3">
      <c r="A317" s="27">
        <v>1</v>
      </c>
    </row>
    <row r="318" spans="1:1" x14ac:dyDescent="0.3">
      <c r="A318" s="26">
        <v>1</v>
      </c>
    </row>
    <row r="319" spans="1:1" x14ac:dyDescent="0.3">
      <c r="A319" s="27">
        <v>1</v>
      </c>
    </row>
    <row r="320" spans="1:1" x14ac:dyDescent="0.3">
      <c r="A320" s="26">
        <v>1</v>
      </c>
    </row>
    <row r="321" spans="1:1" x14ac:dyDescent="0.3">
      <c r="A321" s="27">
        <v>1</v>
      </c>
    </row>
    <row r="322" spans="1:1" x14ac:dyDescent="0.3">
      <c r="A322" s="26">
        <v>1</v>
      </c>
    </row>
    <row r="323" spans="1:1" x14ac:dyDescent="0.3">
      <c r="A323" s="27">
        <v>1</v>
      </c>
    </row>
    <row r="324" spans="1:1" x14ac:dyDescent="0.3">
      <c r="A324" s="26">
        <v>1</v>
      </c>
    </row>
    <row r="325" spans="1:1" x14ac:dyDescent="0.3">
      <c r="A325" s="27">
        <v>1</v>
      </c>
    </row>
    <row r="326" spans="1:1" x14ac:dyDescent="0.3">
      <c r="A326" s="26">
        <v>1</v>
      </c>
    </row>
    <row r="327" spans="1:1" x14ac:dyDescent="0.3">
      <c r="A327" s="27">
        <v>1</v>
      </c>
    </row>
    <row r="328" spans="1:1" x14ac:dyDescent="0.3">
      <c r="A328" s="26">
        <v>1</v>
      </c>
    </row>
    <row r="329" spans="1:1" x14ac:dyDescent="0.3">
      <c r="A329" s="27">
        <v>1</v>
      </c>
    </row>
    <row r="330" spans="1:1" x14ac:dyDescent="0.3">
      <c r="A330" s="26">
        <v>1</v>
      </c>
    </row>
    <row r="331" spans="1:1" x14ac:dyDescent="0.3">
      <c r="A331" s="27">
        <v>1</v>
      </c>
    </row>
    <row r="332" spans="1:1" x14ac:dyDescent="0.3">
      <c r="A332" s="26">
        <v>1</v>
      </c>
    </row>
    <row r="333" spans="1:1" x14ac:dyDescent="0.3">
      <c r="A333" s="27">
        <v>1</v>
      </c>
    </row>
    <row r="334" spans="1:1" x14ac:dyDescent="0.3">
      <c r="A334" s="26">
        <v>1</v>
      </c>
    </row>
    <row r="335" spans="1:1" x14ac:dyDescent="0.3">
      <c r="A335" s="27">
        <v>1</v>
      </c>
    </row>
    <row r="336" spans="1:1" x14ac:dyDescent="0.3">
      <c r="A336" s="26">
        <v>1</v>
      </c>
    </row>
    <row r="337" spans="1:1" x14ac:dyDescent="0.3">
      <c r="A337" s="27">
        <v>1</v>
      </c>
    </row>
    <row r="338" spans="1:1" x14ac:dyDescent="0.3">
      <c r="A338" s="26">
        <v>1</v>
      </c>
    </row>
    <row r="339" spans="1:1" x14ac:dyDescent="0.3">
      <c r="A339" s="27">
        <v>1</v>
      </c>
    </row>
    <row r="340" spans="1:1" x14ac:dyDescent="0.3">
      <c r="A340" s="26">
        <v>1</v>
      </c>
    </row>
    <row r="341" spans="1:1" x14ac:dyDescent="0.3">
      <c r="A341" s="27">
        <v>1</v>
      </c>
    </row>
    <row r="342" spans="1:1" x14ac:dyDescent="0.3">
      <c r="A342" s="26">
        <v>1</v>
      </c>
    </row>
    <row r="343" spans="1:1" x14ac:dyDescent="0.3">
      <c r="A343" s="27">
        <v>1</v>
      </c>
    </row>
    <row r="344" spans="1:1" x14ac:dyDescent="0.3">
      <c r="A344" s="26">
        <v>1</v>
      </c>
    </row>
    <row r="345" spans="1:1" x14ac:dyDescent="0.3">
      <c r="A345" s="27">
        <v>1</v>
      </c>
    </row>
    <row r="346" spans="1:1" x14ac:dyDescent="0.3">
      <c r="A346" s="26">
        <v>1</v>
      </c>
    </row>
    <row r="347" spans="1:1" x14ac:dyDescent="0.3">
      <c r="A347" s="27">
        <v>1</v>
      </c>
    </row>
    <row r="348" spans="1:1" x14ac:dyDescent="0.3">
      <c r="A348" s="26">
        <v>1</v>
      </c>
    </row>
    <row r="349" spans="1:1" x14ac:dyDescent="0.3">
      <c r="A349" s="27">
        <v>1</v>
      </c>
    </row>
    <row r="350" spans="1:1" x14ac:dyDescent="0.3">
      <c r="A350" s="26">
        <v>1</v>
      </c>
    </row>
    <row r="351" spans="1:1" x14ac:dyDescent="0.3">
      <c r="A351" s="27">
        <v>1</v>
      </c>
    </row>
    <row r="352" spans="1:1" x14ac:dyDescent="0.3">
      <c r="A352" s="26">
        <v>1</v>
      </c>
    </row>
    <row r="353" spans="1:1" x14ac:dyDescent="0.3">
      <c r="A353" s="27">
        <v>1</v>
      </c>
    </row>
    <row r="354" spans="1:1" x14ac:dyDescent="0.3">
      <c r="A354" s="26">
        <v>1</v>
      </c>
    </row>
    <row r="355" spans="1:1" x14ac:dyDescent="0.3">
      <c r="A355" s="27">
        <v>1</v>
      </c>
    </row>
    <row r="356" spans="1:1" x14ac:dyDescent="0.3">
      <c r="A356" s="26">
        <v>1</v>
      </c>
    </row>
    <row r="357" spans="1:1" x14ac:dyDescent="0.3">
      <c r="A357" s="27">
        <v>1</v>
      </c>
    </row>
    <row r="358" spans="1:1" x14ac:dyDescent="0.3">
      <c r="A358" s="26">
        <v>1</v>
      </c>
    </row>
    <row r="359" spans="1:1" x14ac:dyDescent="0.3">
      <c r="A359" s="27">
        <v>1</v>
      </c>
    </row>
    <row r="360" spans="1:1" x14ac:dyDescent="0.3">
      <c r="A360" s="26">
        <v>1</v>
      </c>
    </row>
    <row r="361" spans="1:1" x14ac:dyDescent="0.3">
      <c r="A361" s="27">
        <v>1</v>
      </c>
    </row>
    <row r="362" spans="1:1" x14ac:dyDescent="0.3">
      <c r="A362" s="26">
        <v>1</v>
      </c>
    </row>
    <row r="363" spans="1:1" x14ac:dyDescent="0.3">
      <c r="A363" s="27">
        <v>1</v>
      </c>
    </row>
    <row r="364" spans="1:1" x14ac:dyDescent="0.3">
      <c r="A364" s="26">
        <v>1</v>
      </c>
    </row>
    <row r="365" spans="1:1" x14ac:dyDescent="0.3">
      <c r="A365" s="27">
        <v>1</v>
      </c>
    </row>
    <row r="366" spans="1:1" x14ac:dyDescent="0.3">
      <c r="A366" s="26">
        <v>2</v>
      </c>
    </row>
    <row r="367" spans="1:1" x14ac:dyDescent="0.3">
      <c r="A367" s="27">
        <v>1</v>
      </c>
    </row>
    <row r="368" spans="1:1" x14ac:dyDescent="0.3">
      <c r="A368" s="26">
        <v>1</v>
      </c>
    </row>
    <row r="369" spans="1:1" x14ac:dyDescent="0.3">
      <c r="A369" s="27">
        <v>1</v>
      </c>
    </row>
    <row r="370" spans="1:1" x14ac:dyDescent="0.3">
      <c r="A370" s="26">
        <v>1</v>
      </c>
    </row>
    <row r="371" spans="1:1" x14ac:dyDescent="0.3">
      <c r="A371" s="27">
        <v>1</v>
      </c>
    </row>
    <row r="372" spans="1:1" x14ac:dyDescent="0.3">
      <c r="A372" s="26">
        <v>1</v>
      </c>
    </row>
    <row r="373" spans="1:1" x14ac:dyDescent="0.3">
      <c r="A373" s="27">
        <v>1</v>
      </c>
    </row>
    <row r="374" spans="1:1" x14ac:dyDescent="0.3">
      <c r="A374" s="26">
        <v>1</v>
      </c>
    </row>
    <row r="375" spans="1:1" x14ac:dyDescent="0.3">
      <c r="A375" s="27">
        <v>1</v>
      </c>
    </row>
    <row r="376" spans="1:1" x14ac:dyDescent="0.3">
      <c r="A376" s="26">
        <v>1</v>
      </c>
    </row>
    <row r="377" spans="1:1" x14ac:dyDescent="0.3">
      <c r="A377" s="27">
        <v>1</v>
      </c>
    </row>
    <row r="378" spans="1:1" x14ac:dyDescent="0.3">
      <c r="A378" s="26">
        <v>1</v>
      </c>
    </row>
    <row r="379" spans="1:1" x14ac:dyDescent="0.3">
      <c r="A379" s="27">
        <v>1</v>
      </c>
    </row>
    <row r="380" spans="1:1" x14ac:dyDescent="0.3">
      <c r="A380" s="26">
        <v>1</v>
      </c>
    </row>
    <row r="381" spans="1:1" x14ac:dyDescent="0.3">
      <c r="A381" s="27">
        <v>1</v>
      </c>
    </row>
    <row r="382" spans="1:1" x14ac:dyDescent="0.3">
      <c r="A382" s="26">
        <v>1</v>
      </c>
    </row>
    <row r="383" spans="1:1" x14ac:dyDescent="0.3">
      <c r="A383" s="27">
        <v>1</v>
      </c>
    </row>
    <row r="384" spans="1:1" x14ac:dyDescent="0.3">
      <c r="A384" s="26">
        <v>1</v>
      </c>
    </row>
    <row r="385" spans="1:1" x14ac:dyDescent="0.3">
      <c r="A385" s="27">
        <v>1</v>
      </c>
    </row>
    <row r="386" spans="1:1" x14ac:dyDescent="0.3">
      <c r="A386" s="26">
        <v>1</v>
      </c>
    </row>
    <row r="387" spans="1:1" x14ac:dyDescent="0.3">
      <c r="A387" s="27">
        <v>1</v>
      </c>
    </row>
    <row r="388" spans="1:1" x14ac:dyDescent="0.3">
      <c r="A388" s="26">
        <v>1</v>
      </c>
    </row>
    <row r="389" spans="1:1" x14ac:dyDescent="0.3">
      <c r="A389" s="27">
        <v>1</v>
      </c>
    </row>
    <row r="390" spans="1:1" x14ac:dyDescent="0.3">
      <c r="A390" s="26">
        <v>1</v>
      </c>
    </row>
    <row r="391" spans="1:1" x14ac:dyDescent="0.3">
      <c r="A391" s="27">
        <v>1</v>
      </c>
    </row>
    <row r="392" spans="1:1" x14ac:dyDescent="0.3">
      <c r="A392" s="26">
        <v>1</v>
      </c>
    </row>
    <row r="393" spans="1:1" x14ac:dyDescent="0.3">
      <c r="A393" s="27">
        <v>1</v>
      </c>
    </row>
    <row r="394" spans="1:1" x14ac:dyDescent="0.3">
      <c r="A394" s="26">
        <v>1</v>
      </c>
    </row>
    <row r="395" spans="1:1" x14ac:dyDescent="0.3">
      <c r="A395" s="27">
        <v>1</v>
      </c>
    </row>
    <row r="396" spans="1:1" x14ac:dyDescent="0.3">
      <c r="A396" s="26">
        <v>1</v>
      </c>
    </row>
    <row r="397" spans="1:1" x14ac:dyDescent="0.3">
      <c r="A397" s="27">
        <v>1</v>
      </c>
    </row>
    <row r="398" spans="1:1" x14ac:dyDescent="0.3">
      <c r="A398" s="26">
        <v>1</v>
      </c>
    </row>
    <row r="399" spans="1:1" x14ac:dyDescent="0.3">
      <c r="A399" s="27">
        <v>1</v>
      </c>
    </row>
    <row r="400" spans="1:1" x14ac:dyDescent="0.3">
      <c r="A400" s="26">
        <v>1</v>
      </c>
    </row>
    <row r="401" spans="1:1" x14ac:dyDescent="0.3">
      <c r="A401" s="27">
        <v>1</v>
      </c>
    </row>
    <row r="402" spans="1:1" x14ac:dyDescent="0.3">
      <c r="A402" s="26">
        <v>1</v>
      </c>
    </row>
    <row r="403" spans="1:1" x14ac:dyDescent="0.3">
      <c r="A403" s="27">
        <v>1</v>
      </c>
    </row>
    <row r="404" spans="1:1" x14ac:dyDescent="0.3">
      <c r="A404" s="26">
        <v>1</v>
      </c>
    </row>
    <row r="405" spans="1:1" x14ac:dyDescent="0.3">
      <c r="A405" s="27">
        <v>1</v>
      </c>
    </row>
    <row r="406" spans="1:1" x14ac:dyDescent="0.3">
      <c r="A406" s="26">
        <v>2</v>
      </c>
    </row>
    <row r="407" spans="1:1" x14ac:dyDescent="0.3">
      <c r="A407" s="27">
        <v>1</v>
      </c>
    </row>
    <row r="408" spans="1:1" x14ac:dyDescent="0.3">
      <c r="A408" s="26">
        <v>1</v>
      </c>
    </row>
    <row r="409" spans="1:1" x14ac:dyDescent="0.3">
      <c r="A409" s="27">
        <v>1</v>
      </c>
    </row>
    <row r="410" spans="1:1" x14ac:dyDescent="0.3">
      <c r="A410" s="26">
        <v>1</v>
      </c>
    </row>
    <row r="411" spans="1:1" x14ac:dyDescent="0.3">
      <c r="A411" s="27">
        <v>1</v>
      </c>
    </row>
    <row r="412" spans="1:1" x14ac:dyDescent="0.3">
      <c r="A412" s="26">
        <v>1</v>
      </c>
    </row>
    <row r="413" spans="1:1" x14ac:dyDescent="0.3">
      <c r="A413" s="27">
        <v>1</v>
      </c>
    </row>
    <row r="414" spans="1:1" x14ac:dyDescent="0.3">
      <c r="A414" s="26">
        <v>1</v>
      </c>
    </row>
    <row r="415" spans="1:1" x14ac:dyDescent="0.3">
      <c r="A415" s="27">
        <v>1</v>
      </c>
    </row>
    <row r="416" spans="1:1" x14ac:dyDescent="0.3">
      <c r="A416" s="26">
        <v>1</v>
      </c>
    </row>
    <row r="417" spans="1:1" x14ac:dyDescent="0.3">
      <c r="A417" s="27">
        <v>1</v>
      </c>
    </row>
    <row r="418" spans="1:1" x14ac:dyDescent="0.3">
      <c r="A418" s="26">
        <v>1</v>
      </c>
    </row>
    <row r="419" spans="1:1" x14ac:dyDescent="0.3">
      <c r="A419" s="27">
        <v>1</v>
      </c>
    </row>
    <row r="420" spans="1:1" x14ac:dyDescent="0.3">
      <c r="A420" s="26">
        <v>1</v>
      </c>
    </row>
    <row r="421" spans="1:1" x14ac:dyDescent="0.3">
      <c r="A421" s="27">
        <v>1</v>
      </c>
    </row>
    <row r="422" spans="1:1" x14ac:dyDescent="0.3">
      <c r="A422" s="26">
        <v>1</v>
      </c>
    </row>
    <row r="423" spans="1:1" x14ac:dyDescent="0.3">
      <c r="A423" s="27">
        <v>1</v>
      </c>
    </row>
    <row r="424" spans="1:1" x14ac:dyDescent="0.3">
      <c r="A424" s="26">
        <v>1</v>
      </c>
    </row>
    <row r="425" spans="1:1" x14ac:dyDescent="0.3">
      <c r="A425" s="27">
        <v>1</v>
      </c>
    </row>
    <row r="426" spans="1:1" x14ac:dyDescent="0.3">
      <c r="A426" s="26">
        <v>1</v>
      </c>
    </row>
    <row r="427" spans="1:1" x14ac:dyDescent="0.3">
      <c r="A427" s="27">
        <v>1</v>
      </c>
    </row>
    <row r="428" spans="1:1" x14ac:dyDescent="0.3">
      <c r="A428" s="26">
        <v>2</v>
      </c>
    </row>
    <row r="429" spans="1:1" x14ac:dyDescent="0.3">
      <c r="A429" s="27">
        <v>1</v>
      </c>
    </row>
    <row r="430" spans="1:1" x14ac:dyDescent="0.3">
      <c r="A430" s="26">
        <v>1</v>
      </c>
    </row>
    <row r="431" spans="1:1" x14ac:dyDescent="0.3">
      <c r="A431" s="27">
        <v>1</v>
      </c>
    </row>
    <row r="432" spans="1:1" x14ac:dyDescent="0.3">
      <c r="A432" s="26">
        <v>1</v>
      </c>
    </row>
    <row r="433" spans="1:1" x14ac:dyDescent="0.3">
      <c r="A433" s="27">
        <v>1</v>
      </c>
    </row>
    <row r="434" spans="1:1" x14ac:dyDescent="0.3">
      <c r="A434" s="26">
        <v>1</v>
      </c>
    </row>
    <row r="435" spans="1:1" x14ac:dyDescent="0.3">
      <c r="A435" s="27">
        <v>1</v>
      </c>
    </row>
    <row r="436" spans="1:1" x14ac:dyDescent="0.3">
      <c r="A436" s="26">
        <v>1</v>
      </c>
    </row>
    <row r="437" spans="1:1" x14ac:dyDescent="0.3">
      <c r="A437" s="27">
        <v>1</v>
      </c>
    </row>
    <row r="438" spans="1:1" x14ac:dyDescent="0.3">
      <c r="A438" s="26">
        <v>1</v>
      </c>
    </row>
    <row r="439" spans="1:1" x14ac:dyDescent="0.3">
      <c r="A439" s="27">
        <v>1</v>
      </c>
    </row>
    <row r="440" spans="1:1" x14ac:dyDescent="0.3">
      <c r="A440" s="26">
        <v>1</v>
      </c>
    </row>
    <row r="441" spans="1:1" x14ac:dyDescent="0.3">
      <c r="A441" s="27">
        <v>1</v>
      </c>
    </row>
    <row r="442" spans="1:1" x14ac:dyDescent="0.3">
      <c r="A442" s="26">
        <v>1</v>
      </c>
    </row>
    <row r="443" spans="1:1" x14ac:dyDescent="0.3">
      <c r="A443" s="27">
        <v>1</v>
      </c>
    </row>
    <row r="444" spans="1:1" x14ac:dyDescent="0.3">
      <c r="A444" s="26">
        <v>1</v>
      </c>
    </row>
    <row r="445" spans="1:1" x14ac:dyDescent="0.3">
      <c r="A445" s="27">
        <v>1</v>
      </c>
    </row>
    <row r="446" spans="1:1" x14ac:dyDescent="0.3">
      <c r="A446" s="26">
        <v>1</v>
      </c>
    </row>
    <row r="447" spans="1:1" x14ac:dyDescent="0.3">
      <c r="A447" s="27">
        <v>1</v>
      </c>
    </row>
    <row r="448" spans="1:1" x14ac:dyDescent="0.3">
      <c r="A448" s="26">
        <v>1</v>
      </c>
    </row>
    <row r="449" spans="1:1" x14ac:dyDescent="0.3">
      <c r="A449" s="27">
        <v>1</v>
      </c>
    </row>
    <row r="450" spans="1:1" x14ac:dyDescent="0.3">
      <c r="A450" s="26">
        <v>1</v>
      </c>
    </row>
    <row r="451" spans="1:1" x14ac:dyDescent="0.3">
      <c r="A451" s="27">
        <v>1</v>
      </c>
    </row>
    <row r="452" spans="1:1" x14ac:dyDescent="0.3">
      <c r="A452" s="26">
        <v>1</v>
      </c>
    </row>
    <row r="453" spans="1:1" x14ac:dyDescent="0.3">
      <c r="A453" s="27">
        <v>1</v>
      </c>
    </row>
    <row r="454" spans="1:1" x14ac:dyDescent="0.3">
      <c r="A454" s="26">
        <v>1</v>
      </c>
    </row>
    <row r="455" spans="1:1" x14ac:dyDescent="0.3">
      <c r="A455" s="27">
        <v>1</v>
      </c>
    </row>
    <row r="456" spans="1:1" x14ac:dyDescent="0.3">
      <c r="A456" s="26">
        <v>1</v>
      </c>
    </row>
    <row r="457" spans="1:1" x14ac:dyDescent="0.3">
      <c r="A457" s="27">
        <v>1</v>
      </c>
    </row>
    <row r="458" spans="1:1" x14ac:dyDescent="0.3">
      <c r="A458" s="26">
        <v>1</v>
      </c>
    </row>
    <row r="459" spans="1:1" x14ac:dyDescent="0.3">
      <c r="A459" s="27">
        <v>1</v>
      </c>
    </row>
    <row r="460" spans="1:1" x14ac:dyDescent="0.3">
      <c r="A460" s="26">
        <v>1</v>
      </c>
    </row>
    <row r="461" spans="1:1" x14ac:dyDescent="0.3">
      <c r="A461" s="27">
        <v>1</v>
      </c>
    </row>
    <row r="462" spans="1:1" x14ac:dyDescent="0.3">
      <c r="A462" s="26">
        <v>1</v>
      </c>
    </row>
    <row r="463" spans="1:1" x14ac:dyDescent="0.3">
      <c r="A463" s="27">
        <v>1</v>
      </c>
    </row>
    <row r="464" spans="1:1" x14ac:dyDescent="0.3">
      <c r="A464" s="26">
        <v>1</v>
      </c>
    </row>
    <row r="465" spans="1:1" x14ac:dyDescent="0.3">
      <c r="A465" s="27">
        <v>1</v>
      </c>
    </row>
    <row r="466" spans="1:1" x14ac:dyDescent="0.3">
      <c r="A466" s="26">
        <v>1</v>
      </c>
    </row>
    <row r="467" spans="1:1" x14ac:dyDescent="0.3">
      <c r="A467" s="27">
        <v>1</v>
      </c>
    </row>
    <row r="468" spans="1:1" x14ac:dyDescent="0.3">
      <c r="A468" s="26">
        <v>1</v>
      </c>
    </row>
    <row r="469" spans="1:1" x14ac:dyDescent="0.3">
      <c r="A469" s="27">
        <v>1</v>
      </c>
    </row>
    <row r="470" spans="1:1" x14ac:dyDescent="0.3">
      <c r="A470" s="26">
        <v>1</v>
      </c>
    </row>
    <row r="471" spans="1:1" x14ac:dyDescent="0.3">
      <c r="A471" s="27">
        <v>1</v>
      </c>
    </row>
    <row r="472" spans="1:1" x14ac:dyDescent="0.3">
      <c r="A472" s="26">
        <v>1</v>
      </c>
    </row>
    <row r="473" spans="1:1" x14ac:dyDescent="0.3">
      <c r="A473" s="27">
        <v>1</v>
      </c>
    </row>
    <row r="474" spans="1:1" x14ac:dyDescent="0.3">
      <c r="A474" s="26">
        <v>1</v>
      </c>
    </row>
    <row r="475" spans="1:1" x14ac:dyDescent="0.3">
      <c r="A475" s="27">
        <v>1</v>
      </c>
    </row>
    <row r="476" spans="1:1" x14ac:dyDescent="0.3">
      <c r="A476" s="26">
        <v>1</v>
      </c>
    </row>
    <row r="477" spans="1:1" x14ac:dyDescent="0.3">
      <c r="A477" s="27">
        <v>1</v>
      </c>
    </row>
    <row r="478" spans="1:1" x14ac:dyDescent="0.3">
      <c r="A478" s="26">
        <v>1</v>
      </c>
    </row>
    <row r="479" spans="1:1" x14ac:dyDescent="0.3">
      <c r="A479" s="27">
        <v>1</v>
      </c>
    </row>
    <row r="480" spans="1:1" x14ac:dyDescent="0.3">
      <c r="A480" s="26">
        <v>1</v>
      </c>
    </row>
    <row r="481" spans="1:1" x14ac:dyDescent="0.3">
      <c r="A481" s="27">
        <v>1</v>
      </c>
    </row>
    <row r="482" spans="1:1" x14ac:dyDescent="0.3">
      <c r="A482" s="26">
        <v>1</v>
      </c>
    </row>
    <row r="483" spans="1:1" x14ac:dyDescent="0.3">
      <c r="A483" s="27">
        <v>1</v>
      </c>
    </row>
    <row r="484" spans="1:1" x14ac:dyDescent="0.3">
      <c r="A484" s="26">
        <v>1</v>
      </c>
    </row>
    <row r="485" spans="1:1" x14ac:dyDescent="0.3">
      <c r="A485" s="27">
        <v>1</v>
      </c>
    </row>
    <row r="486" spans="1:1" x14ac:dyDescent="0.3">
      <c r="A486" s="26">
        <v>1</v>
      </c>
    </row>
    <row r="487" spans="1:1" x14ac:dyDescent="0.3">
      <c r="A487" s="27">
        <v>1</v>
      </c>
    </row>
    <row r="488" spans="1:1" x14ac:dyDescent="0.3">
      <c r="A488" s="26">
        <v>1</v>
      </c>
    </row>
    <row r="489" spans="1:1" x14ac:dyDescent="0.3">
      <c r="A489" s="27">
        <v>1</v>
      </c>
    </row>
    <row r="490" spans="1:1" x14ac:dyDescent="0.3">
      <c r="A490" s="26">
        <v>1</v>
      </c>
    </row>
    <row r="491" spans="1:1" x14ac:dyDescent="0.3">
      <c r="A491" s="27">
        <v>1</v>
      </c>
    </row>
    <row r="492" spans="1:1" x14ac:dyDescent="0.3">
      <c r="A492" s="26">
        <v>1</v>
      </c>
    </row>
    <row r="493" spans="1:1" x14ac:dyDescent="0.3">
      <c r="A493" s="27">
        <v>1</v>
      </c>
    </row>
    <row r="494" spans="1:1" x14ac:dyDescent="0.3">
      <c r="A494" s="26">
        <v>1</v>
      </c>
    </row>
    <row r="495" spans="1:1" x14ac:dyDescent="0.3">
      <c r="A495" s="27">
        <v>1</v>
      </c>
    </row>
    <row r="496" spans="1:1" x14ac:dyDescent="0.3">
      <c r="A496" s="26">
        <v>1</v>
      </c>
    </row>
    <row r="497" spans="1:1" x14ac:dyDescent="0.3">
      <c r="A497" s="27">
        <v>1</v>
      </c>
    </row>
    <row r="498" spans="1:1" x14ac:dyDescent="0.3">
      <c r="A498" s="26">
        <v>1</v>
      </c>
    </row>
    <row r="499" spans="1:1" x14ac:dyDescent="0.3">
      <c r="A499" s="27">
        <v>1</v>
      </c>
    </row>
    <row r="500" spans="1:1" x14ac:dyDescent="0.3">
      <c r="A500" s="26">
        <v>1</v>
      </c>
    </row>
    <row r="501" spans="1:1" x14ac:dyDescent="0.3">
      <c r="A501" s="27">
        <v>1</v>
      </c>
    </row>
    <row r="502" spans="1:1" x14ac:dyDescent="0.3">
      <c r="A502" s="26">
        <v>1</v>
      </c>
    </row>
    <row r="503" spans="1:1" x14ac:dyDescent="0.3">
      <c r="A503" s="27">
        <v>1</v>
      </c>
    </row>
    <row r="504" spans="1:1" x14ac:dyDescent="0.3">
      <c r="A504" s="26">
        <v>1</v>
      </c>
    </row>
    <row r="505" spans="1:1" x14ac:dyDescent="0.3">
      <c r="A505" s="27">
        <v>1</v>
      </c>
    </row>
    <row r="506" spans="1:1" x14ac:dyDescent="0.3">
      <c r="A506" s="26">
        <v>1</v>
      </c>
    </row>
    <row r="507" spans="1:1" x14ac:dyDescent="0.3">
      <c r="A507" s="27">
        <v>1</v>
      </c>
    </row>
    <row r="508" spans="1:1" x14ac:dyDescent="0.3">
      <c r="A508" s="26">
        <v>1</v>
      </c>
    </row>
    <row r="509" spans="1:1" x14ac:dyDescent="0.3">
      <c r="A509" s="27">
        <v>1</v>
      </c>
    </row>
    <row r="510" spans="1:1" x14ac:dyDescent="0.3">
      <c r="A510" s="26">
        <v>1</v>
      </c>
    </row>
    <row r="511" spans="1:1" x14ac:dyDescent="0.3">
      <c r="A511" s="27">
        <v>1</v>
      </c>
    </row>
    <row r="512" spans="1:1" x14ac:dyDescent="0.3">
      <c r="A512" s="26">
        <v>1</v>
      </c>
    </row>
    <row r="513" spans="1:1" x14ac:dyDescent="0.3">
      <c r="A513" s="27">
        <v>1</v>
      </c>
    </row>
    <row r="514" spans="1:1" x14ac:dyDescent="0.3">
      <c r="A514" s="26">
        <v>1</v>
      </c>
    </row>
    <row r="515" spans="1:1" x14ac:dyDescent="0.3">
      <c r="A515" s="27">
        <v>1</v>
      </c>
    </row>
    <row r="516" spans="1:1" x14ac:dyDescent="0.3">
      <c r="A516" s="26">
        <v>1</v>
      </c>
    </row>
    <row r="517" spans="1:1" x14ac:dyDescent="0.3">
      <c r="A517" s="27">
        <v>1</v>
      </c>
    </row>
    <row r="518" spans="1:1" x14ac:dyDescent="0.3">
      <c r="A518" s="26">
        <v>1</v>
      </c>
    </row>
    <row r="519" spans="1:1" x14ac:dyDescent="0.3">
      <c r="A519" s="27">
        <v>1</v>
      </c>
    </row>
    <row r="520" spans="1:1" x14ac:dyDescent="0.3">
      <c r="A520" s="26">
        <v>1</v>
      </c>
    </row>
    <row r="521" spans="1:1" x14ac:dyDescent="0.3">
      <c r="A521" s="27">
        <v>1</v>
      </c>
    </row>
    <row r="522" spans="1:1" x14ac:dyDescent="0.3">
      <c r="A522" s="26">
        <v>1</v>
      </c>
    </row>
    <row r="523" spans="1:1" x14ac:dyDescent="0.3">
      <c r="A523" s="27">
        <v>1</v>
      </c>
    </row>
    <row r="524" spans="1:1" x14ac:dyDescent="0.3">
      <c r="A524" s="26">
        <v>1</v>
      </c>
    </row>
    <row r="525" spans="1:1" x14ac:dyDescent="0.3">
      <c r="A525" s="27">
        <v>1</v>
      </c>
    </row>
    <row r="526" spans="1:1" x14ac:dyDescent="0.3">
      <c r="A526" s="26">
        <v>1</v>
      </c>
    </row>
    <row r="527" spans="1:1" x14ac:dyDescent="0.3">
      <c r="A527" s="27">
        <v>1</v>
      </c>
    </row>
    <row r="528" spans="1:1" x14ac:dyDescent="0.3">
      <c r="A528" s="26">
        <v>1</v>
      </c>
    </row>
    <row r="529" spans="1:1" x14ac:dyDescent="0.3">
      <c r="A529" s="27">
        <v>1</v>
      </c>
    </row>
    <row r="530" spans="1:1" x14ac:dyDescent="0.3">
      <c r="A530" s="26">
        <v>1</v>
      </c>
    </row>
    <row r="531" spans="1:1" x14ac:dyDescent="0.3">
      <c r="A531" s="27">
        <v>1</v>
      </c>
    </row>
    <row r="532" spans="1:1" x14ac:dyDescent="0.3">
      <c r="A532" s="26">
        <v>1</v>
      </c>
    </row>
    <row r="533" spans="1:1" x14ac:dyDescent="0.3">
      <c r="A533" s="27">
        <v>1</v>
      </c>
    </row>
    <row r="534" spans="1:1" x14ac:dyDescent="0.3">
      <c r="A534" s="26">
        <v>1</v>
      </c>
    </row>
    <row r="535" spans="1:1" x14ac:dyDescent="0.3">
      <c r="A535" s="27">
        <v>1</v>
      </c>
    </row>
    <row r="536" spans="1:1" x14ac:dyDescent="0.3">
      <c r="A536" s="26">
        <v>1</v>
      </c>
    </row>
    <row r="537" spans="1:1" x14ac:dyDescent="0.3">
      <c r="A537" s="27">
        <v>1</v>
      </c>
    </row>
    <row r="538" spans="1:1" x14ac:dyDescent="0.3">
      <c r="A538" s="26">
        <v>1</v>
      </c>
    </row>
    <row r="539" spans="1:1" x14ac:dyDescent="0.3">
      <c r="A539" s="27">
        <v>1</v>
      </c>
    </row>
    <row r="540" spans="1:1" x14ac:dyDescent="0.3">
      <c r="A540" s="26">
        <v>1</v>
      </c>
    </row>
    <row r="541" spans="1:1" x14ac:dyDescent="0.3">
      <c r="A541" s="27">
        <v>1</v>
      </c>
    </row>
    <row r="542" spans="1:1" x14ac:dyDescent="0.3">
      <c r="A542" s="26">
        <v>1</v>
      </c>
    </row>
    <row r="543" spans="1:1" x14ac:dyDescent="0.3">
      <c r="A543" s="27">
        <v>1</v>
      </c>
    </row>
    <row r="544" spans="1:1" x14ac:dyDescent="0.3">
      <c r="A544" s="26">
        <v>1</v>
      </c>
    </row>
    <row r="545" spans="1:1" x14ac:dyDescent="0.3">
      <c r="A545" s="27">
        <v>1</v>
      </c>
    </row>
    <row r="546" spans="1:1" x14ac:dyDescent="0.3">
      <c r="A546" s="26">
        <v>1</v>
      </c>
    </row>
    <row r="547" spans="1:1" x14ac:dyDescent="0.3">
      <c r="A547" s="27">
        <v>1</v>
      </c>
    </row>
    <row r="548" spans="1:1" x14ac:dyDescent="0.3">
      <c r="A548" s="26">
        <v>1</v>
      </c>
    </row>
    <row r="549" spans="1:1" x14ac:dyDescent="0.3">
      <c r="A549" s="27">
        <v>1</v>
      </c>
    </row>
    <row r="550" spans="1:1" x14ac:dyDescent="0.3">
      <c r="A550" s="26">
        <v>1</v>
      </c>
    </row>
    <row r="551" spans="1:1" x14ac:dyDescent="0.3">
      <c r="A551" s="27">
        <v>1</v>
      </c>
    </row>
    <row r="552" spans="1:1" x14ac:dyDescent="0.3">
      <c r="A552" s="26">
        <v>1</v>
      </c>
    </row>
    <row r="553" spans="1:1" x14ac:dyDescent="0.3">
      <c r="A553" s="27">
        <v>1</v>
      </c>
    </row>
    <row r="554" spans="1:1" x14ac:dyDescent="0.3">
      <c r="A554" s="26">
        <v>1</v>
      </c>
    </row>
    <row r="555" spans="1:1" x14ac:dyDescent="0.3">
      <c r="A555" s="27">
        <v>1</v>
      </c>
    </row>
    <row r="556" spans="1:1" x14ac:dyDescent="0.3">
      <c r="A556" s="26">
        <v>1</v>
      </c>
    </row>
    <row r="557" spans="1:1" x14ac:dyDescent="0.3">
      <c r="A557" s="27">
        <v>1</v>
      </c>
    </row>
    <row r="558" spans="1:1" x14ac:dyDescent="0.3">
      <c r="A558" s="26">
        <v>1</v>
      </c>
    </row>
    <row r="559" spans="1:1" x14ac:dyDescent="0.3">
      <c r="A559" s="27">
        <v>1</v>
      </c>
    </row>
    <row r="560" spans="1:1" x14ac:dyDescent="0.3">
      <c r="A560" s="26">
        <v>1</v>
      </c>
    </row>
    <row r="561" spans="1:1" x14ac:dyDescent="0.3">
      <c r="A561" s="27">
        <v>1</v>
      </c>
    </row>
    <row r="562" spans="1:1" x14ac:dyDescent="0.3">
      <c r="A562" s="26">
        <v>1</v>
      </c>
    </row>
    <row r="563" spans="1:1" x14ac:dyDescent="0.3">
      <c r="A563" s="27">
        <v>1</v>
      </c>
    </row>
    <row r="564" spans="1:1" x14ac:dyDescent="0.3">
      <c r="A564" s="26">
        <v>1</v>
      </c>
    </row>
    <row r="565" spans="1:1" x14ac:dyDescent="0.3">
      <c r="A565" s="27">
        <v>1</v>
      </c>
    </row>
    <row r="566" spans="1:1" x14ac:dyDescent="0.3">
      <c r="A566" s="26">
        <v>1</v>
      </c>
    </row>
    <row r="567" spans="1:1" x14ac:dyDescent="0.3">
      <c r="A567" s="27">
        <v>1</v>
      </c>
    </row>
    <row r="568" spans="1:1" x14ac:dyDescent="0.3">
      <c r="A568" s="26">
        <v>1</v>
      </c>
    </row>
    <row r="569" spans="1:1" x14ac:dyDescent="0.3">
      <c r="A569" s="27">
        <v>1</v>
      </c>
    </row>
    <row r="570" spans="1:1" x14ac:dyDescent="0.3">
      <c r="A570" s="26">
        <v>1</v>
      </c>
    </row>
    <row r="571" spans="1:1" x14ac:dyDescent="0.3">
      <c r="A571" s="27">
        <v>1</v>
      </c>
    </row>
    <row r="572" spans="1:1" x14ac:dyDescent="0.3">
      <c r="A572" s="26">
        <v>1</v>
      </c>
    </row>
    <row r="573" spans="1:1" x14ac:dyDescent="0.3">
      <c r="A573" s="27">
        <v>1</v>
      </c>
    </row>
    <row r="574" spans="1:1" x14ac:dyDescent="0.3">
      <c r="A574" s="26">
        <v>1</v>
      </c>
    </row>
    <row r="575" spans="1:1" x14ac:dyDescent="0.3">
      <c r="A575" s="27">
        <v>1</v>
      </c>
    </row>
    <row r="576" spans="1:1" x14ac:dyDescent="0.3">
      <c r="A576" s="26">
        <v>1</v>
      </c>
    </row>
    <row r="577" spans="1:1" x14ac:dyDescent="0.3">
      <c r="A577" s="27">
        <v>1</v>
      </c>
    </row>
    <row r="578" spans="1:1" x14ac:dyDescent="0.3">
      <c r="A578" s="26">
        <v>1</v>
      </c>
    </row>
    <row r="579" spans="1:1" x14ac:dyDescent="0.3">
      <c r="A579" s="27">
        <v>1</v>
      </c>
    </row>
    <row r="580" spans="1:1" x14ac:dyDescent="0.3">
      <c r="A580" s="26">
        <v>1</v>
      </c>
    </row>
    <row r="581" spans="1:1" x14ac:dyDescent="0.3">
      <c r="A581" s="27">
        <v>1</v>
      </c>
    </row>
    <row r="582" spans="1:1" x14ac:dyDescent="0.3">
      <c r="A582" s="26">
        <v>1</v>
      </c>
    </row>
    <row r="583" spans="1:1" x14ac:dyDescent="0.3">
      <c r="A583" s="27">
        <v>1</v>
      </c>
    </row>
    <row r="584" spans="1:1" x14ac:dyDescent="0.3">
      <c r="A584" s="26">
        <v>1</v>
      </c>
    </row>
    <row r="585" spans="1:1" x14ac:dyDescent="0.3">
      <c r="A585" s="27">
        <v>1</v>
      </c>
    </row>
    <row r="586" spans="1:1" x14ac:dyDescent="0.3">
      <c r="A586" s="26">
        <v>1</v>
      </c>
    </row>
    <row r="587" spans="1:1" x14ac:dyDescent="0.3">
      <c r="A587" s="27">
        <v>1</v>
      </c>
    </row>
    <row r="588" spans="1:1" x14ac:dyDescent="0.3">
      <c r="A588" s="26">
        <v>1</v>
      </c>
    </row>
    <row r="589" spans="1:1" x14ac:dyDescent="0.3">
      <c r="A589" s="27">
        <v>1</v>
      </c>
    </row>
    <row r="590" spans="1:1" x14ac:dyDescent="0.3">
      <c r="A590" s="26">
        <v>1</v>
      </c>
    </row>
    <row r="591" spans="1:1" x14ac:dyDescent="0.3">
      <c r="A591" s="27">
        <v>1</v>
      </c>
    </row>
    <row r="592" spans="1:1" x14ac:dyDescent="0.3">
      <c r="A592" s="26">
        <v>1</v>
      </c>
    </row>
    <row r="593" spans="1:1" x14ac:dyDescent="0.3">
      <c r="A593" s="27">
        <v>1</v>
      </c>
    </row>
    <row r="594" spans="1:1" x14ac:dyDescent="0.3">
      <c r="A594" s="26">
        <v>1</v>
      </c>
    </row>
    <row r="595" spans="1:1" x14ac:dyDescent="0.3">
      <c r="A595" s="27">
        <v>1</v>
      </c>
    </row>
    <row r="596" spans="1:1" x14ac:dyDescent="0.3">
      <c r="A596" s="26">
        <v>1</v>
      </c>
    </row>
    <row r="597" spans="1:1" x14ac:dyDescent="0.3">
      <c r="A597" s="27">
        <v>1</v>
      </c>
    </row>
    <row r="598" spans="1:1" x14ac:dyDescent="0.3">
      <c r="A598" s="26">
        <v>1</v>
      </c>
    </row>
    <row r="599" spans="1:1" x14ac:dyDescent="0.3">
      <c r="A599" s="27">
        <v>1</v>
      </c>
    </row>
    <row r="600" spans="1:1" x14ac:dyDescent="0.3">
      <c r="A600" s="26">
        <v>1</v>
      </c>
    </row>
    <row r="601" spans="1:1" x14ac:dyDescent="0.3">
      <c r="A601" s="27">
        <v>1</v>
      </c>
    </row>
    <row r="602" spans="1:1" x14ac:dyDescent="0.3">
      <c r="A602" s="26">
        <v>1</v>
      </c>
    </row>
    <row r="603" spans="1:1" x14ac:dyDescent="0.3">
      <c r="A603" s="27">
        <v>1</v>
      </c>
    </row>
    <row r="604" spans="1:1" x14ac:dyDescent="0.3">
      <c r="A604" s="26">
        <v>1</v>
      </c>
    </row>
    <row r="605" spans="1:1" x14ac:dyDescent="0.3">
      <c r="A605" s="27">
        <v>1</v>
      </c>
    </row>
    <row r="606" spans="1:1" x14ac:dyDescent="0.3">
      <c r="A606" s="26">
        <v>1</v>
      </c>
    </row>
    <row r="607" spans="1:1" x14ac:dyDescent="0.3">
      <c r="A607" s="27">
        <v>1</v>
      </c>
    </row>
    <row r="608" spans="1:1" x14ac:dyDescent="0.3">
      <c r="A608" s="26">
        <v>1</v>
      </c>
    </row>
    <row r="609" spans="1:1" x14ac:dyDescent="0.3">
      <c r="A609" s="27">
        <v>1</v>
      </c>
    </row>
    <row r="610" spans="1:1" x14ac:dyDescent="0.3">
      <c r="A610" s="26">
        <v>1</v>
      </c>
    </row>
    <row r="611" spans="1:1" x14ac:dyDescent="0.3">
      <c r="A611" s="27">
        <v>1</v>
      </c>
    </row>
    <row r="612" spans="1:1" x14ac:dyDescent="0.3">
      <c r="A612" s="26">
        <v>1</v>
      </c>
    </row>
    <row r="613" spans="1:1" x14ac:dyDescent="0.3">
      <c r="A613" s="27">
        <v>1</v>
      </c>
    </row>
    <row r="614" spans="1:1" x14ac:dyDescent="0.3">
      <c r="A614" s="26">
        <v>1</v>
      </c>
    </row>
    <row r="615" spans="1:1" x14ac:dyDescent="0.3">
      <c r="A615" s="27">
        <v>1</v>
      </c>
    </row>
    <row r="616" spans="1:1" x14ac:dyDescent="0.3">
      <c r="A616" s="26">
        <v>1</v>
      </c>
    </row>
    <row r="617" spans="1:1" x14ac:dyDescent="0.3">
      <c r="A617" s="27">
        <v>1</v>
      </c>
    </row>
    <row r="618" spans="1:1" x14ac:dyDescent="0.3">
      <c r="A618" s="26">
        <v>1</v>
      </c>
    </row>
    <row r="619" spans="1:1" x14ac:dyDescent="0.3">
      <c r="A619" s="27">
        <v>1</v>
      </c>
    </row>
    <row r="620" spans="1:1" x14ac:dyDescent="0.3">
      <c r="A620" s="26">
        <v>1</v>
      </c>
    </row>
    <row r="621" spans="1:1" x14ac:dyDescent="0.3">
      <c r="A621" s="27">
        <v>1</v>
      </c>
    </row>
    <row r="622" spans="1:1" x14ac:dyDescent="0.3">
      <c r="A622" s="26">
        <v>1</v>
      </c>
    </row>
    <row r="623" spans="1:1" x14ac:dyDescent="0.3">
      <c r="A623" s="27">
        <v>1</v>
      </c>
    </row>
    <row r="624" spans="1:1" x14ac:dyDescent="0.3">
      <c r="A624" s="26">
        <v>1</v>
      </c>
    </row>
    <row r="625" spans="1:1" x14ac:dyDescent="0.3">
      <c r="A625" s="27">
        <v>1</v>
      </c>
    </row>
    <row r="626" spans="1:1" x14ac:dyDescent="0.3">
      <c r="A626" s="26">
        <v>1</v>
      </c>
    </row>
    <row r="627" spans="1:1" x14ac:dyDescent="0.3">
      <c r="A627" s="27">
        <v>1</v>
      </c>
    </row>
    <row r="628" spans="1:1" x14ac:dyDescent="0.3">
      <c r="A628" s="26">
        <v>1</v>
      </c>
    </row>
    <row r="629" spans="1:1" x14ac:dyDescent="0.3">
      <c r="A629" s="27">
        <v>1</v>
      </c>
    </row>
    <row r="630" spans="1:1" x14ac:dyDescent="0.3">
      <c r="A630" s="26">
        <v>1</v>
      </c>
    </row>
    <row r="631" spans="1:1" x14ac:dyDescent="0.3">
      <c r="A631" s="27">
        <v>1</v>
      </c>
    </row>
    <row r="632" spans="1:1" x14ac:dyDescent="0.3">
      <c r="A632" s="26">
        <v>1</v>
      </c>
    </row>
    <row r="633" spans="1:1" x14ac:dyDescent="0.3">
      <c r="A633" s="27">
        <v>1</v>
      </c>
    </row>
    <row r="634" spans="1:1" x14ac:dyDescent="0.3">
      <c r="A634" s="26">
        <v>1</v>
      </c>
    </row>
    <row r="635" spans="1:1" x14ac:dyDescent="0.3">
      <c r="A635" s="27">
        <v>1</v>
      </c>
    </row>
    <row r="636" spans="1:1" x14ac:dyDescent="0.3">
      <c r="A636" s="26">
        <v>1</v>
      </c>
    </row>
    <row r="637" spans="1:1" x14ac:dyDescent="0.3">
      <c r="A637" s="27">
        <v>1</v>
      </c>
    </row>
    <row r="638" spans="1:1" x14ac:dyDescent="0.3">
      <c r="A638" s="26">
        <v>1</v>
      </c>
    </row>
    <row r="639" spans="1:1" x14ac:dyDescent="0.3">
      <c r="A639" s="27">
        <v>1</v>
      </c>
    </row>
    <row r="640" spans="1:1" x14ac:dyDescent="0.3">
      <c r="A640" s="26">
        <v>1</v>
      </c>
    </row>
    <row r="641" spans="1:1" x14ac:dyDescent="0.3">
      <c r="A641" s="27">
        <v>1</v>
      </c>
    </row>
    <row r="642" spans="1:1" x14ac:dyDescent="0.3">
      <c r="A642" s="26">
        <v>1</v>
      </c>
    </row>
    <row r="643" spans="1:1" x14ac:dyDescent="0.3">
      <c r="A643" s="27">
        <v>1</v>
      </c>
    </row>
    <row r="644" spans="1:1" x14ac:dyDescent="0.3">
      <c r="A644" s="26">
        <v>1</v>
      </c>
    </row>
    <row r="645" spans="1:1" x14ac:dyDescent="0.3">
      <c r="A645" s="27">
        <v>1</v>
      </c>
    </row>
    <row r="646" spans="1:1" x14ac:dyDescent="0.3">
      <c r="A646" s="26">
        <v>1</v>
      </c>
    </row>
    <row r="647" spans="1:1" x14ac:dyDescent="0.3">
      <c r="A647" s="27">
        <v>1</v>
      </c>
    </row>
    <row r="648" spans="1:1" x14ac:dyDescent="0.3">
      <c r="A648" s="26">
        <v>1</v>
      </c>
    </row>
    <row r="649" spans="1:1" x14ac:dyDescent="0.3">
      <c r="A649" s="27">
        <v>1</v>
      </c>
    </row>
    <row r="650" spans="1:1" x14ac:dyDescent="0.3">
      <c r="A650" s="26">
        <v>1</v>
      </c>
    </row>
    <row r="651" spans="1:1" x14ac:dyDescent="0.3">
      <c r="A651" s="27">
        <v>1</v>
      </c>
    </row>
    <row r="652" spans="1:1" x14ac:dyDescent="0.3">
      <c r="A652" s="26">
        <v>1</v>
      </c>
    </row>
    <row r="653" spans="1:1" x14ac:dyDescent="0.3">
      <c r="A653" s="27">
        <v>1</v>
      </c>
    </row>
    <row r="654" spans="1:1" x14ac:dyDescent="0.3">
      <c r="A654" s="26">
        <v>1</v>
      </c>
    </row>
    <row r="655" spans="1:1" x14ac:dyDescent="0.3">
      <c r="A655" s="27">
        <v>1</v>
      </c>
    </row>
    <row r="656" spans="1:1" x14ac:dyDescent="0.3">
      <c r="A656" s="26">
        <v>1</v>
      </c>
    </row>
    <row r="657" spans="1:1" x14ac:dyDescent="0.3">
      <c r="A657" s="27">
        <v>1</v>
      </c>
    </row>
    <row r="658" spans="1:1" x14ac:dyDescent="0.3">
      <c r="A658" s="26">
        <v>1</v>
      </c>
    </row>
    <row r="659" spans="1:1" x14ac:dyDescent="0.3">
      <c r="A659" s="27">
        <v>1</v>
      </c>
    </row>
    <row r="660" spans="1:1" x14ac:dyDescent="0.3">
      <c r="A660" s="26">
        <v>1</v>
      </c>
    </row>
    <row r="661" spans="1:1" x14ac:dyDescent="0.3">
      <c r="A661" s="27">
        <v>1</v>
      </c>
    </row>
    <row r="662" spans="1:1" x14ac:dyDescent="0.3">
      <c r="A662" s="26">
        <v>1</v>
      </c>
    </row>
    <row r="663" spans="1:1" x14ac:dyDescent="0.3">
      <c r="A663" s="27">
        <v>1</v>
      </c>
    </row>
    <row r="664" spans="1:1" x14ac:dyDescent="0.3">
      <c r="A664" s="26">
        <v>1</v>
      </c>
    </row>
    <row r="665" spans="1:1" x14ac:dyDescent="0.3">
      <c r="A665" s="27">
        <v>1</v>
      </c>
    </row>
    <row r="666" spans="1:1" x14ac:dyDescent="0.3">
      <c r="A666" s="26">
        <v>1</v>
      </c>
    </row>
    <row r="667" spans="1:1" x14ac:dyDescent="0.3">
      <c r="A667" s="27">
        <v>1</v>
      </c>
    </row>
    <row r="668" spans="1:1" x14ac:dyDescent="0.3">
      <c r="A668" s="26">
        <v>1</v>
      </c>
    </row>
    <row r="669" spans="1:1" x14ac:dyDescent="0.3">
      <c r="A669" s="27">
        <v>1</v>
      </c>
    </row>
    <row r="670" spans="1:1" x14ac:dyDescent="0.3">
      <c r="A670" s="26">
        <v>1</v>
      </c>
    </row>
    <row r="671" spans="1:1" x14ac:dyDescent="0.3">
      <c r="A671" s="27">
        <v>1</v>
      </c>
    </row>
    <row r="672" spans="1:1" x14ac:dyDescent="0.3">
      <c r="A672" s="26">
        <v>1</v>
      </c>
    </row>
    <row r="673" spans="1:1" x14ac:dyDescent="0.3">
      <c r="A673" s="27">
        <v>1</v>
      </c>
    </row>
    <row r="674" spans="1:1" x14ac:dyDescent="0.3">
      <c r="A674" s="26">
        <v>1</v>
      </c>
    </row>
    <row r="675" spans="1:1" x14ac:dyDescent="0.3">
      <c r="A675" s="27">
        <v>1</v>
      </c>
    </row>
    <row r="676" spans="1:1" x14ac:dyDescent="0.3">
      <c r="A676" s="26">
        <v>1</v>
      </c>
    </row>
    <row r="677" spans="1:1" x14ac:dyDescent="0.3">
      <c r="A677" s="27">
        <v>1</v>
      </c>
    </row>
    <row r="678" spans="1:1" x14ac:dyDescent="0.3">
      <c r="A678" s="26">
        <v>1</v>
      </c>
    </row>
    <row r="679" spans="1:1" x14ac:dyDescent="0.3">
      <c r="A679" s="27">
        <v>1</v>
      </c>
    </row>
    <row r="680" spans="1:1" x14ac:dyDescent="0.3">
      <c r="A680" s="26">
        <v>1</v>
      </c>
    </row>
    <row r="681" spans="1:1" x14ac:dyDescent="0.3">
      <c r="A681" s="27">
        <v>1</v>
      </c>
    </row>
    <row r="682" spans="1:1" x14ac:dyDescent="0.3">
      <c r="A682" s="26">
        <v>1</v>
      </c>
    </row>
    <row r="683" spans="1:1" x14ac:dyDescent="0.3">
      <c r="A683" s="27">
        <v>1</v>
      </c>
    </row>
    <row r="684" spans="1:1" x14ac:dyDescent="0.3">
      <c r="A684" s="26">
        <v>1</v>
      </c>
    </row>
    <row r="685" spans="1:1" x14ac:dyDescent="0.3">
      <c r="A685" s="27">
        <v>1</v>
      </c>
    </row>
    <row r="686" spans="1:1" x14ac:dyDescent="0.3">
      <c r="A686" s="26">
        <v>1</v>
      </c>
    </row>
    <row r="687" spans="1:1" x14ac:dyDescent="0.3">
      <c r="A687" s="27">
        <v>1</v>
      </c>
    </row>
    <row r="688" spans="1:1" x14ac:dyDescent="0.3">
      <c r="A688" s="26">
        <v>1</v>
      </c>
    </row>
    <row r="689" spans="1:1" x14ac:dyDescent="0.3">
      <c r="A689" s="27">
        <v>1</v>
      </c>
    </row>
    <row r="690" spans="1:1" x14ac:dyDescent="0.3">
      <c r="A690" s="26">
        <v>1</v>
      </c>
    </row>
    <row r="691" spans="1:1" x14ac:dyDescent="0.3">
      <c r="A691" s="27">
        <v>1</v>
      </c>
    </row>
    <row r="692" spans="1:1" x14ac:dyDescent="0.3">
      <c r="A692" s="26">
        <v>1</v>
      </c>
    </row>
    <row r="693" spans="1:1" x14ac:dyDescent="0.3">
      <c r="A693" s="27">
        <v>1</v>
      </c>
    </row>
    <row r="694" spans="1:1" x14ac:dyDescent="0.3">
      <c r="A694" s="26">
        <v>1</v>
      </c>
    </row>
    <row r="695" spans="1:1" x14ac:dyDescent="0.3">
      <c r="A695" s="27">
        <v>1</v>
      </c>
    </row>
    <row r="696" spans="1:1" x14ac:dyDescent="0.3">
      <c r="A696" s="26">
        <v>1</v>
      </c>
    </row>
    <row r="697" spans="1:1" x14ac:dyDescent="0.3">
      <c r="A697" s="27">
        <v>1</v>
      </c>
    </row>
    <row r="698" spans="1:1" x14ac:dyDescent="0.3">
      <c r="A698" s="26">
        <v>1</v>
      </c>
    </row>
    <row r="699" spans="1:1" x14ac:dyDescent="0.3">
      <c r="A699" s="27">
        <v>1</v>
      </c>
    </row>
    <row r="700" spans="1:1" x14ac:dyDescent="0.3">
      <c r="A700" s="26">
        <v>1</v>
      </c>
    </row>
    <row r="701" spans="1:1" x14ac:dyDescent="0.3">
      <c r="A701" s="27">
        <v>1</v>
      </c>
    </row>
    <row r="702" spans="1:1" x14ac:dyDescent="0.3">
      <c r="A702" s="26">
        <v>1</v>
      </c>
    </row>
    <row r="703" spans="1:1" x14ac:dyDescent="0.3">
      <c r="A703" s="27">
        <v>1</v>
      </c>
    </row>
    <row r="704" spans="1:1" x14ac:dyDescent="0.3">
      <c r="A704" s="26">
        <v>1</v>
      </c>
    </row>
    <row r="705" spans="1:1" x14ac:dyDescent="0.3">
      <c r="A705" s="27">
        <v>1</v>
      </c>
    </row>
    <row r="706" spans="1:1" x14ac:dyDescent="0.3">
      <c r="A706" s="26">
        <v>1</v>
      </c>
    </row>
    <row r="707" spans="1:1" x14ac:dyDescent="0.3">
      <c r="A707" s="27">
        <v>1</v>
      </c>
    </row>
    <row r="708" spans="1:1" x14ac:dyDescent="0.3">
      <c r="A708" s="26">
        <v>1</v>
      </c>
    </row>
    <row r="709" spans="1:1" x14ac:dyDescent="0.3">
      <c r="A709" s="27">
        <v>1</v>
      </c>
    </row>
    <row r="710" spans="1:1" x14ac:dyDescent="0.3">
      <c r="A710" s="26">
        <v>1</v>
      </c>
    </row>
    <row r="711" spans="1:1" x14ac:dyDescent="0.3">
      <c r="A711" s="27">
        <v>1</v>
      </c>
    </row>
    <row r="712" spans="1:1" x14ac:dyDescent="0.3">
      <c r="A712" s="26">
        <v>1</v>
      </c>
    </row>
    <row r="713" spans="1:1" x14ac:dyDescent="0.3">
      <c r="A713" s="27">
        <v>1</v>
      </c>
    </row>
    <row r="714" spans="1:1" x14ac:dyDescent="0.3">
      <c r="A714" s="26">
        <v>1</v>
      </c>
    </row>
    <row r="715" spans="1:1" x14ac:dyDescent="0.3">
      <c r="A715" s="27">
        <v>1</v>
      </c>
    </row>
    <row r="716" spans="1:1" x14ac:dyDescent="0.3">
      <c r="A716" s="26">
        <v>1</v>
      </c>
    </row>
    <row r="717" spans="1:1" x14ac:dyDescent="0.3">
      <c r="A717" s="27">
        <v>1</v>
      </c>
    </row>
    <row r="718" spans="1:1" x14ac:dyDescent="0.3">
      <c r="A718" s="26">
        <v>1</v>
      </c>
    </row>
    <row r="719" spans="1:1" x14ac:dyDescent="0.3">
      <c r="A719" s="27">
        <v>1</v>
      </c>
    </row>
    <row r="720" spans="1:1" x14ac:dyDescent="0.3">
      <c r="A720" s="26">
        <v>1</v>
      </c>
    </row>
    <row r="721" spans="1:1" x14ac:dyDescent="0.3">
      <c r="A721" s="27">
        <v>1</v>
      </c>
    </row>
    <row r="722" spans="1:1" x14ac:dyDescent="0.3">
      <c r="A722" s="26">
        <v>1</v>
      </c>
    </row>
    <row r="723" spans="1:1" x14ac:dyDescent="0.3">
      <c r="A723" s="27">
        <v>1</v>
      </c>
    </row>
    <row r="724" spans="1:1" x14ac:dyDescent="0.3">
      <c r="A724" s="26">
        <v>1</v>
      </c>
    </row>
    <row r="725" spans="1:1" x14ac:dyDescent="0.3">
      <c r="A725" s="27">
        <v>1</v>
      </c>
    </row>
    <row r="726" spans="1:1" x14ac:dyDescent="0.3">
      <c r="A726" s="26">
        <v>1</v>
      </c>
    </row>
    <row r="727" spans="1:1" x14ac:dyDescent="0.3">
      <c r="A727" s="27">
        <v>1</v>
      </c>
    </row>
    <row r="728" spans="1:1" x14ac:dyDescent="0.3">
      <c r="A728" s="26">
        <v>1</v>
      </c>
    </row>
    <row r="729" spans="1:1" x14ac:dyDescent="0.3">
      <c r="A729" s="27">
        <v>1</v>
      </c>
    </row>
    <row r="730" spans="1:1" x14ac:dyDescent="0.3">
      <c r="A730" s="26">
        <v>1</v>
      </c>
    </row>
    <row r="731" spans="1:1" x14ac:dyDescent="0.3">
      <c r="A731" s="27">
        <v>1</v>
      </c>
    </row>
    <row r="732" spans="1:1" x14ac:dyDescent="0.3">
      <c r="A732" s="26">
        <v>1</v>
      </c>
    </row>
    <row r="733" spans="1:1" x14ac:dyDescent="0.3">
      <c r="A733" s="27">
        <v>1</v>
      </c>
    </row>
    <row r="734" spans="1:1" x14ac:dyDescent="0.3">
      <c r="A734" s="26">
        <v>1</v>
      </c>
    </row>
    <row r="735" spans="1:1" x14ac:dyDescent="0.3">
      <c r="A735" s="27">
        <v>1</v>
      </c>
    </row>
    <row r="736" spans="1:1" x14ac:dyDescent="0.3">
      <c r="A736" s="26">
        <v>1</v>
      </c>
    </row>
    <row r="737" spans="1:1" x14ac:dyDescent="0.3">
      <c r="A737" s="27">
        <v>1</v>
      </c>
    </row>
    <row r="738" spans="1:1" x14ac:dyDescent="0.3">
      <c r="A738" s="26">
        <v>1</v>
      </c>
    </row>
    <row r="739" spans="1:1" x14ac:dyDescent="0.3">
      <c r="A739" s="27">
        <v>1</v>
      </c>
    </row>
    <row r="740" spans="1:1" x14ac:dyDescent="0.3">
      <c r="A740" s="26">
        <v>1</v>
      </c>
    </row>
    <row r="741" spans="1:1" x14ac:dyDescent="0.3">
      <c r="A741" s="27">
        <v>1</v>
      </c>
    </row>
    <row r="742" spans="1:1" x14ac:dyDescent="0.3">
      <c r="A742" s="26">
        <v>1</v>
      </c>
    </row>
    <row r="743" spans="1:1" x14ac:dyDescent="0.3">
      <c r="A743" s="27">
        <v>1</v>
      </c>
    </row>
    <row r="744" spans="1:1" x14ac:dyDescent="0.3">
      <c r="A744" s="26">
        <v>1</v>
      </c>
    </row>
    <row r="745" spans="1:1" x14ac:dyDescent="0.3">
      <c r="A745" s="27">
        <v>1</v>
      </c>
    </row>
    <row r="746" spans="1:1" x14ac:dyDescent="0.3">
      <c r="A746" s="26">
        <v>1</v>
      </c>
    </row>
    <row r="747" spans="1:1" x14ac:dyDescent="0.3">
      <c r="A747" s="27">
        <v>1</v>
      </c>
    </row>
    <row r="748" spans="1:1" x14ac:dyDescent="0.3">
      <c r="A748" s="26">
        <v>2</v>
      </c>
    </row>
    <row r="749" spans="1:1" x14ac:dyDescent="0.3">
      <c r="A749" s="27">
        <v>1</v>
      </c>
    </row>
    <row r="750" spans="1:1" x14ac:dyDescent="0.3">
      <c r="A750" s="26">
        <v>1</v>
      </c>
    </row>
    <row r="751" spans="1:1" x14ac:dyDescent="0.3">
      <c r="A751" s="27">
        <v>1</v>
      </c>
    </row>
    <row r="752" spans="1:1" x14ac:dyDescent="0.3">
      <c r="A752" s="26">
        <v>1</v>
      </c>
    </row>
    <row r="753" spans="1:1" x14ac:dyDescent="0.3">
      <c r="A753" s="27">
        <v>1</v>
      </c>
    </row>
    <row r="754" spans="1:1" x14ac:dyDescent="0.3">
      <c r="A754" s="26">
        <v>1</v>
      </c>
    </row>
    <row r="755" spans="1:1" x14ac:dyDescent="0.3">
      <c r="A755" s="27">
        <v>1</v>
      </c>
    </row>
    <row r="756" spans="1:1" x14ac:dyDescent="0.3">
      <c r="A756" s="26">
        <v>1</v>
      </c>
    </row>
    <row r="757" spans="1:1" x14ac:dyDescent="0.3">
      <c r="A757" s="27">
        <v>1</v>
      </c>
    </row>
    <row r="758" spans="1:1" x14ac:dyDescent="0.3">
      <c r="A758" s="26">
        <v>1</v>
      </c>
    </row>
    <row r="759" spans="1:1" x14ac:dyDescent="0.3">
      <c r="A759" s="27">
        <v>1</v>
      </c>
    </row>
    <row r="760" spans="1:1" x14ac:dyDescent="0.3">
      <c r="A760" s="26">
        <v>1</v>
      </c>
    </row>
    <row r="761" spans="1:1" x14ac:dyDescent="0.3">
      <c r="A761" s="27">
        <v>1</v>
      </c>
    </row>
    <row r="762" spans="1:1" x14ac:dyDescent="0.3">
      <c r="A762" s="26">
        <v>1</v>
      </c>
    </row>
    <row r="763" spans="1:1" x14ac:dyDescent="0.3">
      <c r="A763" s="27">
        <v>1</v>
      </c>
    </row>
    <row r="764" spans="1:1" x14ac:dyDescent="0.3">
      <c r="A764" s="26">
        <v>1</v>
      </c>
    </row>
    <row r="765" spans="1:1" x14ac:dyDescent="0.3">
      <c r="A765" s="27">
        <v>1</v>
      </c>
    </row>
    <row r="766" spans="1:1" x14ac:dyDescent="0.3">
      <c r="A766" s="26">
        <v>1</v>
      </c>
    </row>
    <row r="767" spans="1:1" x14ac:dyDescent="0.3">
      <c r="A767" s="27">
        <v>1</v>
      </c>
    </row>
    <row r="768" spans="1:1" x14ac:dyDescent="0.3">
      <c r="A768" s="26">
        <v>1</v>
      </c>
    </row>
    <row r="769" spans="1:1" x14ac:dyDescent="0.3">
      <c r="A769" s="27">
        <v>1</v>
      </c>
    </row>
    <row r="770" spans="1:1" x14ac:dyDescent="0.3">
      <c r="A770" s="26">
        <v>1</v>
      </c>
    </row>
    <row r="771" spans="1:1" x14ac:dyDescent="0.3">
      <c r="A771" s="27">
        <v>1</v>
      </c>
    </row>
    <row r="772" spans="1:1" x14ac:dyDescent="0.3">
      <c r="A772" s="26">
        <v>1</v>
      </c>
    </row>
    <row r="773" spans="1:1" x14ac:dyDescent="0.3">
      <c r="A773" s="27">
        <v>1</v>
      </c>
    </row>
    <row r="774" spans="1:1" x14ac:dyDescent="0.3">
      <c r="A774" s="26">
        <v>1</v>
      </c>
    </row>
    <row r="775" spans="1:1" x14ac:dyDescent="0.3">
      <c r="A775" s="27">
        <v>1</v>
      </c>
    </row>
    <row r="776" spans="1:1" x14ac:dyDescent="0.3">
      <c r="A776" s="26">
        <v>1</v>
      </c>
    </row>
    <row r="777" spans="1:1" x14ac:dyDescent="0.3">
      <c r="A777" s="27">
        <v>1</v>
      </c>
    </row>
    <row r="778" spans="1:1" x14ac:dyDescent="0.3">
      <c r="A778" s="26">
        <v>1</v>
      </c>
    </row>
    <row r="779" spans="1:1" x14ac:dyDescent="0.3">
      <c r="A779" s="27">
        <v>1</v>
      </c>
    </row>
    <row r="780" spans="1:1" x14ac:dyDescent="0.3">
      <c r="A780" s="26">
        <v>1</v>
      </c>
    </row>
    <row r="781" spans="1:1" x14ac:dyDescent="0.3">
      <c r="A781" s="27">
        <v>1</v>
      </c>
    </row>
    <row r="782" spans="1:1" x14ac:dyDescent="0.3">
      <c r="A782" s="26">
        <v>1</v>
      </c>
    </row>
    <row r="783" spans="1:1" x14ac:dyDescent="0.3">
      <c r="A783" s="27">
        <v>1</v>
      </c>
    </row>
    <row r="784" spans="1:1" x14ac:dyDescent="0.3">
      <c r="A784" s="26">
        <v>1</v>
      </c>
    </row>
    <row r="785" spans="1:1" x14ac:dyDescent="0.3">
      <c r="A785" s="27">
        <v>1</v>
      </c>
    </row>
    <row r="786" spans="1:1" x14ac:dyDescent="0.3">
      <c r="A786" s="26">
        <v>1</v>
      </c>
    </row>
    <row r="787" spans="1:1" x14ac:dyDescent="0.3">
      <c r="A787" s="27">
        <v>1</v>
      </c>
    </row>
    <row r="788" spans="1:1" x14ac:dyDescent="0.3">
      <c r="A788" s="26">
        <v>1</v>
      </c>
    </row>
    <row r="789" spans="1:1" x14ac:dyDescent="0.3">
      <c r="A789" s="27">
        <v>1</v>
      </c>
    </row>
    <row r="790" spans="1:1" x14ac:dyDescent="0.3">
      <c r="A790" s="26">
        <v>1</v>
      </c>
    </row>
    <row r="791" spans="1:1" x14ac:dyDescent="0.3">
      <c r="A791" s="27">
        <v>1</v>
      </c>
    </row>
    <row r="792" spans="1:1" x14ac:dyDescent="0.3">
      <c r="A792" s="26">
        <v>1</v>
      </c>
    </row>
    <row r="793" spans="1:1" x14ac:dyDescent="0.3">
      <c r="A793" s="27">
        <v>2</v>
      </c>
    </row>
    <row r="794" spans="1:1" x14ac:dyDescent="0.3">
      <c r="A794" s="26">
        <v>1</v>
      </c>
    </row>
    <row r="795" spans="1:1" x14ac:dyDescent="0.3">
      <c r="A795" s="27">
        <v>1</v>
      </c>
    </row>
    <row r="796" spans="1:1" x14ac:dyDescent="0.3">
      <c r="A796" s="26">
        <v>1</v>
      </c>
    </row>
    <row r="797" spans="1:1" x14ac:dyDescent="0.3">
      <c r="A797" s="27">
        <v>1</v>
      </c>
    </row>
    <row r="798" spans="1:1" x14ac:dyDescent="0.3">
      <c r="A798" s="26">
        <v>1</v>
      </c>
    </row>
    <row r="799" spans="1:1" x14ac:dyDescent="0.3">
      <c r="A799" s="27">
        <v>1</v>
      </c>
    </row>
    <row r="800" spans="1:1" x14ac:dyDescent="0.3">
      <c r="A800" s="26">
        <v>1</v>
      </c>
    </row>
    <row r="801" spans="1:1" x14ac:dyDescent="0.3">
      <c r="A801" s="27">
        <v>1</v>
      </c>
    </row>
    <row r="802" spans="1:1" x14ac:dyDescent="0.3">
      <c r="A802" s="26">
        <v>1</v>
      </c>
    </row>
    <row r="803" spans="1:1" x14ac:dyDescent="0.3">
      <c r="A803" s="27">
        <v>1</v>
      </c>
    </row>
    <row r="804" spans="1:1" x14ac:dyDescent="0.3">
      <c r="A804" s="26">
        <v>1</v>
      </c>
    </row>
    <row r="805" spans="1:1" x14ac:dyDescent="0.3">
      <c r="A805" s="27">
        <v>1</v>
      </c>
    </row>
    <row r="806" spans="1:1" x14ac:dyDescent="0.3">
      <c r="A806" s="26">
        <v>1</v>
      </c>
    </row>
    <row r="807" spans="1:1" x14ac:dyDescent="0.3">
      <c r="A807" s="27">
        <v>1</v>
      </c>
    </row>
    <row r="808" spans="1:1" x14ac:dyDescent="0.3">
      <c r="A808" s="26">
        <v>1</v>
      </c>
    </row>
    <row r="809" spans="1:1" x14ac:dyDescent="0.3">
      <c r="A809" s="27">
        <v>1</v>
      </c>
    </row>
    <row r="810" spans="1:1" x14ac:dyDescent="0.3">
      <c r="A810" s="26">
        <v>1</v>
      </c>
    </row>
    <row r="811" spans="1:1" x14ac:dyDescent="0.3">
      <c r="A811" s="27">
        <v>1</v>
      </c>
    </row>
    <row r="812" spans="1:1" x14ac:dyDescent="0.3">
      <c r="A812" s="26">
        <v>1</v>
      </c>
    </row>
    <row r="813" spans="1:1" x14ac:dyDescent="0.3">
      <c r="A813" s="27">
        <v>1</v>
      </c>
    </row>
    <row r="814" spans="1:1" x14ac:dyDescent="0.3">
      <c r="A814" s="26">
        <v>1</v>
      </c>
    </row>
    <row r="815" spans="1:1" x14ac:dyDescent="0.3">
      <c r="A815" s="27">
        <v>1</v>
      </c>
    </row>
    <row r="816" spans="1:1" x14ac:dyDescent="0.3">
      <c r="A816" s="26">
        <v>1</v>
      </c>
    </row>
    <row r="817" spans="1:1" x14ac:dyDescent="0.3">
      <c r="A817" s="27">
        <v>1</v>
      </c>
    </row>
    <row r="818" spans="1:1" x14ac:dyDescent="0.3">
      <c r="A818" s="26">
        <v>1</v>
      </c>
    </row>
    <row r="819" spans="1:1" x14ac:dyDescent="0.3">
      <c r="A819" s="27">
        <v>1</v>
      </c>
    </row>
    <row r="820" spans="1:1" x14ac:dyDescent="0.3">
      <c r="A820" s="26">
        <v>1</v>
      </c>
    </row>
    <row r="821" spans="1:1" x14ac:dyDescent="0.3">
      <c r="A821" s="27">
        <v>1</v>
      </c>
    </row>
    <row r="822" spans="1:1" x14ac:dyDescent="0.3">
      <c r="A822" s="26">
        <v>1</v>
      </c>
    </row>
    <row r="823" spans="1:1" x14ac:dyDescent="0.3">
      <c r="A823" s="27">
        <v>1</v>
      </c>
    </row>
    <row r="824" spans="1:1" x14ac:dyDescent="0.3">
      <c r="A824" s="26">
        <v>1</v>
      </c>
    </row>
    <row r="825" spans="1:1" x14ac:dyDescent="0.3">
      <c r="A825" s="27">
        <v>1</v>
      </c>
    </row>
    <row r="826" spans="1:1" x14ac:dyDescent="0.3">
      <c r="A826" s="26">
        <v>1</v>
      </c>
    </row>
    <row r="827" spans="1:1" x14ac:dyDescent="0.3">
      <c r="A827" s="27">
        <v>1</v>
      </c>
    </row>
    <row r="828" spans="1:1" x14ac:dyDescent="0.3">
      <c r="A828" s="26">
        <v>1</v>
      </c>
    </row>
    <row r="829" spans="1:1" x14ac:dyDescent="0.3">
      <c r="A829" s="27">
        <v>1</v>
      </c>
    </row>
    <row r="830" spans="1:1" x14ac:dyDescent="0.3">
      <c r="A830" s="26">
        <v>1</v>
      </c>
    </row>
    <row r="831" spans="1:1" x14ac:dyDescent="0.3">
      <c r="A831" s="27">
        <v>1</v>
      </c>
    </row>
    <row r="832" spans="1:1" x14ac:dyDescent="0.3">
      <c r="A832" s="26">
        <v>1</v>
      </c>
    </row>
    <row r="833" spans="1:1" x14ac:dyDescent="0.3">
      <c r="A833" s="27">
        <v>1</v>
      </c>
    </row>
    <row r="834" spans="1:1" x14ac:dyDescent="0.3">
      <c r="A834" s="26">
        <v>1</v>
      </c>
    </row>
    <row r="835" spans="1:1" x14ac:dyDescent="0.3">
      <c r="A835" s="27">
        <v>1</v>
      </c>
    </row>
    <row r="836" spans="1:1" x14ac:dyDescent="0.3">
      <c r="A836" s="26">
        <v>1</v>
      </c>
    </row>
    <row r="837" spans="1:1" x14ac:dyDescent="0.3">
      <c r="A837" s="27">
        <v>1</v>
      </c>
    </row>
    <row r="838" spans="1:1" x14ac:dyDescent="0.3">
      <c r="A838" s="26">
        <v>1</v>
      </c>
    </row>
    <row r="839" spans="1:1" x14ac:dyDescent="0.3">
      <c r="A839" s="27">
        <v>1</v>
      </c>
    </row>
    <row r="840" spans="1:1" x14ac:dyDescent="0.3">
      <c r="A840" s="26">
        <v>1</v>
      </c>
    </row>
    <row r="841" spans="1:1" x14ac:dyDescent="0.3">
      <c r="A841" s="27">
        <v>1</v>
      </c>
    </row>
    <row r="842" spans="1:1" x14ac:dyDescent="0.3">
      <c r="A842" s="26">
        <v>1</v>
      </c>
    </row>
    <row r="843" spans="1:1" x14ac:dyDescent="0.3">
      <c r="A843" s="27">
        <v>1</v>
      </c>
    </row>
    <row r="844" spans="1:1" x14ac:dyDescent="0.3">
      <c r="A844" s="26">
        <v>1</v>
      </c>
    </row>
    <row r="845" spans="1:1" x14ac:dyDescent="0.3">
      <c r="A845" s="27">
        <v>1</v>
      </c>
    </row>
    <row r="846" spans="1:1" x14ac:dyDescent="0.3">
      <c r="A846" s="26">
        <v>1</v>
      </c>
    </row>
    <row r="847" spans="1:1" x14ac:dyDescent="0.3">
      <c r="A847" s="27">
        <v>1</v>
      </c>
    </row>
    <row r="848" spans="1:1" x14ac:dyDescent="0.3">
      <c r="A848" s="26">
        <v>1</v>
      </c>
    </row>
    <row r="849" spans="1:1" x14ac:dyDescent="0.3">
      <c r="A849" s="27">
        <v>1</v>
      </c>
    </row>
    <row r="850" spans="1:1" x14ac:dyDescent="0.3">
      <c r="A850" s="26">
        <v>1</v>
      </c>
    </row>
    <row r="851" spans="1:1" x14ac:dyDescent="0.3">
      <c r="A851" s="27">
        <v>1</v>
      </c>
    </row>
    <row r="852" spans="1:1" x14ac:dyDescent="0.3">
      <c r="A852" s="26">
        <v>1</v>
      </c>
    </row>
    <row r="853" spans="1:1" x14ac:dyDescent="0.3">
      <c r="A853" s="27">
        <v>1</v>
      </c>
    </row>
    <row r="854" spans="1:1" x14ac:dyDescent="0.3">
      <c r="A854" s="26">
        <v>1</v>
      </c>
    </row>
    <row r="855" spans="1:1" x14ac:dyDescent="0.3">
      <c r="A855" s="27">
        <v>1</v>
      </c>
    </row>
    <row r="856" spans="1:1" x14ac:dyDescent="0.3">
      <c r="A856" s="26">
        <v>1</v>
      </c>
    </row>
    <row r="857" spans="1:1" x14ac:dyDescent="0.3">
      <c r="A857" s="27">
        <v>1</v>
      </c>
    </row>
    <row r="858" spans="1:1" x14ac:dyDescent="0.3">
      <c r="A858" s="26">
        <v>1</v>
      </c>
    </row>
    <row r="859" spans="1:1" x14ac:dyDescent="0.3">
      <c r="A859" s="27">
        <v>1</v>
      </c>
    </row>
    <row r="860" spans="1:1" x14ac:dyDescent="0.3">
      <c r="A860" s="26">
        <v>1</v>
      </c>
    </row>
    <row r="861" spans="1:1" x14ac:dyDescent="0.3">
      <c r="A861" s="27">
        <v>1</v>
      </c>
    </row>
    <row r="862" spans="1:1" x14ac:dyDescent="0.3">
      <c r="A862" s="26">
        <v>1</v>
      </c>
    </row>
    <row r="863" spans="1:1" x14ac:dyDescent="0.3">
      <c r="A863" s="27">
        <v>1</v>
      </c>
    </row>
    <row r="864" spans="1:1" x14ac:dyDescent="0.3">
      <c r="A864" s="26">
        <v>1</v>
      </c>
    </row>
    <row r="865" spans="1:1" x14ac:dyDescent="0.3">
      <c r="A865" s="27">
        <v>1</v>
      </c>
    </row>
    <row r="866" spans="1:1" x14ac:dyDescent="0.3">
      <c r="A866" s="26">
        <v>1</v>
      </c>
    </row>
    <row r="867" spans="1:1" x14ac:dyDescent="0.3">
      <c r="A867" s="27">
        <v>1</v>
      </c>
    </row>
    <row r="868" spans="1:1" x14ac:dyDescent="0.3">
      <c r="A868" s="26">
        <v>1</v>
      </c>
    </row>
    <row r="869" spans="1:1" x14ac:dyDescent="0.3">
      <c r="A869" s="27">
        <v>1</v>
      </c>
    </row>
    <row r="870" spans="1:1" x14ac:dyDescent="0.3">
      <c r="A870" s="26">
        <v>1</v>
      </c>
    </row>
    <row r="871" spans="1:1" x14ac:dyDescent="0.3">
      <c r="A871" s="27">
        <v>1</v>
      </c>
    </row>
    <row r="872" spans="1:1" x14ac:dyDescent="0.3">
      <c r="A872" s="26">
        <v>1</v>
      </c>
    </row>
    <row r="873" spans="1:1" x14ac:dyDescent="0.3">
      <c r="A873" s="27">
        <v>1</v>
      </c>
    </row>
    <row r="874" spans="1:1" x14ac:dyDescent="0.3">
      <c r="A874" s="26">
        <v>1</v>
      </c>
    </row>
    <row r="875" spans="1:1" x14ac:dyDescent="0.3">
      <c r="A875" s="27">
        <v>1</v>
      </c>
    </row>
    <row r="876" spans="1:1" x14ac:dyDescent="0.3">
      <c r="A876" s="26">
        <v>1</v>
      </c>
    </row>
    <row r="877" spans="1:1" x14ac:dyDescent="0.3">
      <c r="A877" s="27">
        <v>1</v>
      </c>
    </row>
    <row r="878" spans="1:1" x14ac:dyDescent="0.3">
      <c r="A878" s="26">
        <v>1</v>
      </c>
    </row>
    <row r="879" spans="1:1" x14ac:dyDescent="0.3">
      <c r="A879" s="27">
        <v>1</v>
      </c>
    </row>
    <row r="880" spans="1:1" x14ac:dyDescent="0.3">
      <c r="A880" s="26">
        <v>1</v>
      </c>
    </row>
    <row r="881" spans="1:1" x14ac:dyDescent="0.3">
      <c r="A881" s="27">
        <v>1</v>
      </c>
    </row>
    <row r="882" spans="1:1" x14ac:dyDescent="0.3">
      <c r="A882" s="26">
        <v>1</v>
      </c>
    </row>
    <row r="883" spans="1:1" x14ac:dyDescent="0.3">
      <c r="A883" s="27">
        <v>1</v>
      </c>
    </row>
    <row r="884" spans="1:1" x14ac:dyDescent="0.3">
      <c r="A884" s="26">
        <v>1</v>
      </c>
    </row>
    <row r="885" spans="1:1" x14ac:dyDescent="0.3">
      <c r="A885" s="27">
        <v>1</v>
      </c>
    </row>
    <row r="886" spans="1:1" x14ac:dyDescent="0.3">
      <c r="A886" s="26">
        <v>1</v>
      </c>
    </row>
    <row r="887" spans="1:1" x14ac:dyDescent="0.3">
      <c r="A887" s="27">
        <v>1</v>
      </c>
    </row>
    <row r="888" spans="1:1" x14ac:dyDescent="0.3">
      <c r="A888" s="26">
        <v>1</v>
      </c>
    </row>
    <row r="889" spans="1:1" x14ac:dyDescent="0.3">
      <c r="A889" s="27">
        <v>1</v>
      </c>
    </row>
    <row r="890" spans="1:1" x14ac:dyDescent="0.3">
      <c r="A890" s="26">
        <v>1</v>
      </c>
    </row>
    <row r="891" spans="1:1" x14ac:dyDescent="0.3">
      <c r="A891" s="27">
        <v>1</v>
      </c>
    </row>
    <row r="892" spans="1:1" x14ac:dyDescent="0.3">
      <c r="A892" s="26">
        <v>1</v>
      </c>
    </row>
    <row r="893" spans="1:1" x14ac:dyDescent="0.3">
      <c r="A893" s="27">
        <v>1</v>
      </c>
    </row>
    <row r="894" spans="1:1" x14ac:dyDescent="0.3">
      <c r="A894" s="26">
        <v>1</v>
      </c>
    </row>
    <row r="895" spans="1:1" x14ac:dyDescent="0.3">
      <c r="A895" s="27">
        <v>1</v>
      </c>
    </row>
    <row r="896" spans="1:1" x14ac:dyDescent="0.3">
      <c r="A896" s="26">
        <v>1</v>
      </c>
    </row>
    <row r="897" spans="1:1" x14ac:dyDescent="0.3">
      <c r="A897" s="27">
        <v>1</v>
      </c>
    </row>
    <row r="898" spans="1:1" x14ac:dyDescent="0.3">
      <c r="A898" s="26">
        <v>1</v>
      </c>
    </row>
    <row r="899" spans="1:1" x14ac:dyDescent="0.3">
      <c r="A899" s="27">
        <v>1</v>
      </c>
    </row>
    <row r="900" spans="1:1" x14ac:dyDescent="0.3">
      <c r="A900" s="26">
        <v>1</v>
      </c>
    </row>
    <row r="901" spans="1:1" x14ac:dyDescent="0.3">
      <c r="A901" s="27">
        <v>1</v>
      </c>
    </row>
    <row r="902" spans="1:1" x14ac:dyDescent="0.3">
      <c r="A902" s="26">
        <v>1</v>
      </c>
    </row>
    <row r="903" spans="1:1" x14ac:dyDescent="0.3">
      <c r="A903" s="27">
        <v>1</v>
      </c>
    </row>
    <row r="904" spans="1:1" x14ac:dyDescent="0.3">
      <c r="A904" s="26">
        <v>1</v>
      </c>
    </row>
    <row r="905" spans="1:1" x14ac:dyDescent="0.3">
      <c r="A905" s="27">
        <v>1</v>
      </c>
    </row>
    <row r="906" spans="1:1" x14ac:dyDescent="0.3">
      <c r="A906" s="26">
        <v>1</v>
      </c>
    </row>
    <row r="907" spans="1:1" x14ac:dyDescent="0.3">
      <c r="A907" s="27">
        <v>1</v>
      </c>
    </row>
    <row r="908" spans="1:1" x14ac:dyDescent="0.3">
      <c r="A908" s="26">
        <v>1</v>
      </c>
    </row>
    <row r="909" spans="1:1" x14ac:dyDescent="0.3">
      <c r="A909" s="27">
        <v>1</v>
      </c>
    </row>
    <row r="910" spans="1:1" x14ac:dyDescent="0.3">
      <c r="A910" s="26">
        <v>1</v>
      </c>
    </row>
    <row r="911" spans="1:1" x14ac:dyDescent="0.3">
      <c r="A911" s="27">
        <v>1</v>
      </c>
    </row>
    <row r="912" spans="1:1" x14ac:dyDescent="0.3">
      <c r="A912" s="26">
        <v>1</v>
      </c>
    </row>
    <row r="913" spans="1:1" x14ac:dyDescent="0.3">
      <c r="A913" s="27">
        <v>1</v>
      </c>
    </row>
    <row r="914" spans="1:1" x14ac:dyDescent="0.3">
      <c r="A914" s="26">
        <v>1</v>
      </c>
    </row>
    <row r="915" spans="1:1" x14ac:dyDescent="0.3">
      <c r="A915" s="27">
        <v>1</v>
      </c>
    </row>
    <row r="916" spans="1:1" x14ac:dyDescent="0.3">
      <c r="A916" s="26">
        <v>1</v>
      </c>
    </row>
    <row r="917" spans="1:1" x14ac:dyDescent="0.3">
      <c r="A917" s="27">
        <v>1</v>
      </c>
    </row>
    <row r="918" spans="1:1" x14ac:dyDescent="0.3">
      <c r="A918" s="26">
        <v>1</v>
      </c>
    </row>
    <row r="919" spans="1:1" x14ac:dyDescent="0.3">
      <c r="A919" s="27">
        <v>1</v>
      </c>
    </row>
    <row r="920" spans="1:1" x14ac:dyDescent="0.3">
      <c r="A920" s="26">
        <v>1</v>
      </c>
    </row>
    <row r="921" spans="1:1" x14ac:dyDescent="0.3">
      <c r="A921" s="27">
        <v>1</v>
      </c>
    </row>
    <row r="922" spans="1:1" x14ac:dyDescent="0.3">
      <c r="A922" s="26">
        <v>1</v>
      </c>
    </row>
    <row r="923" spans="1:1" x14ac:dyDescent="0.3">
      <c r="A923" s="27">
        <v>1</v>
      </c>
    </row>
    <row r="924" spans="1:1" x14ac:dyDescent="0.3">
      <c r="A924" s="26">
        <v>1</v>
      </c>
    </row>
    <row r="925" spans="1:1" x14ac:dyDescent="0.3">
      <c r="A925" s="27">
        <v>1</v>
      </c>
    </row>
    <row r="926" spans="1:1" x14ac:dyDescent="0.3">
      <c r="A926" s="26">
        <v>1</v>
      </c>
    </row>
    <row r="927" spans="1:1" x14ac:dyDescent="0.3">
      <c r="A927" s="27">
        <v>1</v>
      </c>
    </row>
    <row r="928" spans="1:1" x14ac:dyDescent="0.3">
      <c r="A928" s="26">
        <v>1</v>
      </c>
    </row>
    <row r="929" spans="1:1" x14ac:dyDescent="0.3">
      <c r="A929" s="27">
        <v>1</v>
      </c>
    </row>
    <row r="930" spans="1:1" x14ac:dyDescent="0.3">
      <c r="A930" s="26">
        <v>1</v>
      </c>
    </row>
    <row r="931" spans="1:1" x14ac:dyDescent="0.3">
      <c r="A931" s="27">
        <v>1</v>
      </c>
    </row>
    <row r="932" spans="1:1" x14ac:dyDescent="0.3">
      <c r="A932" s="26">
        <v>1</v>
      </c>
    </row>
    <row r="933" spans="1:1" x14ac:dyDescent="0.3">
      <c r="A933" s="27">
        <v>1</v>
      </c>
    </row>
    <row r="934" spans="1:1" x14ac:dyDescent="0.3">
      <c r="A934" s="26">
        <v>1</v>
      </c>
    </row>
    <row r="935" spans="1:1" x14ac:dyDescent="0.3">
      <c r="A935" s="27">
        <v>1</v>
      </c>
    </row>
    <row r="936" spans="1:1" x14ac:dyDescent="0.3">
      <c r="A936" s="26">
        <v>1</v>
      </c>
    </row>
    <row r="937" spans="1:1" x14ac:dyDescent="0.3">
      <c r="A937" s="27">
        <v>1</v>
      </c>
    </row>
    <row r="938" spans="1:1" x14ac:dyDescent="0.3">
      <c r="A938" s="26">
        <v>1</v>
      </c>
    </row>
    <row r="939" spans="1:1" x14ac:dyDescent="0.3">
      <c r="A939" s="27">
        <v>1</v>
      </c>
    </row>
    <row r="940" spans="1:1" x14ac:dyDescent="0.3">
      <c r="A940" s="26">
        <v>1</v>
      </c>
    </row>
    <row r="941" spans="1:1" x14ac:dyDescent="0.3">
      <c r="A941" s="27">
        <v>1</v>
      </c>
    </row>
    <row r="942" spans="1:1" x14ac:dyDescent="0.3">
      <c r="A942" s="26">
        <v>1</v>
      </c>
    </row>
    <row r="943" spans="1:1" x14ac:dyDescent="0.3">
      <c r="A943" s="27">
        <v>1</v>
      </c>
    </row>
    <row r="944" spans="1:1" x14ac:dyDescent="0.3">
      <c r="A944" s="26">
        <v>1</v>
      </c>
    </row>
    <row r="945" spans="1:1" x14ac:dyDescent="0.3">
      <c r="A945" s="27">
        <v>1</v>
      </c>
    </row>
    <row r="946" spans="1:1" x14ac:dyDescent="0.3">
      <c r="A946" s="26">
        <v>1</v>
      </c>
    </row>
    <row r="947" spans="1:1" x14ac:dyDescent="0.3">
      <c r="A947" s="27">
        <v>1</v>
      </c>
    </row>
    <row r="948" spans="1:1" x14ac:dyDescent="0.3">
      <c r="A948" s="26">
        <v>1</v>
      </c>
    </row>
    <row r="949" spans="1:1" x14ac:dyDescent="0.3">
      <c r="A949" s="27">
        <v>1</v>
      </c>
    </row>
    <row r="950" spans="1:1" x14ac:dyDescent="0.3">
      <c r="A950" s="26">
        <v>1</v>
      </c>
    </row>
    <row r="951" spans="1:1" x14ac:dyDescent="0.3">
      <c r="A951" s="27">
        <v>1</v>
      </c>
    </row>
    <row r="952" spans="1:1" x14ac:dyDescent="0.3">
      <c r="A952" s="26">
        <v>1</v>
      </c>
    </row>
    <row r="953" spans="1:1" x14ac:dyDescent="0.3">
      <c r="A953" s="27">
        <v>1</v>
      </c>
    </row>
    <row r="954" spans="1:1" x14ac:dyDescent="0.3">
      <c r="A954" s="26">
        <v>1</v>
      </c>
    </row>
    <row r="955" spans="1:1" x14ac:dyDescent="0.3">
      <c r="A955" s="27">
        <v>1</v>
      </c>
    </row>
    <row r="956" spans="1:1" x14ac:dyDescent="0.3">
      <c r="A956" s="26">
        <v>1</v>
      </c>
    </row>
    <row r="957" spans="1:1" x14ac:dyDescent="0.3">
      <c r="A957" s="27">
        <v>1</v>
      </c>
    </row>
    <row r="958" spans="1:1" x14ac:dyDescent="0.3">
      <c r="A958" s="26">
        <v>1</v>
      </c>
    </row>
    <row r="959" spans="1:1" x14ac:dyDescent="0.3">
      <c r="A959" s="27">
        <v>1</v>
      </c>
    </row>
    <row r="960" spans="1:1" x14ac:dyDescent="0.3">
      <c r="A960" s="26">
        <v>1</v>
      </c>
    </row>
    <row r="961" spans="1:1" x14ac:dyDescent="0.3">
      <c r="A961" s="27">
        <v>1</v>
      </c>
    </row>
    <row r="962" spans="1:1" x14ac:dyDescent="0.3">
      <c r="A962" s="26">
        <v>1</v>
      </c>
    </row>
    <row r="963" spans="1:1" x14ac:dyDescent="0.3">
      <c r="A963" s="27">
        <v>1</v>
      </c>
    </row>
    <row r="964" spans="1:1" x14ac:dyDescent="0.3">
      <c r="A964" s="26">
        <v>1</v>
      </c>
    </row>
    <row r="965" spans="1:1" x14ac:dyDescent="0.3">
      <c r="A965" s="27">
        <v>1</v>
      </c>
    </row>
    <row r="966" spans="1:1" x14ac:dyDescent="0.3">
      <c r="A966" s="26">
        <v>1</v>
      </c>
    </row>
    <row r="967" spans="1:1" x14ac:dyDescent="0.3">
      <c r="A967" s="27">
        <v>1</v>
      </c>
    </row>
    <row r="968" spans="1:1" x14ac:dyDescent="0.3">
      <c r="A968" s="26">
        <v>1</v>
      </c>
    </row>
    <row r="969" spans="1:1" x14ac:dyDescent="0.3">
      <c r="A969" s="27">
        <v>1</v>
      </c>
    </row>
    <row r="970" spans="1:1" x14ac:dyDescent="0.3">
      <c r="A970" s="26">
        <v>1</v>
      </c>
    </row>
    <row r="971" spans="1:1" x14ac:dyDescent="0.3">
      <c r="A971" s="27">
        <v>1</v>
      </c>
    </row>
    <row r="972" spans="1:1" x14ac:dyDescent="0.3">
      <c r="A972" s="26">
        <v>1</v>
      </c>
    </row>
    <row r="973" spans="1:1" x14ac:dyDescent="0.3">
      <c r="A973" s="27">
        <v>1</v>
      </c>
    </row>
    <row r="974" spans="1:1" x14ac:dyDescent="0.3">
      <c r="A974" s="26">
        <v>1</v>
      </c>
    </row>
    <row r="975" spans="1:1" x14ac:dyDescent="0.3">
      <c r="A975" s="27">
        <v>1</v>
      </c>
    </row>
    <row r="976" spans="1:1" x14ac:dyDescent="0.3">
      <c r="A976" s="26">
        <v>1</v>
      </c>
    </row>
    <row r="977" spans="1:1" x14ac:dyDescent="0.3">
      <c r="A977" s="27">
        <v>1</v>
      </c>
    </row>
    <row r="978" spans="1:1" x14ac:dyDescent="0.3">
      <c r="A978" s="26">
        <v>1</v>
      </c>
    </row>
    <row r="979" spans="1:1" x14ac:dyDescent="0.3">
      <c r="A979" s="27">
        <v>1</v>
      </c>
    </row>
    <row r="980" spans="1:1" x14ac:dyDescent="0.3">
      <c r="A980" s="26">
        <v>1</v>
      </c>
    </row>
    <row r="981" spans="1:1" x14ac:dyDescent="0.3">
      <c r="A981" s="27">
        <v>1</v>
      </c>
    </row>
    <row r="982" spans="1:1" x14ac:dyDescent="0.3">
      <c r="A982" s="26">
        <v>1</v>
      </c>
    </row>
    <row r="983" spans="1:1" x14ac:dyDescent="0.3">
      <c r="A983" s="27">
        <v>1</v>
      </c>
    </row>
    <row r="984" spans="1:1" x14ac:dyDescent="0.3">
      <c r="A984" s="26">
        <v>1</v>
      </c>
    </row>
    <row r="985" spans="1:1" x14ac:dyDescent="0.3">
      <c r="A985" s="27">
        <v>1</v>
      </c>
    </row>
    <row r="986" spans="1:1" x14ac:dyDescent="0.3">
      <c r="A986" s="26">
        <v>1</v>
      </c>
    </row>
    <row r="987" spans="1:1" x14ac:dyDescent="0.3">
      <c r="A987" s="27">
        <v>1</v>
      </c>
    </row>
    <row r="988" spans="1:1" x14ac:dyDescent="0.3">
      <c r="A988" s="26">
        <v>1</v>
      </c>
    </row>
    <row r="989" spans="1:1" x14ac:dyDescent="0.3">
      <c r="A989" s="27">
        <v>1</v>
      </c>
    </row>
    <row r="990" spans="1:1" x14ac:dyDescent="0.3">
      <c r="A990" s="26">
        <v>1</v>
      </c>
    </row>
    <row r="991" spans="1:1" x14ac:dyDescent="0.3">
      <c r="A991" s="27">
        <v>1</v>
      </c>
    </row>
    <row r="992" spans="1:1" x14ac:dyDescent="0.3">
      <c r="A992" s="26">
        <v>1</v>
      </c>
    </row>
    <row r="993" spans="1:1" x14ac:dyDescent="0.3">
      <c r="A993" s="27">
        <v>1</v>
      </c>
    </row>
    <row r="994" spans="1:1" x14ac:dyDescent="0.3">
      <c r="A994" s="26">
        <v>1</v>
      </c>
    </row>
    <row r="995" spans="1:1" x14ac:dyDescent="0.3">
      <c r="A995" s="27">
        <v>1</v>
      </c>
    </row>
    <row r="996" spans="1:1" x14ac:dyDescent="0.3">
      <c r="A996" s="26">
        <v>1</v>
      </c>
    </row>
    <row r="997" spans="1:1" x14ac:dyDescent="0.3">
      <c r="A997" s="27">
        <v>1</v>
      </c>
    </row>
    <row r="998" spans="1:1" x14ac:dyDescent="0.3">
      <c r="A998" s="26">
        <v>1</v>
      </c>
    </row>
    <row r="999" spans="1:1" x14ac:dyDescent="0.3">
      <c r="A999" s="27">
        <v>1</v>
      </c>
    </row>
    <row r="1000" spans="1:1" x14ac:dyDescent="0.3">
      <c r="A1000" s="26">
        <v>1</v>
      </c>
    </row>
    <row r="1001" spans="1:1" x14ac:dyDescent="0.3">
      <c r="A1001" s="27">
        <v>1</v>
      </c>
    </row>
    <row r="1002" spans="1:1" x14ac:dyDescent="0.3">
      <c r="A1002" s="26">
        <v>1</v>
      </c>
    </row>
    <row r="1003" spans="1:1" x14ac:dyDescent="0.3">
      <c r="A1003" s="27">
        <v>1</v>
      </c>
    </row>
    <row r="1004" spans="1:1" x14ac:dyDescent="0.3">
      <c r="A1004" s="26">
        <v>1</v>
      </c>
    </row>
    <row r="1005" spans="1:1" x14ac:dyDescent="0.3">
      <c r="A1005" s="27">
        <v>1</v>
      </c>
    </row>
    <row r="1006" spans="1:1" x14ac:dyDescent="0.3">
      <c r="A1006" s="26">
        <v>1</v>
      </c>
    </row>
    <row r="1007" spans="1:1" x14ac:dyDescent="0.3">
      <c r="A1007" s="27">
        <v>1</v>
      </c>
    </row>
    <row r="1008" spans="1:1" x14ac:dyDescent="0.3">
      <c r="A1008" s="26">
        <v>1</v>
      </c>
    </row>
    <row r="1009" spans="1:1" x14ac:dyDescent="0.3">
      <c r="A1009" s="27">
        <v>1</v>
      </c>
    </row>
    <row r="1010" spans="1:1" x14ac:dyDescent="0.3">
      <c r="A1010" s="26">
        <v>1</v>
      </c>
    </row>
    <row r="1011" spans="1:1" x14ac:dyDescent="0.3">
      <c r="A1011" s="27">
        <v>1</v>
      </c>
    </row>
    <row r="1012" spans="1:1" x14ac:dyDescent="0.3">
      <c r="A1012" s="26">
        <v>1</v>
      </c>
    </row>
    <row r="1013" spans="1:1" x14ac:dyDescent="0.3">
      <c r="A1013" s="27">
        <v>1</v>
      </c>
    </row>
    <row r="1014" spans="1:1" x14ac:dyDescent="0.3">
      <c r="A1014" s="26">
        <v>1</v>
      </c>
    </row>
    <row r="1015" spans="1:1" x14ac:dyDescent="0.3">
      <c r="A1015" s="27">
        <v>1</v>
      </c>
    </row>
    <row r="1016" spans="1:1" x14ac:dyDescent="0.3">
      <c r="A1016" s="26">
        <v>1</v>
      </c>
    </row>
    <row r="1017" spans="1:1" x14ac:dyDescent="0.3">
      <c r="A1017" s="27">
        <v>1</v>
      </c>
    </row>
    <row r="1018" spans="1:1" x14ac:dyDescent="0.3">
      <c r="A1018" s="26">
        <v>1</v>
      </c>
    </row>
    <row r="1019" spans="1:1" x14ac:dyDescent="0.3">
      <c r="A1019" s="27">
        <v>2</v>
      </c>
    </row>
    <row r="1020" spans="1:1" x14ac:dyDescent="0.3">
      <c r="A1020" s="26">
        <v>1</v>
      </c>
    </row>
    <row r="1021" spans="1:1" x14ac:dyDescent="0.3">
      <c r="A1021" s="27">
        <v>1</v>
      </c>
    </row>
    <row r="1022" spans="1:1" x14ac:dyDescent="0.3">
      <c r="A1022" s="26">
        <v>1</v>
      </c>
    </row>
    <row r="1023" spans="1:1" x14ac:dyDescent="0.3">
      <c r="A1023" s="27">
        <v>1</v>
      </c>
    </row>
    <row r="1024" spans="1:1" x14ac:dyDescent="0.3">
      <c r="A1024" s="26">
        <v>1</v>
      </c>
    </row>
    <row r="1025" spans="1:1" x14ac:dyDescent="0.3">
      <c r="A1025" s="27">
        <v>1</v>
      </c>
    </row>
    <row r="1026" spans="1:1" x14ac:dyDescent="0.3">
      <c r="A1026" s="26">
        <v>1</v>
      </c>
    </row>
    <row r="1027" spans="1:1" x14ac:dyDescent="0.3">
      <c r="A1027" s="27">
        <v>1</v>
      </c>
    </row>
    <row r="1028" spans="1:1" x14ac:dyDescent="0.3">
      <c r="A1028" s="26">
        <v>1</v>
      </c>
    </row>
    <row r="1029" spans="1:1" x14ac:dyDescent="0.3">
      <c r="A1029" s="27">
        <v>1</v>
      </c>
    </row>
    <row r="1030" spans="1:1" x14ac:dyDescent="0.3">
      <c r="A1030" s="26">
        <v>1</v>
      </c>
    </row>
    <row r="1031" spans="1:1" x14ac:dyDescent="0.3">
      <c r="A1031" s="27">
        <v>1</v>
      </c>
    </row>
    <row r="1032" spans="1:1" x14ac:dyDescent="0.3">
      <c r="A1032" s="26">
        <v>1</v>
      </c>
    </row>
    <row r="1033" spans="1:1" x14ac:dyDescent="0.3">
      <c r="A1033" s="27">
        <v>1</v>
      </c>
    </row>
    <row r="1034" spans="1:1" x14ac:dyDescent="0.3">
      <c r="A1034" s="26">
        <v>1</v>
      </c>
    </row>
    <row r="1035" spans="1:1" x14ac:dyDescent="0.3">
      <c r="A1035" s="27">
        <v>1</v>
      </c>
    </row>
    <row r="1036" spans="1:1" x14ac:dyDescent="0.3">
      <c r="A1036" s="26">
        <v>1</v>
      </c>
    </row>
    <row r="1037" spans="1:1" x14ac:dyDescent="0.3">
      <c r="A1037" s="27">
        <v>1</v>
      </c>
    </row>
    <row r="1038" spans="1:1" x14ac:dyDescent="0.3">
      <c r="A1038" s="26">
        <v>1</v>
      </c>
    </row>
    <row r="1039" spans="1:1" x14ac:dyDescent="0.3">
      <c r="A1039" s="27">
        <v>1</v>
      </c>
    </row>
    <row r="1040" spans="1:1" x14ac:dyDescent="0.3">
      <c r="A1040" s="26">
        <v>1</v>
      </c>
    </row>
    <row r="1041" spans="1:1" x14ac:dyDescent="0.3">
      <c r="A1041" s="27">
        <v>1</v>
      </c>
    </row>
    <row r="1042" spans="1:1" x14ac:dyDescent="0.3">
      <c r="A1042" s="26">
        <v>1</v>
      </c>
    </row>
    <row r="1043" spans="1:1" x14ac:dyDescent="0.3">
      <c r="A1043" s="27">
        <v>1</v>
      </c>
    </row>
    <row r="1044" spans="1:1" x14ac:dyDescent="0.3">
      <c r="A1044" s="26">
        <v>1</v>
      </c>
    </row>
    <row r="1045" spans="1:1" x14ac:dyDescent="0.3">
      <c r="A1045" s="27">
        <v>1</v>
      </c>
    </row>
    <row r="1046" spans="1:1" x14ac:dyDescent="0.3">
      <c r="A1046" s="26">
        <v>1</v>
      </c>
    </row>
    <row r="1047" spans="1:1" x14ac:dyDescent="0.3">
      <c r="A1047" s="27">
        <v>1</v>
      </c>
    </row>
    <row r="1048" spans="1:1" x14ac:dyDescent="0.3">
      <c r="A1048" s="26">
        <v>1</v>
      </c>
    </row>
    <row r="1049" spans="1:1" x14ac:dyDescent="0.3">
      <c r="A1049" s="27">
        <v>1</v>
      </c>
    </row>
    <row r="1050" spans="1:1" x14ac:dyDescent="0.3">
      <c r="A1050" s="26">
        <v>1</v>
      </c>
    </row>
    <row r="1051" spans="1:1" x14ac:dyDescent="0.3">
      <c r="A1051" s="27">
        <v>1</v>
      </c>
    </row>
    <row r="1052" spans="1:1" x14ac:dyDescent="0.3">
      <c r="A1052" s="26">
        <v>1</v>
      </c>
    </row>
    <row r="1053" spans="1:1" x14ac:dyDescent="0.3">
      <c r="A1053" s="27">
        <v>1</v>
      </c>
    </row>
    <row r="1054" spans="1:1" x14ac:dyDescent="0.3">
      <c r="A1054" s="26">
        <v>1</v>
      </c>
    </row>
    <row r="1055" spans="1:1" x14ac:dyDescent="0.3">
      <c r="A1055" s="27">
        <v>1</v>
      </c>
    </row>
    <row r="1056" spans="1:1" x14ac:dyDescent="0.3">
      <c r="A1056" s="26">
        <v>1</v>
      </c>
    </row>
    <row r="1057" spans="1:1" x14ac:dyDescent="0.3">
      <c r="A1057" s="27">
        <v>1</v>
      </c>
    </row>
    <row r="1058" spans="1:1" x14ac:dyDescent="0.3">
      <c r="A1058" s="26">
        <v>1</v>
      </c>
    </row>
    <row r="1059" spans="1:1" x14ac:dyDescent="0.3">
      <c r="A1059" s="27">
        <v>1</v>
      </c>
    </row>
    <row r="1060" spans="1:1" x14ac:dyDescent="0.3">
      <c r="A1060" s="26">
        <v>1</v>
      </c>
    </row>
    <row r="1061" spans="1:1" x14ac:dyDescent="0.3">
      <c r="A1061" s="27">
        <v>1</v>
      </c>
    </row>
    <row r="1062" spans="1:1" x14ac:dyDescent="0.3">
      <c r="A1062" s="26">
        <v>1</v>
      </c>
    </row>
    <row r="1063" spans="1:1" x14ac:dyDescent="0.3">
      <c r="A1063" s="27">
        <v>1</v>
      </c>
    </row>
    <row r="1064" spans="1:1" x14ac:dyDescent="0.3">
      <c r="A1064" s="26">
        <v>1</v>
      </c>
    </row>
    <row r="1065" spans="1:1" x14ac:dyDescent="0.3">
      <c r="A1065" s="27">
        <v>1</v>
      </c>
    </row>
    <row r="1066" spans="1:1" x14ac:dyDescent="0.3">
      <c r="A1066" s="26">
        <v>1</v>
      </c>
    </row>
    <row r="1067" spans="1:1" x14ac:dyDescent="0.3">
      <c r="A1067" s="27">
        <v>1</v>
      </c>
    </row>
    <row r="1068" spans="1:1" x14ac:dyDescent="0.3">
      <c r="A1068" s="26">
        <v>1</v>
      </c>
    </row>
    <row r="1069" spans="1:1" x14ac:dyDescent="0.3">
      <c r="A1069" s="27">
        <v>1</v>
      </c>
    </row>
    <row r="1070" spans="1:1" x14ac:dyDescent="0.3">
      <c r="A1070" s="26">
        <v>1</v>
      </c>
    </row>
    <row r="1071" spans="1:1" x14ac:dyDescent="0.3">
      <c r="A1071" s="27">
        <v>1</v>
      </c>
    </row>
    <row r="1072" spans="1:1" x14ac:dyDescent="0.3">
      <c r="A1072" s="26">
        <v>1</v>
      </c>
    </row>
    <row r="1073" spans="1:1" x14ac:dyDescent="0.3">
      <c r="A1073" s="27">
        <v>1</v>
      </c>
    </row>
    <row r="1074" spans="1:1" x14ac:dyDescent="0.3">
      <c r="A1074" s="26">
        <v>1</v>
      </c>
    </row>
    <row r="1075" spans="1:1" x14ac:dyDescent="0.3">
      <c r="A1075" s="27">
        <v>1</v>
      </c>
    </row>
    <row r="1076" spans="1:1" x14ac:dyDescent="0.3">
      <c r="A1076" s="26">
        <v>1</v>
      </c>
    </row>
    <row r="1077" spans="1:1" x14ac:dyDescent="0.3">
      <c r="A1077" s="27">
        <v>1</v>
      </c>
    </row>
    <row r="1078" spans="1:1" x14ac:dyDescent="0.3">
      <c r="A1078" s="26">
        <v>1</v>
      </c>
    </row>
    <row r="1079" spans="1:1" x14ac:dyDescent="0.3">
      <c r="A1079" s="27">
        <v>1</v>
      </c>
    </row>
    <row r="1080" spans="1:1" x14ac:dyDescent="0.3">
      <c r="A1080" s="26">
        <v>1</v>
      </c>
    </row>
    <row r="1081" spans="1:1" x14ac:dyDescent="0.3">
      <c r="A1081" s="27">
        <v>1</v>
      </c>
    </row>
    <row r="1082" spans="1:1" x14ac:dyDescent="0.3">
      <c r="A1082" s="26">
        <v>1</v>
      </c>
    </row>
    <row r="1083" spans="1:1" x14ac:dyDescent="0.3">
      <c r="A1083" s="27">
        <v>1</v>
      </c>
    </row>
    <row r="1084" spans="1:1" x14ac:dyDescent="0.3">
      <c r="A1084" s="26">
        <v>1</v>
      </c>
    </row>
    <row r="1085" spans="1:1" x14ac:dyDescent="0.3">
      <c r="A1085" s="27">
        <v>1</v>
      </c>
    </row>
    <row r="1086" spans="1:1" x14ac:dyDescent="0.3">
      <c r="A1086" s="26">
        <v>1</v>
      </c>
    </row>
    <row r="1087" spans="1:1" x14ac:dyDescent="0.3">
      <c r="A1087" s="27">
        <v>1</v>
      </c>
    </row>
    <row r="1088" spans="1:1" x14ac:dyDescent="0.3">
      <c r="A1088" s="26">
        <v>1</v>
      </c>
    </row>
    <row r="1089" spans="1:1" x14ac:dyDescent="0.3">
      <c r="A1089" s="27">
        <v>1</v>
      </c>
    </row>
    <row r="1090" spans="1:1" x14ac:dyDescent="0.3">
      <c r="A1090" s="26">
        <v>1</v>
      </c>
    </row>
    <row r="1091" spans="1:1" x14ac:dyDescent="0.3">
      <c r="A1091" s="27">
        <v>1</v>
      </c>
    </row>
    <row r="1092" spans="1:1" x14ac:dyDescent="0.3">
      <c r="A1092" s="26">
        <v>1</v>
      </c>
    </row>
    <row r="1093" spans="1:1" x14ac:dyDescent="0.3">
      <c r="A1093" s="27">
        <v>1</v>
      </c>
    </row>
    <row r="1094" spans="1:1" x14ac:dyDescent="0.3">
      <c r="A1094" s="26">
        <v>1</v>
      </c>
    </row>
    <row r="1095" spans="1:1" x14ac:dyDescent="0.3">
      <c r="A1095" s="27">
        <v>1</v>
      </c>
    </row>
    <row r="1096" spans="1:1" x14ac:dyDescent="0.3">
      <c r="A1096" s="26">
        <v>1</v>
      </c>
    </row>
    <row r="1097" spans="1:1" x14ac:dyDescent="0.3">
      <c r="A1097" s="27">
        <v>1</v>
      </c>
    </row>
    <row r="1098" spans="1:1" x14ac:dyDescent="0.3">
      <c r="A1098" s="26">
        <v>1</v>
      </c>
    </row>
    <row r="1099" spans="1:1" x14ac:dyDescent="0.3">
      <c r="A1099" s="27">
        <v>1</v>
      </c>
    </row>
    <row r="1100" spans="1:1" x14ac:dyDescent="0.3">
      <c r="A1100" s="26">
        <v>1</v>
      </c>
    </row>
    <row r="1101" spans="1:1" x14ac:dyDescent="0.3">
      <c r="A1101" s="27">
        <v>1</v>
      </c>
    </row>
    <row r="1102" spans="1:1" x14ac:dyDescent="0.3">
      <c r="A1102" s="26">
        <v>1</v>
      </c>
    </row>
    <row r="1103" spans="1:1" x14ac:dyDescent="0.3">
      <c r="A1103" s="27">
        <v>2</v>
      </c>
    </row>
    <row r="1104" spans="1:1" x14ac:dyDescent="0.3">
      <c r="A1104" s="26">
        <v>1</v>
      </c>
    </row>
    <row r="1105" spans="1:1" x14ac:dyDescent="0.3">
      <c r="A1105" s="27">
        <v>1</v>
      </c>
    </row>
    <row r="1106" spans="1:1" x14ac:dyDescent="0.3">
      <c r="A1106" s="26">
        <v>1</v>
      </c>
    </row>
    <row r="1107" spans="1:1" x14ac:dyDescent="0.3">
      <c r="A1107" s="27">
        <v>1</v>
      </c>
    </row>
    <row r="1108" spans="1:1" x14ac:dyDescent="0.3">
      <c r="A1108" s="26">
        <v>1</v>
      </c>
    </row>
    <row r="1109" spans="1:1" x14ac:dyDescent="0.3">
      <c r="A1109" s="27">
        <v>1</v>
      </c>
    </row>
    <row r="1110" spans="1:1" x14ac:dyDescent="0.3">
      <c r="A1110" s="26">
        <v>1</v>
      </c>
    </row>
    <row r="1111" spans="1:1" x14ac:dyDescent="0.3">
      <c r="A1111" s="27">
        <v>1</v>
      </c>
    </row>
    <row r="1112" spans="1:1" x14ac:dyDescent="0.3">
      <c r="A1112" s="26">
        <v>1</v>
      </c>
    </row>
    <row r="1113" spans="1:1" x14ac:dyDescent="0.3">
      <c r="A1113" s="27">
        <v>1</v>
      </c>
    </row>
    <row r="1114" spans="1:1" x14ac:dyDescent="0.3">
      <c r="A1114" s="26">
        <v>1</v>
      </c>
    </row>
    <row r="1115" spans="1:1" x14ac:dyDescent="0.3">
      <c r="A1115" s="27">
        <v>1</v>
      </c>
    </row>
    <row r="1116" spans="1:1" x14ac:dyDescent="0.3">
      <c r="A1116" s="26">
        <v>1</v>
      </c>
    </row>
    <row r="1117" spans="1:1" x14ac:dyDescent="0.3">
      <c r="A1117" s="27">
        <v>1</v>
      </c>
    </row>
    <row r="1118" spans="1:1" x14ac:dyDescent="0.3">
      <c r="A1118" s="26">
        <v>1</v>
      </c>
    </row>
    <row r="1119" spans="1:1" x14ac:dyDescent="0.3">
      <c r="A1119" s="27">
        <v>1</v>
      </c>
    </row>
    <row r="1120" spans="1:1" x14ac:dyDescent="0.3">
      <c r="A1120" s="26">
        <v>1</v>
      </c>
    </row>
    <row r="1121" spans="1:1" x14ac:dyDescent="0.3">
      <c r="A1121" s="27">
        <v>1</v>
      </c>
    </row>
    <row r="1122" spans="1:1" x14ac:dyDescent="0.3">
      <c r="A1122" s="26">
        <v>1</v>
      </c>
    </row>
    <row r="1123" spans="1:1" x14ac:dyDescent="0.3">
      <c r="A1123" s="27">
        <v>1</v>
      </c>
    </row>
    <row r="1124" spans="1:1" x14ac:dyDescent="0.3">
      <c r="A1124" s="26">
        <v>1</v>
      </c>
    </row>
    <row r="1125" spans="1:1" x14ac:dyDescent="0.3">
      <c r="A1125" s="27">
        <v>1</v>
      </c>
    </row>
    <row r="1126" spans="1:1" x14ac:dyDescent="0.3">
      <c r="A1126" s="26">
        <v>1</v>
      </c>
    </row>
    <row r="1127" spans="1:1" x14ac:dyDescent="0.3">
      <c r="A1127" s="27">
        <v>1</v>
      </c>
    </row>
    <row r="1128" spans="1:1" x14ac:dyDescent="0.3">
      <c r="A1128" s="26">
        <v>1</v>
      </c>
    </row>
    <row r="1129" spans="1:1" x14ac:dyDescent="0.3">
      <c r="A1129" s="27">
        <v>1</v>
      </c>
    </row>
    <row r="1130" spans="1:1" x14ac:dyDescent="0.3">
      <c r="A1130" s="26">
        <v>1</v>
      </c>
    </row>
    <row r="1131" spans="1:1" x14ac:dyDescent="0.3">
      <c r="A1131" s="27">
        <v>1</v>
      </c>
    </row>
    <row r="1132" spans="1:1" x14ac:dyDescent="0.3">
      <c r="A1132" s="26">
        <v>1</v>
      </c>
    </row>
    <row r="1133" spans="1:1" x14ac:dyDescent="0.3">
      <c r="A1133" s="27">
        <v>1</v>
      </c>
    </row>
    <row r="1134" spans="1:1" x14ac:dyDescent="0.3">
      <c r="A1134" s="26">
        <v>1</v>
      </c>
    </row>
    <row r="1135" spans="1:1" x14ac:dyDescent="0.3">
      <c r="A1135" s="27">
        <v>1</v>
      </c>
    </row>
    <row r="1136" spans="1:1" x14ac:dyDescent="0.3">
      <c r="A1136" s="26">
        <v>1</v>
      </c>
    </row>
    <row r="1137" spans="1:1" x14ac:dyDescent="0.3">
      <c r="A1137" s="27">
        <v>1</v>
      </c>
    </row>
    <row r="1138" spans="1:1" x14ac:dyDescent="0.3">
      <c r="A1138" s="26">
        <v>1</v>
      </c>
    </row>
    <row r="1139" spans="1:1" x14ac:dyDescent="0.3">
      <c r="A1139" s="27">
        <v>1</v>
      </c>
    </row>
    <row r="1140" spans="1:1" x14ac:dyDescent="0.3">
      <c r="A1140" s="26">
        <v>1</v>
      </c>
    </row>
    <row r="1141" spans="1:1" x14ac:dyDescent="0.3">
      <c r="A1141" s="27">
        <v>1</v>
      </c>
    </row>
    <row r="1142" spans="1:1" x14ac:dyDescent="0.3">
      <c r="A1142" s="26">
        <v>1</v>
      </c>
    </row>
    <row r="1143" spans="1:1" x14ac:dyDescent="0.3">
      <c r="A1143" s="27">
        <v>1</v>
      </c>
    </row>
    <row r="1144" spans="1:1" x14ac:dyDescent="0.3">
      <c r="A1144" s="26">
        <v>1</v>
      </c>
    </row>
    <row r="1145" spans="1:1" x14ac:dyDescent="0.3">
      <c r="A1145" s="27">
        <v>1</v>
      </c>
    </row>
    <row r="1146" spans="1:1" x14ac:dyDescent="0.3">
      <c r="A1146" s="26">
        <v>1</v>
      </c>
    </row>
    <row r="1147" spans="1:1" x14ac:dyDescent="0.3">
      <c r="A1147" s="27">
        <v>1</v>
      </c>
    </row>
    <row r="1148" spans="1:1" x14ac:dyDescent="0.3">
      <c r="A1148" s="26">
        <v>1</v>
      </c>
    </row>
    <row r="1149" spans="1:1" x14ac:dyDescent="0.3">
      <c r="A1149" s="27">
        <v>1</v>
      </c>
    </row>
    <row r="1150" spans="1:1" x14ac:dyDescent="0.3">
      <c r="A1150" s="26">
        <v>1</v>
      </c>
    </row>
    <row r="1151" spans="1:1" x14ac:dyDescent="0.3">
      <c r="A1151" s="27">
        <v>1</v>
      </c>
    </row>
    <row r="1152" spans="1:1" x14ac:dyDescent="0.3">
      <c r="A1152" s="26">
        <v>1</v>
      </c>
    </row>
    <row r="1153" spans="1:1" x14ac:dyDescent="0.3">
      <c r="A1153" s="27">
        <v>1</v>
      </c>
    </row>
    <row r="1154" spans="1:1" x14ac:dyDescent="0.3">
      <c r="A1154" s="26">
        <v>1</v>
      </c>
    </row>
    <row r="1155" spans="1:1" x14ac:dyDescent="0.3">
      <c r="A1155" s="27">
        <v>1</v>
      </c>
    </row>
    <row r="1156" spans="1:1" x14ac:dyDescent="0.3">
      <c r="A1156" s="26">
        <v>1</v>
      </c>
    </row>
    <row r="1157" spans="1:1" x14ac:dyDescent="0.3">
      <c r="A1157" s="27">
        <v>1</v>
      </c>
    </row>
    <row r="1158" spans="1:1" x14ac:dyDescent="0.3">
      <c r="A1158" s="26">
        <v>1</v>
      </c>
    </row>
    <row r="1159" spans="1:1" x14ac:dyDescent="0.3">
      <c r="A1159" s="27">
        <v>1</v>
      </c>
    </row>
    <row r="1160" spans="1:1" x14ac:dyDescent="0.3">
      <c r="A1160" s="26">
        <v>1</v>
      </c>
    </row>
    <row r="1161" spans="1:1" x14ac:dyDescent="0.3">
      <c r="A1161" s="27">
        <v>1</v>
      </c>
    </row>
    <row r="1162" spans="1:1" x14ac:dyDescent="0.3">
      <c r="A1162" s="26">
        <v>1</v>
      </c>
    </row>
    <row r="1163" spans="1:1" x14ac:dyDescent="0.3">
      <c r="A1163" s="27">
        <v>1</v>
      </c>
    </row>
    <row r="1164" spans="1:1" x14ac:dyDescent="0.3">
      <c r="A1164" s="26">
        <v>1</v>
      </c>
    </row>
    <row r="1165" spans="1:1" x14ac:dyDescent="0.3">
      <c r="A1165" s="27">
        <v>1</v>
      </c>
    </row>
    <row r="1166" spans="1:1" x14ac:dyDescent="0.3">
      <c r="A1166" s="26">
        <v>1</v>
      </c>
    </row>
    <row r="1167" spans="1:1" x14ac:dyDescent="0.3">
      <c r="A1167" s="27">
        <v>1</v>
      </c>
    </row>
    <row r="1168" spans="1:1" x14ac:dyDescent="0.3">
      <c r="A1168" s="26">
        <v>1</v>
      </c>
    </row>
    <row r="1169" spans="1:1" x14ac:dyDescent="0.3">
      <c r="A1169" s="27">
        <v>1</v>
      </c>
    </row>
    <row r="1170" spans="1:1" x14ac:dyDescent="0.3">
      <c r="A1170" s="26">
        <v>1</v>
      </c>
    </row>
    <row r="1171" spans="1:1" x14ac:dyDescent="0.3">
      <c r="A1171" s="27">
        <v>1</v>
      </c>
    </row>
    <row r="1172" spans="1:1" x14ac:dyDescent="0.3">
      <c r="A1172" s="26">
        <v>1</v>
      </c>
    </row>
    <row r="1173" spans="1:1" x14ac:dyDescent="0.3">
      <c r="A1173" s="27">
        <v>1</v>
      </c>
    </row>
    <row r="1174" spans="1:1" x14ac:dyDescent="0.3">
      <c r="A1174" s="26">
        <v>1</v>
      </c>
    </row>
    <row r="1175" spans="1:1" x14ac:dyDescent="0.3">
      <c r="A1175" s="27">
        <v>1</v>
      </c>
    </row>
    <row r="1176" spans="1:1" x14ac:dyDescent="0.3">
      <c r="A1176" s="26">
        <v>1</v>
      </c>
    </row>
    <row r="1177" spans="1:1" x14ac:dyDescent="0.3">
      <c r="A1177" s="27">
        <v>1</v>
      </c>
    </row>
    <row r="1178" spans="1:1" x14ac:dyDescent="0.3">
      <c r="A1178" s="26">
        <v>1</v>
      </c>
    </row>
    <row r="1179" spans="1:1" x14ac:dyDescent="0.3">
      <c r="A1179" s="27">
        <v>1</v>
      </c>
    </row>
    <row r="1180" spans="1:1" x14ac:dyDescent="0.3">
      <c r="A1180" s="26">
        <v>1</v>
      </c>
    </row>
    <row r="1181" spans="1:1" x14ac:dyDescent="0.3">
      <c r="A1181" s="27">
        <v>1</v>
      </c>
    </row>
    <row r="1182" spans="1:1" x14ac:dyDescent="0.3">
      <c r="A1182" s="26">
        <v>1</v>
      </c>
    </row>
    <row r="1183" spans="1:1" x14ac:dyDescent="0.3">
      <c r="A1183" s="27">
        <v>1</v>
      </c>
    </row>
    <row r="1184" spans="1:1" x14ac:dyDescent="0.3">
      <c r="A1184" s="26">
        <v>1</v>
      </c>
    </row>
    <row r="1185" spans="1:1" x14ac:dyDescent="0.3">
      <c r="A1185" s="27">
        <v>1</v>
      </c>
    </row>
    <row r="1186" spans="1:1" x14ac:dyDescent="0.3">
      <c r="A1186" s="26">
        <v>1</v>
      </c>
    </row>
    <row r="1187" spans="1:1" x14ac:dyDescent="0.3">
      <c r="A1187" s="27">
        <v>1</v>
      </c>
    </row>
    <row r="1188" spans="1:1" x14ac:dyDescent="0.3">
      <c r="A1188" s="26">
        <v>1</v>
      </c>
    </row>
    <row r="1189" spans="1:1" x14ac:dyDescent="0.3">
      <c r="A1189" s="27">
        <v>1</v>
      </c>
    </row>
    <row r="1190" spans="1:1" x14ac:dyDescent="0.3">
      <c r="A1190" s="26">
        <v>1</v>
      </c>
    </row>
    <row r="1191" spans="1:1" x14ac:dyDescent="0.3">
      <c r="A1191" s="27">
        <v>1</v>
      </c>
    </row>
    <row r="1192" spans="1:1" x14ac:dyDescent="0.3">
      <c r="A1192" s="26">
        <v>1</v>
      </c>
    </row>
    <row r="1193" spans="1:1" x14ac:dyDescent="0.3">
      <c r="A1193" s="27">
        <v>1</v>
      </c>
    </row>
    <row r="1194" spans="1:1" x14ac:dyDescent="0.3">
      <c r="A1194" s="26">
        <v>1</v>
      </c>
    </row>
    <row r="1195" spans="1:1" x14ac:dyDescent="0.3">
      <c r="A1195" s="27">
        <v>1</v>
      </c>
    </row>
    <row r="1196" spans="1:1" x14ac:dyDescent="0.3">
      <c r="A1196" s="26">
        <v>1</v>
      </c>
    </row>
    <row r="1197" spans="1:1" x14ac:dyDescent="0.3">
      <c r="A1197" s="27">
        <v>1</v>
      </c>
    </row>
    <row r="1198" spans="1:1" x14ac:dyDescent="0.3">
      <c r="A1198" s="26">
        <v>1</v>
      </c>
    </row>
    <row r="1199" spans="1:1" x14ac:dyDescent="0.3">
      <c r="A1199" s="27">
        <v>1</v>
      </c>
    </row>
    <row r="1200" spans="1:1" x14ac:dyDescent="0.3">
      <c r="A1200" s="26">
        <v>1</v>
      </c>
    </row>
    <row r="1201" spans="1:1" x14ac:dyDescent="0.3">
      <c r="A1201" s="27">
        <v>1</v>
      </c>
    </row>
    <row r="1202" spans="1:1" x14ac:dyDescent="0.3">
      <c r="A1202" s="26">
        <v>1</v>
      </c>
    </row>
    <row r="1203" spans="1:1" x14ac:dyDescent="0.3">
      <c r="A1203" s="27">
        <v>1</v>
      </c>
    </row>
    <row r="1204" spans="1:1" x14ac:dyDescent="0.3">
      <c r="A1204" s="26">
        <v>1</v>
      </c>
    </row>
    <row r="1205" spans="1:1" x14ac:dyDescent="0.3">
      <c r="A1205" s="27">
        <v>1</v>
      </c>
    </row>
    <row r="1206" spans="1:1" x14ac:dyDescent="0.3">
      <c r="A1206" s="26">
        <v>1</v>
      </c>
    </row>
    <row r="1207" spans="1:1" x14ac:dyDescent="0.3">
      <c r="A1207" s="27">
        <v>1</v>
      </c>
    </row>
    <row r="1208" spans="1:1" x14ac:dyDescent="0.3">
      <c r="A1208" s="26">
        <v>1</v>
      </c>
    </row>
    <row r="1209" spans="1:1" x14ac:dyDescent="0.3">
      <c r="A1209" s="27">
        <v>1</v>
      </c>
    </row>
    <row r="1210" spans="1:1" x14ac:dyDescent="0.3">
      <c r="A1210" s="26">
        <v>1</v>
      </c>
    </row>
    <row r="1211" spans="1:1" x14ac:dyDescent="0.3">
      <c r="A1211" s="27">
        <v>1</v>
      </c>
    </row>
    <row r="1212" spans="1:1" x14ac:dyDescent="0.3">
      <c r="A1212" s="26">
        <v>1</v>
      </c>
    </row>
    <row r="1213" spans="1:1" x14ac:dyDescent="0.3">
      <c r="A1213" s="27">
        <v>1</v>
      </c>
    </row>
    <row r="1214" spans="1:1" x14ac:dyDescent="0.3">
      <c r="A1214" s="26">
        <v>1</v>
      </c>
    </row>
    <row r="1215" spans="1:1" x14ac:dyDescent="0.3">
      <c r="A1215" s="27">
        <v>1</v>
      </c>
    </row>
    <row r="1216" spans="1:1" x14ac:dyDescent="0.3">
      <c r="A1216" s="26">
        <v>1</v>
      </c>
    </row>
    <row r="1217" spans="1:1" x14ac:dyDescent="0.3">
      <c r="A1217" s="27">
        <v>1</v>
      </c>
    </row>
    <row r="1218" spans="1:1" x14ac:dyDescent="0.3">
      <c r="A1218" s="26">
        <v>1</v>
      </c>
    </row>
    <row r="1219" spans="1:1" x14ac:dyDescent="0.3">
      <c r="A1219" s="27">
        <v>1</v>
      </c>
    </row>
    <row r="1220" spans="1:1" x14ac:dyDescent="0.3">
      <c r="A1220" s="26">
        <v>1</v>
      </c>
    </row>
    <row r="1221" spans="1:1" x14ac:dyDescent="0.3">
      <c r="A1221" s="27">
        <v>1</v>
      </c>
    </row>
    <row r="1222" spans="1:1" x14ac:dyDescent="0.3">
      <c r="A1222" s="26">
        <v>1</v>
      </c>
    </row>
    <row r="1223" spans="1:1" x14ac:dyDescent="0.3">
      <c r="A1223" s="27">
        <v>1</v>
      </c>
    </row>
    <row r="1224" spans="1:1" x14ac:dyDescent="0.3">
      <c r="A1224" s="26">
        <v>1</v>
      </c>
    </row>
    <row r="1225" spans="1:1" x14ac:dyDescent="0.3">
      <c r="A1225" s="27">
        <v>1</v>
      </c>
    </row>
    <row r="1226" spans="1:1" x14ac:dyDescent="0.3">
      <c r="A1226" s="26">
        <v>1</v>
      </c>
    </row>
    <row r="1227" spans="1:1" x14ac:dyDescent="0.3">
      <c r="A1227" s="27">
        <v>1</v>
      </c>
    </row>
    <row r="1228" spans="1:1" x14ac:dyDescent="0.3">
      <c r="A1228" s="26">
        <v>1</v>
      </c>
    </row>
    <row r="1229" spans="1:1" x14ac:dyDescent="0.3">
      <c r="A1229" s="27">
        <v>1</v>
      </c>
    </row>
    <row r="1230" spans="1:1" x14ac:dyDescent="0.3">
      <c r="A1230" s="26">
        <v>1</v>
      </c>
    </row>
    <row r="1231" spans="1:1" x14ac:dyDescent="0.3">
      <c r="A1231" s="27">
        <v>1</v>
      </c>
    </row>
    <row r="1232" spans="1:1" x14ac:dyDescent="0.3">
      <c r="A1232" s="26">
        <v>1</v>
      </c>
    </row>
    <row r="1233" spans="1:1" x14ac:dyDescent="0.3">
      <c r="A1233" s="27">
        <v>1</v>
      </c>
    </row>
    <row r="1234" spans="1:1" x14ac:dyDescent="0.3">
      <c r="A1234" s="26">
        <v>1</v>
      </c>
    </row>
    <row r="1235" spans="1:1" x14ac:dyDescent="0.3">
      <c r="A1235" s="27">
        <v>1</v>
      </c>
    </row>
    <row r="1236" spans="1:1" x14ac:dyDescent="0.3">
      <c r="A1236" s="26">
        <v>1</v>
      </c>
    </row>
    <row r="1237" spans="1:1" x14ac:dyDescent="0.3">
      <c r="A1237" s="27">
        <v>1</v>
      </c>
    </row>
    <row r="1238" spans="1:1" x14ac:dyDescent="0.3">
      <c r="A1238" s="26">
        <v>1</v>
      </c>
    </row>
    <row r="1239" spans="1:1" x14ac:dyDescent="0.3">
      <c r="A1239" s="27">
        <v>1</v>
      </c>
    </row>
    <row r="1240" spans="1:1" x14ac:dyDescent="0.3">
      <c r="A1240" s="26">
        <v>1</v>
      </c>
    </row>
    <row r="1241" spans="1:1" x14ac:dyDescent="0.3">
      <c r="A1241" s="27">
        <v>1</v>
      </c>
    </row>
    <row r="1242" spans="1:1" x14ac:dyDescent="0.3">
      <c r="A1242" s="26">
        <v>1</v>
      </c>
    </row>
    <row r="1243" spans="1:1" x14ac:dyDescent="0.3">
      <c r="A1243" s="27">
        <v>1</v>
      </c>
    </row>
    <row r="1244" spans="1:1" x14ac:dyDescent="0.3">
      <c r="A1244" s="26">
        <v>1</v>
      </c>
    </row>
    <row r="1245" spans="1:1" x14ac:dyDescent="0.3">
      <c r="A1245" s="27">
        <v>1</v>
      </c>
    </row>
    <row r="1246" spans="1:1" x14ac:dyDescent="0.3">
      <c r="A1246" s="26">
        <v>1</v>
      </c>
    </row>
    <row r="1247" spans="1:1" x14ac:dyDescent="0.3">
      <c r="A1247" s="27">
        <v>1</v>
      </c>
    </row>
    <row r="1248" spans="1:1" x14ac:dyDescent="0.3">
      <c r="A1248" s="26">
        <v>1</v>
      </c>
    </row>
    <row r="1249" spans="1:1" x14ac:dyDescent="0.3">
      <c r="A1249" s="27">
        <v>1</v>
      </c>
    </row>
    <row r="1250" spans="1:1" x14ac:dyDescent="0.3">
      <c r="A1250" s="26">
        <v>1</v>
      </c>
    </row>
    <row r="1251" spans="1:1" x14ac:dyDescent="0.3">
      <c r="A1251" s="27">
        <v>2</v>
      </c>
    </row>
    <row r="1252" spans="1:1" x14ac:dyDescent="0.3">
      <c r="A1252" s="26">
        <v>1</v>
      </c>
    </row>
    <row r="1253" spans="1:1" x14ac:dyDescent="0.3">
      <c r="A1253" s="27">
        <v>1</v>
      </c>
    </row>
    <row r="1254" spans="1:1" x14ac:dyDescent="0.3">
      <c r="A1254" s="26">
        <v>1</v>
      </c>
    </row>
    <row r="1255" spans="1:1" x14ac:dyDescent="0.3">
      <c r="A1255" s="27">
        <v>1</v>
      </c>
    </row>
    <row r="1256" spans="1:1" x14ac:dyDescent="0.3">
      <c r="A1256" s="26">
        <v>1</v>
      </c>
    </row>
    <row r="1257" spans="1:1" x14ac:dyDescent="0.3">
      <c r="A1257" s="27">
        <v>1</v>
      </c>
    </row>
    <row r="1258" spans="1:1" x14ac:dyDescent="0.3">
      <c r="A1258" s="26">
        <v>1</v>
      </c>
    </row>
    <row r="1259" spans="1:1" x14ac:dyDescent="0.3">
      <c r="A1259" s="27">
        <v>1</v>
      </c>
    </row>
    <row r="1260" spans="1:1" x14ac:dyDescent="0.3">
      <c r="A1260" s="26">
        <v>1</v>
      </c>
    </row>
    <row r="1261" spans="1:1" x14ac:dyDescent="0.3">
      <c r="A1261" s="27">
        <v>1</v>
      </c>
    </row>
    <row r="1262" spans="1:1" x14ac:dyDescent="0.3">
      <c r="A1262" s="26">
        <v>1</v>
      </c>
    </row>
    <row r="1263" spans="1:1" x14ac:dyDescent="0.3">
      <c r="A1263" s="27">
        <v>1</v>
      </c>
    </row>
    <row r="1264" spans="1:1" x14ac:dyDescent="0.3">
      <c r="A1264" s="26">
        <v>1</v>
      </c>
    </row>
    <row r="1265" spans="1:1" x14ac:dyDescent="0.3">
      <c r="A1265" s="27">
        <v>1</v>
      </c>
    </row>
    <row r="1266" spans="1:1" x14ac:dyDescent="0.3">
      <c r="A1266" s="26">
        <v>1</v>
      </c>
    </row>
    <row r="1267" spans="1:1" x14ac:dyDescent="0.3">
      <c r="A1267" s="27">
        <v>1</v>
      </c>
    </row>
    <row r="1268" spans="1:1" x14ac:dyDescent="0.3">
      <c r="A1268" s="26">
        <v>1</v>
      </c>
    </row>
    <row r="1269" spans="1:1" x14ac:dyDescent="0.3">
      <c r="A1269" s="27">
        <v>1</v>
      </c>
    </row>
    <row r="1270" spans="1:1" x14ac:dyDescent="0.3">
      <c r="A1270" s="26">
        <v>1</v>
      </c>
    </row>
    <row r="1271" spans="1:1" x14ac:dyDescent="0.3">
      <c r="A1271" s="27">
        <v>1</v>
      </c>
    </row>
    <row r="1272" spans="1:1" x14ac:dyDescent="0.3">
      <c r="A1272" s="26">
        <v>1</v>
      </c>
    </row>
    <row r="1273" spans="1:1" x14ac:dyDescent="0.3">
      <c r="A1273" s="27">
        <v>1</v>
      </c>
    </row>
    <row r="1274" spans="1:1" x14ac:dyDescent="0.3">
      <c r="A1274" s="26">
        <v>1</v>
      </c>
    </row>
    <row r="1275" spans="1:1" x14ac:dyDescent="0.3">
      <c r="A1275" s="27">
        <v>1</v>
      </c>
    </row>
    <row r="1276" spans="1:1" x14ac:dyDescent="0.3">
      <c r="A1276" s="26">
        <v>1</v>
      </c>
    </row>
    <row r="1277" spans="1:1" x14ac:dyDescent="0.3">
      <c r="A1277" s="27">
        <v>1</v>
      </c>
    </row>
    <row r="1278" spans="1:1" x14ac:dyDescent="0.3">
      <c r="A1278" s="26">
        <v>1</v>
      </c>
    </row>
    <row r="1279" spans="1:1" x14ac:dyDescent="0.3">
      <c r="A1279" s="27">
        <v>1</v>
      </c>
    </row>
    <row r="1280" spans="1:1" x14ac:dyDescent="0.3">
      <c r="A1280" s="26">
        <v>1</v>
      </c>
    </row>
    <row r="1281" spans="1:1" x14ac:dyDescent="0.3">
      <c r="A1281" s="27">
        <v>1</v>
      </c>
    </row>
    <row r="1282" spans="1:1" x14ac:dyDescent="0.3">
      <c r="A1282" s="26">
        <v>1</v>
      </c>
    </row>
    <row r="1283" spans="1:1" x14ac:dyDescent="0.3">
      <c r="A1283" s="27">
        <v>1</v>
      </c>
    </row>
    <row r="1284" spans="1:1" x14ac:dyDescent="0.3">
      <c r="A1284" s="26">
        <v>1</v>
      </c>
    </row>
    <row r="1285" spans="1:1" x14ac:dyDescent="0.3">
      <c r="A1285" s="27">
        <v>1</v>
      </c>
    </row>
    <row r="1286" spans="1:1" x14ac:dyDescent="0.3">
      <c r="A1286" s="26">
        <v>1</v>
      </c>
    </row>
    <row r="1287" spans="1:1" x14ac:dyDescent="0.3">
      <c r="A1287" s="27">
        <v>1</v>
      </c>
    </row>
    <row r="1288" spans="1:1" x14ac:dyDescent="0.3">
      <c r="A1288" s="26">
        <v>1</v>
      </c>
    </row>
    <row r="1289" spans="1:1" x14ac:dyDescent="0.3">
      <c r="A1289" s="27">
        <v>1</v>
      </c>
    </row>
    <row r="1290" spans="1:1" x14ac:dyDescent="0.3">
      <c r="A1290" s="26">
        <v>1</v>
      </c>
    </row>
    <row r="1291" spans="1:1" x14ac:dyDescent="0.3">
      <c r="A1291" s="27">
        <v>1</v>
      </c>
    </row>
    <row r="1292" spans="1:1" x14ac:dyDescent="0.3">
      <c r="A1292" s="26">
        <v>1</v>
      </c>
    </row>
    <row r="1293" spans="1:1" x14ac:dyDescent="0.3">
      <c r="A1293" s="27">
        <v>1</v>
      </c>
    </row>
    <row r="1294" spans="1:1" x14ac:dyDescent="0.3">
      <c r="A1294" s="26">
        <v>1</v>
      </c>
    </row>
    <row r="1295" spans="1:1" x14ac:dyDescent="0.3">
      <c r="A1295" s="27">
        <v>2</v>
      </c>
    </row>
    <row r="1296" spans="1:1" x14ac:dyDescent="0.3">
      <c r="A1296" s="26">
        <v>1</v>
      </c>
    </row>
    <row r="1297" spans="1:1" x14ac:dyDescent="0.3">
      <c r="A1297" s="27">
        <v>1</v>
      </c>
    </row>
    <row r="1298" spans="1:1" x14ac:dyDescent="0.3">
      <c r="A1298" s="26">
        <v>1</v>
      </c>
    </row>
    <row r="1299" spans="1:1" x14ac:dyDescent="0.3">
      <c r="A1299" s="27">
        <v>1</v>
      </c>
    </row>
    <row r="1300" spans="1:1" x14ac:dyDescent="0.3">
      <c r="A1300" s="26">
        <v>1</v>
      </c>
    </row>
    <row r="1301" spans="1:1" x14ac:dyDescent="0.3">
      <c r="A1301" s="27">
        <v>1</v>
      </c>
    </row>
    <row r="1302" spans="1:1" x14ac:dyDescent="0.3">
      <c r="A1302" s="26">
        <v>1</v>
      </c>
    </row>
    <row r="1303" spans="1:1" x14ac:dyDescent="0.3">
      <c r="A1303" s="27">
        <v>1</v>
      </c>
    </row>
    <row r="1304" spans="1:1" x14ac:dyDescent="0.3">
      <c r="A1304" s="26">
        <v>1</v>
      </c>
    </row>
    <row r="1305" spans="1:1" x14ac:dyDescent="0.3">
      <c r="A1305" s="27">
        <v>1</v>
      </c>
    </row>
    <row r="1306" spans="1:1" x14ac:dyDescent="0.3">
      <c r="A1306" s="26">
        <v>1</v>
      </c>
    </row>
    <row r="1307" spans="1:1" x14ac:dyDescent="0.3">
      <c r="A1307" s="27">
        <v>1</v>
      </c>
    </row>
    <row r="1308" spans="1:1" x14ac:dyDescent="0.3">
      <c r="A1308" s="26">
        <v>1</v>
      </c>
    </row>
    <row r="1309" spans="1:1" x14ac:dyDescent="0.3">
      <c r="A1309" s="27">
        <v>1</v>
      </c>
    </row>
    <row r="1310" spans="1:1" x14ac:dyDescent="0.3">
      <c r="A1310" s="26">
        <v>1</v>
      </c>
    </row>
    <row r="1311" spans="1:1" x14ac:dyDescent="0.3">
      <c r="A1311" s="27">
        <v>1</v>
      </c>
    </row>
    <row r="1312" spans="1:1" x14ac:dyDescent="0.3">
      <c r="A1312" s="26">
        <v>1</v>
      </c>
    </row>
    <row r="1313" spans="1:1" x14ac:dyDescent="0.3">
      <c r="A1313" s="27">
        <v>1</v>
      </c>
    </row>
    <row r="1314" spans="1:1" x14ac:dyDescent="0.3">
      <c r="A1314" s="26">
        <v>1</v>
      </c>
    </row>
    <row r="1315" spans="1:1" x14ac:dyDescent="0.3">
      <c r="A1315" s="27">
        <v>1</v>
      </c>
    </row>
    <row r="1316" spans="1:1" x14ac:dyDescent="0.3">
      <c r="A1316" s="26">
        <v>1</v>
      </c>
    </row>
    <row r="1317" spans="1:1" x14ac:dyDescent="0.3">
      <c r="A1317" s="27">
        <v>1</v>
      </c>
    </row>
    <row r="1318" spans="1:1" x14ac:dyDescent="0.3">
      <c r="A1318" s="26">
        <v>1</v>
      </c>
    </row>
    <row r="1319" spans="1:1" x14ac:dyDescent="0.3">
      <c r="A1319" s="27">
        <v>1</v>
      </c>
    </row>
    <row r="1320" spans="1:1" x14ac:dyDescent="0.3">
      <c r="A1320" s="26">
        <v>1</v>
      </c>
    </row>
    <row r="1321" spans="1:1" x14ac:dyDescent="0.3">
      <c r="A1321" s="27">
        <v>1</v>
      </c>
    </row>
    <row r="1322" spans="1:1" x14ac:dyDescent="0.3">
      <c r="A1322" s="26">
        <v>1</v>
      </c>
    </row>
    <row r="1323" spans="1:1" x14ac:dyDescent="0.3">
      <c r="A1323" s="27">
        <v>1</v>
      </c>
    </row>
    <row r="1324" spans="1:1" x14ac:dyDescent="0.3">
      <c r="A1324" s="26">
        <v>1</v>
      </c>
    </row>
    <row r="1325" spans="1:1" x14ac:dyDescent="0.3">
      <c r="A1325" s="27">
        <v>1</v>
      </c>
    </row>
    <row r="1326" spans="1:1" x14ac:dyDescent="0.3">
      <c r="A1326" s="26">
        <v>1</v>
      </c>
    </row>
    <row r="1327" spans="1:1" x14ac:dyDescent="0.3">
      <c r="A1327" s="27">
        <v>1</v>
      </c>
    </row>
    <row r="1328" spans="1:1" x14ac:dyDescent="0.3">
      <c r="A1328" s="26">
        <v>1</v>
      </c>
    </row>
    <row r="1329" spans="1:1" x14ac:dyDescent="0.3">
      <c r="A1329" s="27">
        <v>1</v>
      </c>
    </row>
    <row r="1330" spans="1:1" x14ac:dyDescent="0.3">
      <c r="A1330" s="26">
        <v>1</v>
      </c>
    </row>
    <row r="1331" spans="1:1" x14ac:dyDescent="0.3">
      <c r="A1331" s="27">
        <v>1</v>
      </c>
    </row>
    <row r="1332" spans="1:1" x14ac:dyDescent="0.3">
      <c r="A1332" s="26">
        <v>1</v>
      </c>
    </row>
    <row r="1333" spans="1:1" x14ac:dyDescent="0.3">
      <c r="A1333" s="27">
        <v>1</v>
      </c>
    </row>
    <row r="1334" spans="1:1" x14ac:dyDescent="0.3">
      <c r="A1334" s="26">
        <v>1</v>
      </c>
    </row>
    <row r="1335" spans="1:1" x14ac:dyDescent="0.3">
      <c r="A1335" s="27">
        <v>1</v>
      </c>
    </row>
    <row r="1336" spans="1:1" x14ac:dyDescent="0.3">
      <c r="A1336" s="26">
        <v>1</v>
      </c>
    </row>
    <row r="1337" spans="1:1" x14ac:dyDescent="0.3">
      <c r="A1337" s="27">
        <v>1</v>
      </c>
    </row>
    <row r="1338" spans="1:1" x14ac:dyDescent="0.3">
      <c r="A1338" s="26">
        <v>1</v>
      </c>
    </row>
    <row r="1339" spans="1:1" x14ac:dyDescent="0.3">
      <c r="A1339" s="27">
        <v>1</v>
      </c>
    </row>
    <row r="1340" spans="1:1" x14ac:dyDescent="0.3">
      <c r="A1340" s="26">
        <v>1</v>
      </c>
    </row>
    <row r="1341" spans="1:1" x14ac:dyDescent="0.3">
      <c r="A1341" s="27">
        <v>1</v>
      </c>
    </row>
    <row r="1342" spans="1:1" x14ac:dyDescent="0.3">
      <c r="A1342" s="26">
        <v>1</v>
      </c>
    </row>
    <row r="1343" spans="1:1" x14ac:dyDescent="0.3">
      <c r="A1343" s="27">
        <v>1</v>
      </c>
    </row>
    <row r="1344" spans="1:1" x14ac:dyDescent="0.3">
      <c r="A1344" s="26">
        <v>1</v>
      </c>
    </row>
    <row r="1345" spans="1:1" x14ac:dyDescent="0.3">
      <c r="A1345" s="27">
        <v>1</v>
      </c>
    </row>
    <row r="1346" spans="1:1" x14ac:dyDescent="0.3">
      <c r="A1346" s="26">
        <v>1</v>
      </c>
    </row>
    <row r="1347" spans="1:1" x14ac:dyDescent="0.3">
      <c r="A1347" s="27">
        <v>1</v>
      </c>
    </row>
    <row r="1348" spans="1:1" x14ac:dyDescent="0.3">
      <c r="A1348" s="26">
        <v>1</v>
      </c>
    </row>
    <row r="1349" spans="1:1" x14ac:dyDescent="0.3">
      <c r="A1349" s="27">
        <v>1</v>
      </c>
    </row>
    <row r="1350" spans="1:1" x14ac:dyDescent="0.3">
      <c r="A1350" s="26">
        <v>1</v>
      </c>
    </row>
    <row r="1351" spans="1:1" x14ac:dyDescent="0.3">
      <c r="A1351" s="27">
        <v>1</v>
      </c>
    </row>
    <row r="1352" spans="1:1" x14ac:dyDescent="0.3">
      <c r="A1352" s="26">
        <v>1</v>
      </c>
    </row>
    <row r="1353" spans="1:1" x14ac:dyDescent="0.3">
      <c r="A1353" s="27">
        <v>1</v>
      </c>
    </row>
    <row r="1354" spans="1:1" x14ac:dyDescent="0.3">
      <c r="A1354" s="26">
        <v>1</v>
      </c>
    </row>
    <row r="1355" spans="1:1" x14ac:dyDescent="0.3">
      <c r="A1355" s="27">
        <v>1</v>
      </c>
    </row>
    <row r="1356" spans="1:1" x14ac:dyDescent="0.3">
      <c r="A1356" s="26">
        <v>1</v>
      </c>
    </row>
    <row r="1357" spans="1:1" x14ac:dyDescent="0.3">
      <c r="A1357" s="27">
        <v>1</v>
      </c>
    </row>
    <row r="1358" spans="1:1" x14ac:dyDescent="0.3">
      <c r="A1358" s="26">
        <v>1</v>
      </c>
    </row>
    <row r="1359" spans="1:1" x14ac:dyDescent="0.3">
      <c r="A1359" s="27">
        <v>1</v>
      </c>
    </row>
    <row r="1360" spans="1:1" x14ac:dyDescent="0.3">
      <c r="A1360" s="26">
        <v>1</v>
      </c>
    </row>
    <row r="1361" spans="1:1" x14ac:dyDescent="0.3">
      <c r="A1361" s="27">
        <v>1</v>
      </c>
    </row>
    <row r="1362" spans="1:1" x14ac:dyDescent="0.3">
      <c r="A1362" s="26">
        <v>1</v>
      </c>
    </row>
    <row r="1363" spans="1:1" x14ac:dyDescent="0.3">
      <c r="A1363" s="27">
        <v>1</v>
      </c>
    </row>
    <row r="1364" spans="1:1" x14ac:dyDescent="0.3">
      <c r="A1364" s="26">
        <v>1</v>
      </c>
    </row>
    <row r="1365" spans="1:1" x14ac:dyDescent="0.3">
      <c r="A1365" s="27">
        <v>1</v>
      </c>
    </row>
    <row r="1366" spans="1:1" x14ac:dyDescent="0.3">
      <c r="A1366" s="26">
        <v>1</v>
      </c>
    </row>
    <row r="1367" spans="1:1" x14ac:dyDescent="0.3">
      <c r="A1367" s="27">
        <v>1</v>
      </c>
    </row>
    <row r="1368" spans="1:1" x14ac:dyDescent="0.3">
      <c r="A1368" s="26">
        <v>1</v>
      </c>
    </row>
    <row r="1369" spans="1:1" x14ac:dyDescent="0.3">
      <c r="A1369" s="27">
        <v>1</v>
      </c>
    </row>
    <row r="1370" spans="1:1" x14ac:dyDescent="0.3">
      <c r="A1370" s="26">
        <v>1</v>
      </c>
    </row>
    <row r="1371" spans="1:1" x14ac:dyDescent="0.3">
      <c r="A1371" s="27">
        <v>1</v>
      </c>
    </row>
    <row r="1372" spans="1:1" x14ac:dyDescent="0.3">
      <c r="A1372" s="26">
        <v>1</v>
      </c>
    </row>
    <row r="1373" spans="1:1" x14ac:dyDescent="0.3">
      <c r="A1373" s="27">
        <v>1</v>
      </c>
    </row>
    <row r="1374" spans="1:1" x14ac:dyDescent="0.3">
      <c r="A1374" s="26">
        <v>1</v>
      </c>
    </row>
    <row r="1375" spans="1:1" x14ac:dyDescent="0.3">
      <c r="A1375" s="27">
        <v>1</v>
      </c>
    </row>
    <row r="1376" spans="1:1" x14ac:dyDescent="0.3">
      <c r="A1376" s="26">
        <v>1</v>
      </c>
    </row>
    <row r="1377" spans="1:1" x14ac:dyDescent="0.3">
      <c r="A1377" s="27">
        <v>1</v>
      </c>
    </row>
    <row r="1378" spans="1:1" x14ac:dyDescent="0.3">
      <c r="A1378" s="26">
        <v>1</v>
      </c>
    </row>
    <row r="1379" spans="1:1" x14ac:dyDescent="0.3">
      <c r="A1379" s="27">
        <v>1</v>
      </c>
    </row>
    <row r="1380" spans="1:1" x14ac:dyDescent="0.3">
      <c r="A1380" s="26">
        <v>1</v>
      </c>
    </row>
    <row r="1381" spans="1:1" x14ac:dyDescent="0.3">
      <c r="A1381" s="27">
        <v>1</v>
      </c>
    </row>
    <row r="1382" spans="1:1" x14ac:dyDescent="0.3">
      <c r="A1382" s="26">
        <v>1</v>
      </c>
    </row>
    <row r="1383" spans="1:1" x14ac:dyDescent="0.3">
      <c r="A1383" s="27">
        <v>1</v>
      </c>
    </row>
    <row r="1384" spans="1:1" x14ac:dyDescent="0.3">
      <c r="A1384" s="26">
        <v>1</v>
      </c>
    </row>
    <row r="1385" spans="1:1" x14ac:dyDescent="0.3">
      <c r="A1385" s="27">
        <v>1</v>
      </c>
    </row>
    <row r="1386" spans="1:1" x14ac:dyDescent="0.3">
      <c r="A1386" s="26">
        <v>1</v>
      </c>
    </row>
    <row r="1387" spans="1:1" x14ac:dyDescent="0.3">
      <c r="A1387" s="27">
        <v>1</v>
      </c>
    </row>
    <row r="1388" spans="1:1" x14ac:dyDescent="0.3">
      <c r="A1388" s="26">
        <v>2</v>
      </c>
    </row>
    <row r="1389" spans="1:1" x14ac:dyDescent="0.3">
      <c r="A1389" s="27">
        <v>1</v>
      </c>
    </row>
    <row r="1390" spans="1:1" x14ac:dyDescent="0.3">
      <c r="A1390" s="26">
        <v>1</v>
      </c>
    </row>
    <row r="1391" spans="1:1" x14ac:dyDescent="0.3">
      <c r="A1391" s="27">
        <v>1</v>
      </c>
    </row>
    <row r="1392" spans="1:1" x14ac:dyDescent="0.3">
      <c r="A1392" s="26">
        <v>1</v>
      </c>
    </row>
    <row r="1393" spans="1:1" x14ac:dyDescent="0.3">
      <c r="A1393" s="27">
        <v>1</v>
      </c>
    </row>
    <row r="1394" spans="1:1" x14ac:dyDescent="0.3">
      <c r="A1394" s="26">
        <v>1</v>
      </c>
    </row>
    <row r="1395" spans="1:1" x14ac:dyDescent="0.3">
      <c r="A1395" s="27">
        <v>1</v>
      </c>
    </row>
    <row r="1396" spans="1:1" x14ac:dyDescent="0.3">
      <c r="A1396" s="26">
        <v>1</v>
      </c>
    </row>
    <row r="1397" spans="1:1" x14ac:dyDescent="0.3">
      <c r="A1397" s="27">
        <v>1</v>
      </c>
    </row>
    <row r="1398" spans="1:1" x14ac:dyDescent="0.3">
      <c r="A1398" s="26">
        <v>1</v>
      </c>
    </row>
    <row r="1399" spans="1:1" x14ac:dyDescent="0.3">
      <c r="A1399" s="27">
        <v>1</v>
      </c>
    </row>
    <row r="1400" spans="1:1" x14ac:dyDescent="0.3">
      <c r="A1400" s="26">
        <v>1</v>
      </c>
    </row>
    <row r="1401" spans="1:1" x14ac:dyDescent="0.3">
      <c r="A1401" s="27">
        <v>1</v>
      </c>
    </row>
    <row r="1402" spans="1:1" x14ac:dyDescent="0.3">
      <c r="A1402" s="26">
        <v>1</v>
      </c>
    </row>
    <row r="1403" spans="1:1" x14ac:dyDescent="0.3">
      <c r="A1403" s="27">
        <v>1</v>
      </c>
    </row>
    <row r="1404" spans="1:1" x14ac:dyDescent="0.3">
      <c r="A1404" s="26">
        <v>1</v>
      </c>
    </row>
    <row r="1405" spans="1:1" x14ac:dyDescent="0.3">
      <c r="A1405" s="27">
        <v>1</v>
      </c>
    </row>
    <row r="1406" spans="1:1" x14ac:dyDescent="0.3">
      <c r="A1406" s="26">
        <v>1</v>
      </c>
    </row>
    <row r="1407" spans="1:1" x14ac:dyDescent="0.3">
      <c r="A1407" s="27">
        <v>1</v>
      </c>
    </row>
    <row r="1408" spans="1:1" x14ac:dyDescent="0.3">
      <c r="A1408" s="26">
        <v>1</v>
      </c>
    </row>
    <row r="1409" spans="1:1" x14ac:dyDescent="0.3">
      <c r="A1409" s="27">
        <v>1</v>
      </c>
    </row>
    <row r="1410" spans="1:1" x14ac:dyDescent="0.3">
      <c r="A1410" s="26">
        <v>1</v>
      </c>
    </row>
    <row r="1411" spans="1:1" x14ac:dyDescent="0.3">
      <c r="A1411" s="27">
        <v>1</v>
      </c>
    </row>
    <row r="1412" spans="1:1" x14ac:dyDescent="0.3">
      <c r="A1412" s="26">
        <v>1</v>
      </c>
    </row>
    <row r="1413" spans="1:1" x14ac:dyDescent="0.3">
      <c r="A1413" s="27">
        <v>1</v>
      </c>
    </row>
    <row r="1414" spans="1:1" x14ac:dyDescent="0.3">
      <c r="A1414" s="26">
        <v>1</v>
      </c>
    </row>
    <row r="1415" spans="1:1" x14ac:dyDescent="0.3">
      <c r="A1415" s="27">
        <v>1</v>
      </c>
    </row>
    <row r="1416" spans="1:1" x14ac:dyDescent="0.3">
      <c r="A1416" s="26">
        <v>1</v>
      </c>
    </row>
    <row r="1417" spans="1:1" x14ac:dyDescent="0.3">
      <c r="A1417" s="27">
        <v>1</v>
      </c>
    </row>
    <row r="1418" spans="1:1" x14ac:dyDescent="0.3">
      <c r="A1418" s="26">
        <v>1</v>
      </c>
    </row>
    <row r="1419" spans="1:1" x14ac:dyDescent="0.3">
      <c r="A1419" s="27">
        <v>1</v>
      </c>
    </row>
    <row r="1420" spans="1:1" x14ac:dyDescent="0.3">
      <c r="A1420" s="26">
        <v>1</v>
      </c>
    </row>
    <row r="1421" spans="1:1" x14ac:dyDescent="0.3">
      <c r="A1421" s="27">
        <v>1</v>
      </c>
    </row>
    <row r="1422" spans="1:1" x14ac:dyDescent="0.3">
      <c r="A1422" s="26">
        <v>1</v>
      </c>
    </row>
    <row r="1423" spans="1:1" x14ac:dyDescent="0.3">
      <c r="A1423" s="27">
        <v>1</v>
      </c>
    </row>
    <row r="1424" spans="1:1" x14ac:dyDescent="0.3">
      <c r="A1424" s="26">
        <v>1</v>
      </c>
    </row>
    <row r="1425" spans="1:1" x14ac:dyDescent="0.3">
      <c r="A1425" s="27">
        <v>1</v>
      </c>
    </row>
    <row r="1426" spans="1:1" x14ac:dyDescent="0.3">
      <c r="A1426" s="26">
        <v>1</v>
      </c>
    </row>
    <row r="1427" spans="1:1" x14ac:dyDescent="0.3">
      <c r="A1427" s="27">
        <v>1</v>
      </c>
    </row>
    <row r="1428" spans="1:1" x14ac:dyDescent="0.3">
      <c r="A1428" s="26">
        <v>1</v>
      </c>
    </row>
    <row r="1429" spans="1:1" x14ac:dyDescent="0.3">
      <c r="A1429" s="27">
        <v>1</v>
      </c>
    </row>
    <row r="1430" spans="1:1" x14ac:dyDescent="0.3">
      <c r="A1430" s="26">
        <v>1</v>
      </c>
    </row>
    <row r="1431" spans="1:1" x14ac:dyDescent="0.3">
      <c r="A1431" s="27">
        <v>1</v>
      </c>
    </row>
    <row r="1432" spans="1:1" x14ac:dyDescent="0.3">
      <c r="A1432" s="26">
        <v>1</v>
      </c>
    </row>
    <row r="1433" spans="1:1" x14ac:dyDescent="0.3">
      <c r="A1433" s="27">
        <v>1</v>
      </c>
    </row>
    <row r="1434" spans="1:1" x14ac:dyDescent="0.3">
      <c r="A1434" s="26">
        <v>1</v>
      </c>
    </row>
    <row r="1435" spans="1:1" x14ac:dyDescent="0.3">
      <c r="A1435" s="27">
        <v>1</v>
      </c>
    </row>
    <row r="1436" spans="1:1" x14ac:dyDescent="0.3">
      <c r="A1436" s="26">
        <v>1</v>
      </c>
    </row>
    <row r="1437" spans="1:1" x14ac:dyDescent="0.3">
      <c r="A1437" s="27">
        <v>1</v>
      </c>
    </row>
    <row r="1438" spans="1:1" x14ac:dyDescent="0.3">
      <c r="A1438" s="26">
        <v>1</v>
      </c>
    </row>
    <row r="1439" spans="1:1" x14ac:dyDescent="0.3">
      <c r="A1439" s="27">
        <v>1</v>
      </c>
    </row>
    <row r="1440" spans="1:1" x14ac:dyDescent="0.3">
      <c r="A1440" s="26">
        <v>1</v>
      </c>
    </row>
    <row r="1441" spans="1:1" x14ac:dyDescent="0.3">
      <c r="A1441" s="27">
        <v>1</v>
      </c>
    </row>
    <row r="1442" spans="1:1" x14ac:dyDescent="0.3">
      <c r="A1442" s="26">
        <v>1</v>
      </c>
    </row>
    <row r="1443" spans="1:1" x14ac:dyDescent="0.3">
      <c r="A1443" s="27">
        <v>1</v>
      </c>
    </row>
    <row r="1444" spans="1:1" x14ac:dyDescent="0.3">
      <c r="A1444" s="26">
        <v>1</v>
      </c>
    </row>
    <row r="1445" spans="1:1" x14ac:dyDescent="0.3">
      <c r="A1445" s="27">
        <v>1</v>
      </c>
    </row>
    <row r="1446" spans="1:1" x14ac:dyDescent="0.3">
      <c r="A1446" s="26">
        <v>1</v>
      </c>
    </row>
    <row r="1447" spans="1:1" x14ac:dyDescent="0.3">
      <c r="A1447" s="27">
        <v>1</v>
      </c>
    </row>
    <row r="1448" spans="1:1" x14ac:dyDescent="0.3">
      <c r="A1448" s="26">
        <v>1</v>
      </c>
    </row>
    <row r="1449" spans="1:1" x14ac:dyDescent="0.3">
      <c r="A1449" s="27">
        <v>1</v>
      </c>
    </row>
    <row r="1450" spans="1:1" x14ac:dyDescent="0.3">
      <c r="A1450" s="26">
        <v>1</v>
      </c>
    </row>
    <row r="1451" spans="1:1" x14ac:dyDescent="0.3">
      <c r="A1451" s="27">
        <v>1</v>
      </c>
    </row>
    <row r="1452" spans="1:1" x14ac:dyDescent="0.3">
      <c r="A1452" s="26">
        <v>1</v>
      </c>
    </row>
    <row r="1453" spans="1:1" x14ac:dyDescent="0.3">
      <c r="A1453" s="27">
        <v>1</v>
      </c>
    </row>
    <row r="1454" spans="1:1" x14ac:dyDescent="0.3">
      <c r="A1454" s="26">
        <v>1</v>
      </c>
    </row>
    <row r="1455" spans="1:1" x14ac:dyDescent="0.3">
      <c r="A1455" s="27">
        <v>1</v>
      </c>
    </row>
    <row r="1456" spans="1:1" x14ac:dyDescent="0.3">
      <c r="A1456" s="26">
        <v>1</v>
      </c>
    </row>
    <row r="1457" spans="1:1" x14ac:dyDescent="0.3">
      <c r="A1457" s="27">
        <v>1</v>
      </c>
    </row>
    <row r="1458" spans="1:1" x14ac:dyDescent="0.3">
      <c r="A1458" s="26">
        <v>1</v>
      </c>
    </row>
    <row r="1459" spans="1:1" x14ac:dyDescent="0.3">
      <c r="A1459" s="27">
        <v>1</v>
      </c>
    </row>
    <row r="1460" spans="1:1" x14ac:dyDescent="0.3">
      <c r="A1460" s="26">
        <v>1</v>
      </c>
    </row>
    <row r="1461" spans="1:1" x14ac:dyDescent="0.3">
      <c r="A1461" s="27">
        <v>1</v>
      </c>
    </row>
    <row r="1462" spans="1:1" x14ac:dyDescent="0.3">
      <c r="A1462" s="26">
        <v>1</v>
      </c>
    </row>
    <row r="1463" spans="1:1" x14ac:dyDescent="0.3">
      <c r="A1463" s="27">
        <v>1</v>
      </c>
    </row>
    <row r="1464" spans="1:1" x14ac:dyDescent="0.3">
      <c r="A1464" s="26">
        <v>1</v>
      </c>
    </row>
    <row r="1465" spans="1:1" x14ac:dyDescent="0.3">
      <c r="A1465" s="27">
        <v>1</v>
      </c>
    </row>
    <row r="1466" spans="1:1" x14ac:dyDescent="0.3">
      <c r="A1466" s="26">
        <v>1</v>
      </c>
    </row>
    <row r="1467" spans="1:1" x14ac:dyDescent="0.3">
      <c r="A1467" s="27">
        <v>1</v>
      </c>
    </row>
    <row r="1468" spans="1:1" x14ac:dyDescent="0.3">
      <c r="A1468" s="26">
        <v>1</v>
      </c>
    </row>
    <row r="1469" spans="1:1" x14ac:dyDescent="0.3">
      <c r="A1469" s="27">
        <v>1</v>
      </c>
    </row>
    <row r="1470" spans="1:1" x14ac:dyDescent="0.3">
      <c r="A1470" s="26">
        <v>1</v>
      </c>
    </row>
    <row r="1471" spans="1:1" x14ac:dyDescent="0.3">
      <c r="A1471" s="27">
        <v>1</v>
      </c>
    </row>
    <row r="1472" spans="1:1" x14ac:dyDescent="0.3">
      <c r="A1472" s="26">
        <v>1</v>
      </c>
    </row>
    <row r="1473" spans="1:1" x14ac:dyDescent="0.3">
      <c r="A1473" s="27">
        <v>1</v>
      </c>
    </row>
    <row r="1474" spans="1:1" x14ac:dyDescent="0.3">
      <c r="A1474" s="26">
        <v>1</v>
      </c>
    </row>
    <row r="1475" spans="1:1" x14ac:dyDescent="0.3">
      <c r="A1475" s="27">
        <v>1</v>
      </c>
    </row>
    <row r="1476" spans="1:1" x14ac:dyDescent="0.3">
      <c r="A1476" s="26">
        <v>1</v>
      </c>
    </row>
    <row r="1477" spans="1:1" x14ac:dyDescent="0.3">
      <c r="A1477" s="27">
        <v>1</v>
      </c>
    </row>
    <row r="1478" spans="1:1" x14ac:dyDescent="0.3">
      <c r="A1478" s="26">
        <v>1</v>
      </c>
    </row>
    <row r="1479" spans="1:1" x14ac:dyDescent="0.3">
      <c r="A1479" s="27">
        <v>1</v>
      </c>
    </row>
    <row r="1480" spans="1:1" x14ac:dyDescent="0.3">
      <c r="A1480" s="26">
        <v>1</v>
      </c>
    </row>
    <row r="1481" spans="1:1" x14ac:dyDescent="0.3">
      <c r="A1481" s="27">
        <v>1</v>
      </c>
    </row>
    <row r="1482" spans="1:1" x14ac:dyDescent="0.3">
      <c r="A1482" s="26">
        <v>1</v>
      </c>
    </row>
    <row r="1483" spans="1:1" x14ac:dyDescent="0.3">
      <c r="A1483" s="27">
        <v>1</v>
      </c>
    </row>
    <row r="1484" spans="1:1" x14ac:dyDescent="0.3">
      <c r="A1484" s="26">
        <v>1</v>
      </c>
    </row>
    <row r="1485" spans="1:1" x14ac:dyDescent="0.3">
      <c r="A1485" s="27">
        <v>1</v>
      </c>
    </row>
    <row r="1486" spans="1:1" x14ac:dyDescent="0.3">
      <c r="A1486" s="26">
        <v>1</v>
      </c>
    </row>
    <row r="1487" spans="1:1" x14ac:dyDescent="0.3">
      <c r="A1487" s="27">
        <v>1</v>
      </c>
    </row>
    <row r="1488" spans="1:1" x14ac:dyDescent="0.3">
      <c r="A1488" s="26">
        <v>1</v>
      </c>
    </row>
    <row r="1489" spans="1:1" x14ac:dyDescent="0.3">
      <c r="A1489" s="27">
        <v>1</v>
      </c>
    </row>
    <row r="1490" spans="1:1" x14ac:dyDescent="0.3">
      <c r="A1490" s="26">
        <v>1</v>
      </c>
    </row>
    <row r="1491" spans="1:1" x14ac:dyDescent="0.3">
      <c r="A1491" s="27">
        <v>1</v>
      </c>
    </row>
    <row r="1492" spans="1:1" x14ac:dyDescent="0.3">
      <c r="A1492" s="26">
        <v>1</v>
      </c>
    </row>
    <row r="1493" spans="1:1" x14ac:dyDescent="0.3">
      <c r="A1493" s="27">
        <v>1</v>
      </c>
    </row>
    <row r="1494" spans="1:1" x14ac:dyDescent="0.3">
      <c r="A1494" s="26">
        <v>1</v>
      </c>
    </row>
    <row r="1495" spans="1:1" x14ac:dyDescent="0.3">
      <c r="A1495" s="27">
        <v>1</v>
      </c>
    </row>
    <row r="1496" spans="1:1" x14ac:dyDescent="0.3">
      <c r="A1496" s="26">
        <v>1</v>
      </c>
    </row>
    <row r="1497" spans="1:1" x14ac:dyDescent="0.3">
      <c r="A1497" s="27">
        <v>1</v>
      </c>
    </row>
    <row r="1498" spans="1:1" x14ac:dyDescent="0.3">
      <c r="A1498" s="26">
        <v>1</v>
      </c>
    </row>
    <row r="1499" spans="1:1" x14ac:dyDescent="0.3">
      <c r="A1499" s="27">
        <v>1</v>
      </c>
    </row>
    <row r="1500" spans="1:1" x14ac:dyDescent="0.3">
      <c r="A1500" s="26">
        <v>1</v>
      </c>
    </row>
    <row r="1501" spans="1:1" x14ac:dyDescent="0.3">
      <c r="A1501" s="27">
        <v>1</v>
      </c>
    </row>
    <row r="1502" spans="1:1" x14ac:dyDescent="0.3">
      <c r="A1502" s="26">
        <v>1</v>
      </c>
    </row>
    <row r="1503" spans="1:1" x14ac:dyDescent="0.3">
      <c r="A1503" s="27">
        <v>1</v>
      </c>
    </row>
    <row r="1504" spans="1:1" x14ac:dyDescent="0.3">
      <c r="A1504" s="26">
        <v>1</v>
      </c>
    </row>
    <row r="1505" spans="1:1" x14ac:dyDescent="0.3">
      <c r="A1505" s="27">
        <v>1</v>
      </c>
    </row>
    <row r="1506" spans="1:1" x14ac:dyDescent="0.3">
      <c r="A1506" s="26">
        <v>1</v>
      </c>
    </row>
    <row r="1507" spans="1:1" x14ac:dyDescent="0.3">
      <c r="A1507" s="27">
        <v>1</v>
      </c>
    </row>
    <row r="1508" spans="1:1" x14ac:dyDescent="0.3">
      <c r="A1508" s="26">
        <v>1</v>
      </c>
    </row>
    <row r="1509" spans="1:1" x14ac:dyDescent="0.3">
      <c r="A1509" s="27">
        <v>1</v>
      </c>
    </row>
    <row r="1510" spans="1:1" x14ac:dyDescent="0.3">
      <c r="A1510" s="26">
        <v>1</v>
      </c>
    </row>
    <row r="1511" spans="1:1" x14ac:dyDescent="0.3">
      <c r="A1511" s="27">
        <v>1</v>
      </c>
    </row>
    <row r="1512" spans="1:1" x14ac:dyDescent="0.3">
      <c r="A1512" s="26">
        <v>1</v>
      </c>
    </row>
    <row r="1513" spans="1:1" x14ac:dyDescent="0.3">
      <c r="A1513" s="27">
        <v>1</v>
      </c>
    </row>
    <row r="1514" spans="1:1" x14ac:dyDescent="0.3">
      <c r="A1514" s="26">
        <v>1</v>
      </c>
    </row>
    <row r="1515" spans="1:1" x14ac:dyDescent="0.3">
      <c r="A1515" s="27">
        <v>1</v>
      </c>
    </row>
    <row r="1516" spans="1:1" x14ac:dyDescent="0.3">
      <c r="A1516" s="26">
        <v>1</v>
      </c>
    </row>
    <row r="1517" spans="1:1" x14ac:dyDescent="0.3">
      <c r="A1517" s="27">
        <v>1</v>
      </c>
    </row>
    <row r="1518" spans="1:1" x14ac:dyDescent="0.3">
      <c r="A1518" s="26">
        <v>1</v>
      </c>
    </row>
    <row r="1519" spans="1:1" x14ac:dyDescent="0.3">
      <c r="A1519" s="27">
        <v>1</v>
      </c>
    </row>
    <row r="1520" spans="1:1" x14ac:dyDescent="0.3">
      <c r="A1520" s="26">
        <v>1</v>
      </c>
    </row>
    <row r="1521" spans="1:1" x14ac:dyDescent="0.3">
      <c r="A1521" s="27">
        <v>1</v>
      </c>
    </row>
    <row r="1522" spans="1:1" x14ac:dyDescent="0.3">
      <c r="A1522" s="26">
        <v>1</v>
      </c>
    </row>
    <row r="1523" spans="1:1" x14ac:dyDescent="0.3">
      <c r="A1523" s="27">
        <v>1</v>
      </c>
    </row>
    <row r="1524" spans="1:1" x14ac:dyDescent="0.3">
      <c r="A1524" s="26">
        <v>1</v>
      </c>
    </row>
    <row r="1525" spans="1:1" x14ac:dyDescent="0.3">
      <c r="A1525" s="27">
        <v>1</v>
      </c>
    </row>
    <row r="1526" spans="1:1" x14ac:dyDescent="0.3">
      <c r="A1526" s="26">
        <v>1</v>
      </c>
    </row>
    <row r="1527" spans="1:1" x14ac:dyDescent="0.3">
      <c r="A1527" s="27">
        <v>1</v>
      </c>
    </row>
    <row r="1528" spans="1:1" x14ac:dyDescent="0.3">
      <c r="A1528" s="26">
        <v>1</v>
      </c>
    </row>
    <row r="1529" spans="1:1" x14ac:dyDescent="0.3">
      <c r="A1529" s="27">
        <v>1</v>
      </c>
    </row>
    <row r="1530" spans="1:1" x14ac:dyDescent="0.3">
      <c r="A1530" s="26">
        <v>1</v>
      </c>
    </row>
    <row r="1531" spans="1:1" x14ac:dyDescent="0.3">
      <c r="A1531" s="27">
        <v>1</v>
      </c>
    </row>
    <row r="1532" spans="1:1" x14ac:dyDescent="0.3">
      <c r="A1532" s="26">
        <v>1</v>
      </c>
    </row>
    <row r="1533" spans="1:1" x14ac:dyDescent="0.3">
      <c r="A1533" s="27">
        <v>1</v>
      </c>
    </row>
    <row r="1534" spans="1:1" x14ac:dyDescent="0.3">
      <c r="A1534" s="26">
        <v>1</v>
      </c>
    </row>
    <row r="1535" spans="1:1" x14ac:dyDescent="0.3">
      <c r="A1535" s="27">
        <v>1</v>
      </c>
    </row>
    <row r="1536" spans="1:1" x14ac:dyDescent="0.3">
      <c r="A1536" s="26">
        <v>1</v>
      </c>
    </row>
    <row r="1537" spans="1:1" x14ac:dyDescent="0.3">
      <c r="A1537" s="27">
        <v>1</v>
      </c>
    </row>
    <row r="1538" spans="1:1" x14ac:dyDescent="0.3">
      <c r="A1538" s="26">
        <v>1</v>
      </c>
    </row>
    <row r="1539" spans="1:1" x14ac:dyDescent="0.3">
      <c r="A1539" s="27">
        <v>1</v>
      </c>
    </row>
    <row r="1540" spans="1:1" x14ac:dyDescent="0.3">
      <c r="A1540" s="26">
        <v>1</v>
      </c>
    </row>
    <row r="1541" spans="1:1" x14ac:dyDescent="0.3">
      <c r="A1541" s="27">
        <v>1</v>
      </c>
    </row>
    <row r="1542" spans="1:1" x14ac:dyDescent="0.3">
      <c r="A1542" s="26">
        <v>1</v>
      </c>
    </row>
    <row r="1543" spans="1:1" x14ac:dyDescent="0.3">
      <c r="A1543" s="27">
        <v>1</v>
      </c>
    </row>
    <row r="1544" spans="1:1" x14ac:dyDescent="0.3">
      <c r="A1544" s="26">
        <v>1</v>
      </c>
    </row>
    <row r="1545" spans="1:1" x14ac:dyDescent="0.3">
      <c r="A1545" s="27">
        <v>1</v>
      </c>
    </row>
    <row r="1546" spans="1:1" x14ac:dyDescent="0.3">
      <c r="A1546" s="26">
        <v>1</v>
      </c>
    </row>
    <row r="1547" spans="1:1" x14ac:dyDescent="0.3">
      <c r="A1547" s="27">
        <v>1</v>
      </c>
    </row>
    <row r="1548" spans="1:1" x14ac:dyDescent="0.3">
      <c r="A1548" s="26">
        <v>1</v>
      </c>
    </row>
    <row r="1549" spans="1:1" x14ac:dyDescent="0.3">
      <c r="A1549" s="27">
        <v>1</v>
      </c>
    </row>
    <row r="1550" spans="1:1" x14ac:dyDescent="0.3">
      <c r="A1550" s="26">
        <v>1</v>
      </c>
    </row>
    <row r="1551" spans="1:1" x14ac:dyDescent="0.3">
      <c r="A1551" s="27">
        <v>1</v>
      </c>
    </row>
    <row r="1552" spans="1:1" x14ac:dyDescent="0.3">
      <c r="A1552" s="26">
        <v>1</v>
      </c>
    </row>
    <row r="1553" spans="1:1" x14ac:dyDescent="0.3">
      <c r="A1553" s="27">
        <v>1</v>
      </c>
    </row>
    <row r="1554" spans="1:1" x14ac:dyDescent="0.3">
      <c r="A1554" s="26">
        <v>1</v>
      </c>
    </row>
    <row r="1555" spans="1:1" x14ac:dyDescent="0.3">
      <c r="A1555" s="27">
        <v>1</v>
      </c>
    </row>
    <row r="1556" spans="1:1" x14ac:dyDescent="0.3">
      <c r="A1556" s="26">
        <v>1</v>
      </c>
    </row>
    <row r="1557" spans="1:1" x14ac:dyDescent="0.3">
      <c r="A1557" s="27">
        <v>1</v>
      </c>
    </row>
    <row r="1558" spans="1:1" x14ac:dyDescent="0.3">
      <c r="A1558" s="26">
        <v>1</v>
      </c>
    </row>
    <row r="1559" spans="1:1" x14ac:dyDescent="0.3">
      <c r="A1559" s="27">
        <v>1</v>
      </c>
    </row>
    <row r="1560" spans="1:1" x14ac:dyDescent="0.3">
      <c r="A1560" s="26">
        <v>1</v>
      </c>
    </row>
    <row r="1561" spans="1:1" x14ac:dyDescent="0.3">
      <c r="A1561" s="27">
        <v>1</v>
      </c>
    </row>
    <row r="1562" spans="1:1" x14ac:dyDescent="0.3">
      <c r="A1562" s="26">
        <v>1</v>
      </c>
    </row>
    <row r="1563" spans="1:1" x14ac:dyDescent="0.3">
      <c r="A1563" s="27">
        <v>1</v>
      </c>
    </row>
    <row r="1564" spans="1:1" x14ac:dyDescent="0.3">
      <c r="A1564" s="26">
        <v>1</v>
      </c>
    </row>
    <row r="1565" spans="1:1" x14ac:dyDescent="0.3">
      <c r="A1565" s="27">
        <v>1</v>
      </c>
    </row>
    <row r="1566" spans="1:1" x14ac:dyDescent="0.3">
      <c r="A1566" s="26">
        <v>1</v>
      </c>
    </row>
    <row r="1567" spans="1:1" x14ac:dyDescent="0.3">
      <c r="A1567" s="27">
        <v>1</v>
      </c>
    </row>
    <row r="1568" spans="1:1" x14ac:dyDescent="0.3">
      <c r="A1568" s="26">
        <v>1</v>
      </c>
    </row>
    <row r="1569" spans="1:1" x14ac:dyDescent="0.3">
      <c r="A1569" s="27">
        <v>1</v>
      </c>
    </row>
    <row r="1570" spans="1:1" x14ac:dyDescent="0.3">
      <c r="A1570" s="26">
        <v>1</v>
      </c>
    </row>
    <row r="1571" spans="1:1" x14ac:dyDescent="0.3">
      <c r="A1571" s="27">
        <v>1</v>
      </c>
    </row>
    <row r="1572" spans="1:1" x14ac:dyDescent="0.3">
      <c r="A1572" s="26">
        <v>1</v>
      </c>
    </row>
    <row r="1573" spans="1:1" x14ac:dyDescent="0.3">
      <c r="A1573" s="27">
        <v>1</v>
      </c>
    </row>
    <row r="1574" spans="1:1" x14ac:dyDescent="0.3">
      <c r="A1574" s="26">
        <v>1</v>
      </c>
    </row>
    <row r="1575" spans="1:1" x14ac:dyDescent="0.3">
      <c r="A1575" s="27">
        <v>1</v>
      </c>
    </row>
    <row r="1576" spans="1:1" x14ac:dyDescent="0.3">
      <c r="A1576" s="26">
        <v>1</v>
      </c>
    </row>
    <row r="1577" spans="1:1" x14ac:dyDescent="0.3">
      <c r="A1577" s="27">
        <v>1</v>
      </c>
    </row>
    <row r="1578" spans="1:1" x14ac:dyDescent="0.3">
      <c r="A1578" s="26">
        <v>1</v>
      </c>
    </row>
    <row r="1579" spans="1:1" x14ac:dyDescent="0.3">
      <c r="A1579" s="27">
        <v>1</v>
      </c>
    </row>
    <row r="1580" spans="1:1" x14ac:dyDescent="0.3">
      <c r="A1580" s="26">
        <v>1</v>
      </c>
    </row>
    <row r="1581" spans="1:1" x14ac:dyDescent="0.3">
      <c r="A1581" s="27">
        <v>1</v>
      </c>
    </row>
    <row r="1582" spans="1:1" x14ac:dyDescent="0.3">
      <c r="A1582" s="26">
        <v>1</v>
      </c>
    </row>
    <row r="1583" spans="1:1" x14ac:dyDescent="0.3">
      <c r="A1583" s="27">
        <v>1</v>
      </c>
    </row>
    <row r="1584" spans="1:1" x14ac:dyDescent="0.3">
      <c r="A1584" s="26">
        <v>1</v>
      </c>
    </row>
    <row r="1585" spans="1:1" x14ac:dyDescent="0.3">
      <c r="A1585" s="27">
        <v>1</v>
      </c>
    </row>
    <row r="1586" spans="1:1" x14ac:dyDescent="0.3">
      <c r="A1586" s="26">
        <v>1</v>
      </c>
    </row>
    <row r="1587" spans="1:1" x14ac:dyDescent="0.3">
      <c r="A1587" s="27">
        <v>1</v>
      </c>
    </row>
    <row r="1588" spans="1:1" x14ac:dyDescent="0.3">
      <c r="A1588" s="26">
        <v>1</v>
      </c>
    </row>
    <row r="1589" spans="1:1" x14ac:dyDescent="0.3">
      <c r="A1589" s="27">
        <v>1</v>
      </c>
    </row>
    <row r="1590" spans="1:1" x14ac:dyDescent="0.3">
      <c r="A1590" s="26">
        <v>1</v>
      </c>
    </row>
    <row r="1591" spans="1:1" x14ac:dyDescent="0.3">
      <c r="A1591" s="27">
        <v>1</v>
      </c>
    </row>
    <row r="1592" spans="1:1" x14ac:dyDescent="0.3">
      <c r="A1592" s="26">
        <v>1</v>
      </c>
    </row>
    <row r="1593" spans="1:1" x14ac:dyDescent="0.3">
      <c r="A1593" s="27">
        <v>1</v>
      </c>
    </row>
    <row r="1594" spans="1:1" x14ac:dyDescent="0.3">
      <c r="A1594" s="26">
        <v>1</v>
      </c>
    </row>
    <row r="1595" spans="1:1" x14ac:dyDescent="0.3">
      <c r="A1595" s="27">
        <v>1</v>
      </c>
    </row>
    <row r="1596" spans="1:1" x14ac:dyDescent="0.3">
      <c r="A1596" s="26">
        <v>1</v>
      </c>
    </row>
    <row r="1597" spans="1:1" x14ac:dyDescent="0.3">
      <c r="A1597" s="27">
        <v>1</v>
      </c>
    </row>
    <row r="1598" spans="1:1" x14ac:dyDescent="0.3">
      <c r="A1598" s="26">
        <v>1</v>
      </c>
    </row>
    <row r="1599" spans="1:1" x14ac:dyDescent="0.3">
      <c r="A1599" s="27">
        <v>1</v>
      </c>
    </row>
    <row r="1600" spans="1:1" x14ac:dyDescent="0.3">
      <c r="A1600" s="26">
        <v>1</v>
      </c>
    </row>
    <row r="1601" spans="1:1" x14ac:dyDescent="0.3">
      <c r="A1601" s="27">
        <v>1</v>
      </c>
    </row>
    <row r="1602" spans="1:1" x14ac:dyDescent="0.3">
      <c r="A1602" s="26">
        <v>1</v>
      </c>
    </row>
    <row r="1603" spans="1:1" x14ac:dyDescent="0.3">
      <c r="A1603" s="27">
        <v>1</v>
      </c>
    </row>
    <row r="1604" spans="1:1" x14ac:dyDescent="0.3">
      <c r="A1604" s="26">
        <v>1</v>
      </c>
    </row>
    <row r="1605" spans="1:1" x14ac:dyDescent="0.3">
      <c r="A1605" s="27">
        <v>1</v>
      </c>
    </row>
    <row r="1606" spans="1:1" x14ac:dyDescent="0.3">
      <c r="A1606" s="26">
        <v>1</v>
      </c>
    </row>
    <row r="1607" spans="1:1" x14ac:dyDescent="0.3">
      <c r="A1607" s="27">
        <v>1</v>
      </c>
    </row>
    <row r="1608" spans="1:1" x14ac:dyDescent="0.3">
      <c r="A1608" s="26">
        <v>1</v>
      </c>
    </row>
    <row r="1609" spans="1:1" x14ac:dyDescent="0.3">
      <c r="A1609" s="27">
        <v>1</v>
      </c>
    </row>
    <row r="1610" spans="1:1" x14ac:dyDescent="0.3">
      <c r="A1610" s="26">
        <v>1</v>
      </c>
    </row>
    <row r="1611" spans="1:1" x14ac:dyDescent="0.3">
      <c r="A1611" s="27">
        <v>1</v>
      </c>
    </row>
    <row r="1612" spans="1:1" x14ac:dyDescent="0.3">
      <c r="A1612" s="26">
        <v>1</v>
      </c>
    </row>
    <row r="1613" spans="1:1" x14ac:dyDescent="0.3">
      <c r="A1613" s="27">
        <v>1</v>
      </c>
    </row>
    <row r="1614" spans="1:1" x14ac:dyDescent="0.3">
      <c r="A1614" s="26">
        <v>1</v>
      </c>
    </row>
    <row r="1615" spans="1:1" x14ac:dyDescent="0.3">
      <c r="A1615" s="27">
        <v>1</v>
      </c>
    </row>
    <row r="1616" spans="1:1" x14ac:dyDescent="0.3">
      <c r="A1616" s="26">
        <v>1</v>
      </c>
    </row>
    <row r="1617" spans="1:1" x14ac:dyDescent="0.3">
      <c r="A1617" s="27">
        <v>1</v>
      </c>
    </row>
    <row r="1618" spans="1:1" x14ac:dyDescent="0.3">
      <c r="A1618" s="26">
        <v>1</v>
      </c>
    </row>
    <row r="1619" spans="1:1" x14ac:dyDescent="0.3">
      <c r="A1619" s="27">
        <v>1</v>
      </c>
    </row>
    <row r="1620" spans="1:1" x14ac:dyDescent="0.3">
      <c r="A1620" s="26">
        <v>1</v>
      </c>
    </row>
    <row r="1621" spans="1:1" x14ac:dyDescent="0.3">
      <c r="A1621" s="27">
        <v>1</v>
      </c>
    </row>
    <row r="1622" spans="1:1" x14ac:dyDescent="0.3">
      <c r="A1622" s="26">
        <v>1</v>
      </c>
    </row>
    <row r="1623" spans="1:1" x14ac:dyDescent="0.3">
      <c r="A1623" s="27">
        <v>1</v>
      </c>
    </row>
    <row r="1624" spans="1:1" x14ac:dyDescent="0.3">
      <c r="A1624" s="26">
        <v>1</v>
      </c>
    </row>
    <row r="1625" spans="1:1" x14ac:dyDescent="0.3">
      <c r="A1625" s="27">
        <v>1</v>
      </c>
    </row>
    <row r="1626" spans="1:1" x14ac:dyDescent="0.3">
      <c r="A1626" s="26">
        <v>1</v>
      </c>
    </row>
    <row r="1627" spans="1:1" x14ac:dyDescent="0.3">
      <c r="A1627" s="27">
        <v>1</v>
      </c>
    </row>
    <row r="1628" spans="1:1" x14ac:dyDescent="0.3">
      <c r="A1628" s="26">
        <v>1</v>
      </c>
    </row>
    <row r="1629" spans="1:1" x14ac:dyDescent="0.3">
      <c r="A1629" s="27">
        <v>1</v>
      </c>
    </row>
    <row r="1630" spans="1:1" x14ac:dyDescent="0.3">
      <c r="A1630" s="26">
        <v>1</v>
      </c>
    </row>
    <row r="1631" spans="1:1" x14ac:dyDescent="0.3">
      <c r="A1631" s="27">
        <v>1</v>
      </c>
    </row>
    <row r="1632" spans="1:1" x14ac:dyDescent="0.3">
      <c r="A1632" s="26">
        <v>1</v>
      </c>
    </row>
    <row r="1633" spans="1:1" x14ac:dyDescent="0.3">
      <c r="A1633" s="27">
        <v>1</v>
      </c>
    </row>
    <row r="1634" spans="1:1" x14ac:dyDescent="0.3">
      <c r="A1634" s="26">
        <v>1</v>
      </c>
    </row>
    <row r="1635" spans="1:1" x14ac:dyDescent="0.3">
      <c r="A1635" s="27">
        <v>1</v>
      </c>
    </row>
    <row r="1636" spans="1:1" x14ac:dyDescent="0.3">
      <c r="A1636" s="26">
        <v>1</v>
      </c>
    </row>
    <row r="1637" spans="1:1" x14ac:dyDescent="0.3">
      <c r="A1637" s="27">
        <v>1</v>
      </c>
    </row>
    <row r="1638" spans="1:1" x14ac:dyDescent="0.3">
      <c r="A1638" s="26">
        <v>1</v>
      </c>
    </row>
    <row r="1639" spans="1:1" x14ac:dyDescent="0.3">
      <c r="A1639" s="27">
        <v>1</v>
      </c>
    </row>
    <row r="1640" spans="1:1" x14ac:dyDescent="0.3">
      <c r="A1640" s="26">
        <v>1</v>
      </c>
    </row>
    <row r="1641" spans="1:1" x14ac:dyDescent="0.3">
      <c r="A1641" s="27">
        <v>1</v>
      </c>
    </row>
    <row r="1642" spans="1:1" x14ac:dyDescent="0.3">
      <c r="A1642" s="26">
        <v>1</v>
      </c>
    </row>
    <row r="1643" spans="1:1" x14ac:dyDescent="0.3">
      <c r="A1643" s="27">
        <v>1</v>
      </c>
    </row>
    <row r="1644" spans="1:1" x14ac:dyDescent="0.3">
      <c r="A1644" s="26">
        <v>1</v>
      </c>
    </row>
    <row r="1645" spans="1:1" x14ac:dyDescent="0.3">
      <c r="A1645" s="27">
        <v>1</v>
      </c>
    </row>
    <row r="1646" spans="1:1" x14ac:dyDescent="0.3">
      <c r="A1646" s="26">
        <v>1</v>
      </c>
    </row>
    <row r="1647" spans="1:1" x14ac:dyDescent="0.3">
      <c r="A1647" s="27">
        <v>1</v>
      </c>
    </row>
    <row r="1648" spans="1:1" x14ac:dyDescent="0.3">
      <c r="A1648" s="26">
        <v>1</v>
      </c>
    </row>
    <row r="1649" spans="1:1" x14ac:dyDescent="0.3">
      <c r="A1649" s="27">
        <v>1</v>
      </c>
    </row>
    <row r="1650" spans="1:1" x14ac:dyDescent="0.3">
      <c r="A1650" s="26">
        <v>1</v>
      </c>
    </row>
    <row r="1651" spans="1:1" x14ac:dyDescent="0.3">
      <c r="A1651" s="27">
        <v>1</v>
      </c>
    </row>
    <row r="1652" spans="1:1" x14ac:dyDescent="0.3">
      <c r="A1652" s="26">
        <v>1</v>
      </c>
    </row>
    <row r="1653" spans="1:1" x14ac:dyDescent="0.3">
      <c r="A1653" s="27">
        <v>1</v>
      </c>
    </row>
    <row r="1654" spans="1:1" x14ac:dyDescent="0.3">
      <c r="A1654" s="26">
        <v>1</v>
      </c>
    </row>
    <row r="1655" spans="1:1" x14ac:dyDescent="0.3">
      <c r="A1655" s="27">
        <v>1</v>
      </c>
    </row>
    <row r="1656" spans="1:1" x14ac:dyDescent="0.3">
      <c r="A1656" s="26">
        <v>1</v>
      </c>
    </row>
    <row r="1657" spans="1:1" x14ac:dyDescent="0.3">
      <c r="A1657" s="27">
        <v>1</v>
      </c>
    </row>
    <row r="1658" spans="1:1" x14ac:dyDescent="0.3">
      <c r="A1658" s="26">
        <v>1</v>
      </c>
    </row>
    <row r="1659" spans="1:1" x14ac:dyDescent="0.3">
      <c r="A1659" s="27">
        <v>1</v>
      </c>
    </row>
    <row r="1660" spans="1:1" x14ac:dyDescent="0.3">
      <c r="A1660" s="26">
        <v>1</v>
      </c>
    </row>
    <row r="1661" spans="1:1" x14ac:dyDescent="0.3">
      <c r="A1661" s="27">
        <v>1</v>
      </c>
    </row>
    <row r="1662" spans="1:1" x14ac:dyDescent="0.3">
      <c r="A1662" s="26">
        <v>1</v>
      </c>
    </row>
    <row r="1663" spans="1:1" x14ac:dyDescent="0.3">
      <c r="A1663" s="27">
        <v>1</v>
      </c>
    </row>
    <row r="1664" spans="1:1" x14ac:dyDescent="0.3">
      <c r="A1664" s="26">
        <v>1</v>
      </c>
    </row>
    <row r="1665" spans="1:1" x14ac:dyDescent="0.3">
      <c r="A1665" s="27">
        <v>1</v>
      </c>
    </row>
    <row r="1666" spans="1:1" x14ac:dyDescent="0.3">
      <c r="A1666" s="26">
        <v>1</v>
      </c>
    </row>
    <row r="1667" spans="1:1" x14ac:dyDescent="0.3">
      <c r="A1667" s="27">
        <v>1</v>
      </c>
    </row>
    <row r="1668" spans="1:1" x14ac:dyDescent="0.3">
      <c r="A1668" s="26">
        <v>1</v>
      </c>
    </row>
    <row r="1669" spans="1:1" x14ac:dyDescent="0.3">
      <c r="A1669" s="27">
        <v>1</v>
      </c>
    </row>
    <row r="1670" spans="1:1" x14ac:dyDescent="0.3">
      <c r="A1670" s="26">
        <v>1</v>
      </c>
    </row>
    <row r="1671" spans="1:1" x14ac:dyDescent="0.3">
      <c r="A1671" s="27">
        <v>1</v>
      </c>
    </row>
    <row r="1672" spans="1:1" x14ac:dyDescent="0.3">
      <c r="A1672" s="26">
        <v>1</v>
      </c>
    </row>
    <row r="1673" spans="1:1" x14ac:dyDescent="0.3">
      <c r="A1673" s="27">
        <v>1</v>
      </c>
    </row>
    <row r="1674" spans="1:1" x14ac:dyDescent="0.3">
      <c r="A1674" s="26">
        <v>1</v>
      </c>
    </row>
    <row r="1675" spans="1:1" x14ac:dyDescent="0.3">
      <c r="A1675" s="27">
        <v>1</v>
      </c>
    </row>
    <row r="1676" spans="1:1" x14ac:dyDescent="0.3">
      <c r="A1676" s="26">
        <v>1</v>
      </c>
    </row>
    <row r="1677" spans="1:1" x14ac:dyDescent="0.3">
      <c r="A1677" s="27">
        <v>1</v>
      </c>
    </row>
    <row r="1678" spans="1:1" x14ac:dyDescent="0.3">
      <c r="A1678" s="26">
        <v>1</v>
      </c>
    </row>
    <row r="1679" spans="1:1" x14ac:dyDescent="0.3">
      <c r="A1679" s="27">
        <v>1</v>
      </c>
    </row>
    <row r="1680" spans="1:1" x14ac:dyDescent="0.3">
      <c r="A1680" s="26">
        <v>1</v>
      </c>
    </row>
    <row r="1681" spans="1:1" x14ac:dyDescent="0.3">
      <c r="A1681" s="27">
        <v>1</v>
      </c>
    </row>
    <row r="1682" spans="1:1" x14ac:dyDescent="0.3">
      <c r="A1682" s="26">
        <v>1</v>
      </c>
    </row>
    <row r="1683" spans="1:1" x14ac:dyDescent="0.3">
      <c r="A1683" s="27">
        <v>1</v>
      </c>
    </row>
    <row r="1684" spans="1:1" x14ac:dyDescent="0.3">
      <c r="A1684" s="26">
        <v>1</v>
      </c>
    </row>
    <row r="1685" spans="1:1" x14ac:dyDescent="0.3">
      <c r="A1685" s="27">
        <v>1</v>
      </c>
    </row>
    <row r="1686" spans="1:1" x14ac:dyDescent="0.3">
      <c r="A1686" s="26">
        <v>1</v>
      </c>
    </row>
    <row r="1687" spans="1:1" x14ac:dyDescent="0.3">
      <c r="A1687" s="27">
        <v>1</v>
      </c>
    </row>
    <row r="1688" spans="1:1" x14ac:dyDescent="0.3">
      <c r="A1688" s="26">
        <v>1</v>
      </c>
    </row>
    <row r="1689" spans="1:1" x14ac:dyDescent="0.3">
      <c r="A1689" s="27">
        <v>1</v>
      </c>
    </row>
    <row r="1690" spans="1:1" x14ac:dyDescent="0.3">
      <c r="A1690" s="26">
        <v>1</v>
      </c>
    </row>
    <row r="1691" spans="1:1" x14ac:dyDescent="0.3">
      <c r="A1691" s="27">
        <v>1</v>
      </c>
    </row>
    <row r="1692" spans="1:1" x14ac:dyDescent="0.3">
      <c r="A1692" s="26">
        <v>1</v>
      </c>
    </row>
    <row r="1693" spans="1:1" x14ac:dyDescent="0.3">
      <c r="A1693" s="27">
        <v>1</v>
      </c>
    </row>
    <row r="1694" spans="1:1" x14ac:dyDescent="0.3">
      <c r="A1694" s="26">
        <v>1</v>
      </c>
    </row>
    <row r="1695" spans="1:1" x14ac:dyDescent="0.3">
      <c r="A1695" s="27">
        <v>1</v>
      </c>
    </row>
    <row r="1696" spans="1:1" x14ac:dyDescent="0.3">
      <c r="A1696" s="26">
        <v>1</v>
      </c>
    </row>
    <row r="1697" spans="1:1" x14ac:dyDescent="0.3">
      <c r="A1697" s="27">
        <v>1</v>
      </c>
    </row>
    <row r="1698" spans="1:1" x14ac:dyDescent="0.3">
      <c r="A1698" s="26">
        <v>1</v>
      </c>
    </row>
    <row r="1699" spans="1:1" x14ac:dyDescent="0.3">
      <c r="A1699" s="27">
        <v>1</v>
      </c>
    </row>
    <row r="1700" spans="1:1" x14ac:dyDescent="0.3">
      <c r="A1700" s="26">
        <v>1</v>
      </c>
    </row>
    <row r="1701" spans="1:1" x14ac:dyDescent="0.3">
      <c r="A1701" s="27">
        <v>1</v>
      </c>
    </row>
    <row r="1702" spans="1:1" x14ac:dyDescent="0.3">
      <c r="A1702" s="26">
        <v>1</v>
      </c>
    </row>
    <row r="1703" spans="1:1" x14ac:dyDescent="0.3">
      <c r="A1703" s="27">
        <v>1</v>
      </c>
    </row>
    <row r="1704" spans="1:1" x14ac:dyDescent="0.3">
      <c r="A1704" s="26">
        <v>1</v>
      </c>
    </row>
    <row r="1705" spans="1:1" x14ac:dyDescent="0.3">
      <c r="A1705" s="27">
        <v>1</v>
      </c>
    </row>
    <row r="1706" spans="1:1" x14ac:dyDescent="0.3">
      <c r="A1706" s="26">
        <v>1</v>
      </c>
    </row>
    <row r="1707" spans="1:1" x14ac:dyDescent="0.3">
      <c r="A1707" s="27">
        <v>1</v>
      </c>
    </row>
    <row r="1708" spans="1:1" x14ac:dyDescent="0.3">
      <c r="A1708" s="26">
        <v>1</v>
      </c>
    </row>
    <row r="1709" spans="1:1" x14ac:dyDescent="0.3">
      <c r="A1709" s="27">
        <v>1</v>
      </c>
    </row>
    <row r="1710" spans="1:1" x14ac:dyDescent="0.3">
      <c r="A1710" s="26">
        <v>1</v>
      </c>
    </row>
    <row r="1711" spans="1:1" x14ac:dyDescent="0.3">
      <c r="A1711" s="27">
        <v>1</v>
      </c>
    </row>
    <row r="1712" spans="1:1" x14ac:dyDescent="0.3">
      <c r="A1712" s="26">
        <v>1</v>
      </c>
    </row>
    <row r="1713" spans="1:1" x14ac:dyDescent="0.3">
      <c r="A1713" s="27">
        <v>1</v>
      </c>
    </row>
    <row r="1714" spans="1:1" x14ac:dyDescent="0.3">
      <c r="A1714" s="26">
        <v>1</v>
      </c>
    </row>
    <row r="1715" spans="1:1" x14ac:dyDescent="0.3">
      <c r="A1715" s="27">
        <v>1</v>
      </c>
    </row>
    <row r="1716" spans="1:1" x14ac:dyDescent="0.3">
      <c r="A1716" s="26">
        <v>1</v>
      </c>
    </row>
    <row r="1717" spans="1:1" x14ac:dyDescent="0.3">
      <c r="A1717" s="27">
        <v>1</v>
      </c>
    </row>
    <row r="1718" spans="1:1" x14ac:dyDescent="0.3">
      <c r="A1718" s="26">
        <v>1</v>
      </c>
    </row>
    <row r="1719" spans="1:1" x14ac:dyDescent="0.3">
      <c r="A1719" s="27">
        <v>1</v>
      </c>
    </row>
    <row r="1720" spans="1:1" x14ac:dyDescent="0.3">
      <c r="A1720" s="26">
        <v>1</v>
      </c>
    </row>
    <row r="1721" spans="1:1" x14ac:dyDescent="0.3">
      <c r="A1721" s="27">
        <v>1</v>
      </c>
    </row>
    <row r="1722" spans="1:1" x14ac:dyDescent="0.3">
      <c r="A1722" s="26">
        <v>1</v>
      </c>
    </row>
    <row r="1723" spans="1:1" x14ac:dyDescent="0.3">
      <c r="A1723" s="27">
        <v>1</v>
      </c>
    </row>
    <row r="1724" spans="1:1" x14ac:dyDescent="0.3">
      <c r="A1724" s="26">
        <v>1</v>
      </c>
    </row>
    <row r="1725" spans="1:1" x14ac:dyDescent="0.3">
      <c r="A1725" s="27">
        <v>1</v>
      </c>
    </row>
    <row r="1726" spans="1:1" x14ac:dyDescent="0.3">
      <c r="A1726" s="26">
        <v>1</v>
      </c>
    </row>
    <row r="1727" spans="1:1" x14ac:dyDescent="0.3">
      <c r="A1727" s="27">
        <v>1</v>
      </c>
    </row>
    <row r="1728" spans="1:1" x14ac:dyDescent="0.3">
      <c r="A1728" s="26">
        <v>1</v>
      </c>
    </row>
    <row r="1729" spans="1:1" x14ac:dyDescent="0.3">
      <c r="A1729" s="27">
        <v>1</v>
      </c>
    </row>
    <row r="1730" spans="1:1" x14ac:dyDescent="0.3">
      <c r="A1730" s="26">
        <v>1</v>
      </c>
    </row>
    <row r="1731" spans="1:1" x14ac:dyDescent="0.3">
      <c r="A1731" s="27">
        <v>1</v>
      </c>
    </row>
    <row r="1732" spans="1:1" x14ac:dyDescent="0.3">
      <c r="A1732" s="26">
        <v>1</v>
      </c>
    </row>
    <row r="1733" spans="1:1" x14ac:dyDescent="0.3">
      <c r="A1733" s="27">
        <v>1</v>
      </c>
    </row>
    <row r="1734" spans="1:1" x14ac:dyDescent="0.3">
      <c r="A1734" s="26">
        <v>1</v>
      </c>
    </row>
    <row r="1735" spans="1:1" x14ac:dyDescent="0.3">
      <c r="A1735" s="27">
        <v>1</v>
      </c>
    </row>
    <row r="1736" spans="1:1" x14ac:dyDescent="0.3">
      <c r="A1736" s="26">
        <v>1</v>
      </c>
    </row>
    <row r="1737" spans="1:1" x14ac:dyDescent="0.3">
      <c r="A1737" s="27">
        <v>1</v>
      </c>
    </row>
    <row r="1738" spans="1:1" x14ac:dyDescent="0.3">
      <c r="A1738" s="26">
        <v>1</v>
      </c>
    </row>
    <row r="1739" spans="1:1" x14ac:dyDescent="0.3">
      <c r="A1739" s="27">
        <v>1</v>
      </c>
    </row>
    <row r="1740" spans="1:1" x14ac:dyDescent="0.3">
      <c r="A1740" s="26">
        <v>1</v>
      </c>
    </row>
    <row r="1741" spans="1:1" x14ac:dyDescent="0.3">
      <c r="A1741" s="27">
        <v>1</v>
      </c>
    </row>
    <row r="1742" spans="1:1" x14ac:dyDescent="0.3">
      <c r="A1742" s="26">
        <v>1</v>
      </c>
    </row>
    <row r="1743" spans="1:1" x14ac:dyDescent="0.3">
      <c r="A1743" s="27">
        <v>1</v>
      </c>
    </row>
    <row r="1744" spans="1:1" x14ac:dyDescent="0.3">
      <c r="A1744" s="26">
        <v>1</v>
      </c>
    </row>
    <row r="1745" spans="1:1" x14ac:dyDescent="0.3">
      <c r="A1745" s="27">
        <v>1</v>
      </c>
    </row>
    <row r="1746" spans="1:1" x14ac:dyDescent="0.3">
      <c r="A1746" s="26">
        <v>1</v>
      </c>
    </row>
    <row r="1747" spans="1:1" x14ac:dyDescent="0.3">
      <c r="A1747" s="27">
        <v>1</v>
      </c>
    </row>
    <row r="1748" spans="1:1" x14ac:dyDescent="0.3">
      <c r="A1748" s="26">
        <v>1</v>
      </c>
    </row>
    <row r="1749" spans="1:1" x14ac:dyDescent="0.3">
      <c r="A1749" s="27">
        <v>1</v>
      </c>
    </row>
    <row r="1750" spans="1:1" x14ac:dyDescent="0.3">
      <c r="A1750" s="26">
        <v>1</v>
      </c>
    </row>
    <row r="1751" spans="1:1" x14ac:dyDescent="0.3">
      <c r="A1751" s="27">
        <v>1</v>
      </c>
    </row>
    <row r="1752" spans="1:1" x14ac:dyDescent="0.3">
      <c r="A1752" s="26">
        <v>1</v>
      </c>
    </row>
    <row r="1753" spans="1:1" x14ac:dyDescent="0.3">
      <c r="A1753" s="27">
        <v>1</v>
      </c>
    </row>
    <row r="1754" spans="1:1" x14ac:dyDescent="0.3">
      <c r="A1754" s="26">
        <v>1</v>
      </c>
    </row>
    <row r="1755" spans="1:1" x14ac:dyDescent="0.3">
      <c r="A1755" s="27">
        <v>1</v>
      </c>
    </row>
    <row r="1756" spans="1:1" x14ac:dyDescent="0.3">
      <c r="A1756" s="26">
        <v>1</v>
      </c>
    </row>
    <row r="1757" spans="1:1" x14ac:dyDescent="0.3">
      <c r="A1757" s="27">
        <v>1</v>
      </c>
    </row>
    <row r="1758" spans="1:1" x14ac:dyDescent="0.3">
      <c r="A1758" s="26">
        <v>1</v>
      </c>
    </row>
    <row r="1759" spans="1:1" x14ac:dyDescent="0.3">
      <c r="A1759" s="27">
        <v>1</v>
      </c>
    </row>
    <row r="1760" spans="1:1" x14ac:dyDescent="0.3">
      <c r="A1760" s="26">
        <v>1</v>
      </c>
    </row>
    <row r="1761" spans="1:1" x14ac:dyDescent="0.3">
      <c r="A1761" s="27">
        <v>1</v>
      </c>
    </row>
    <row r="1762" spans="1:1" x14ac:dyDescent="0.3">
      <c r="A1762" s="26">
        <v>1</v>
      </c>
    </row>
    <row r="1763" spans="1:1" x14ac:dyDescent="0.3">
      <c r="A1763" s="27">
        <v>1</v>
      </c>
    </row>
    <row r="1764" spans="1:1" x14ac:dyDescent="0.3">
      <c r="A1764" s="26">
        <v>1</v>
      </c>
    </row>
    <row r="1765" spans="1:1" x14ac:dyDescent="0.3">
      <c r="A1765" s="27">
        <v>1</v>
      </c>
    </row>
    <row r="1766" spans="1:1" x14ac:dyDescent="0.3">
      <c r="A1766" s="26">
        <v>1</v>
      </c>
    </row>
    <row r="1767" spans="1:1" x14ac:dyDescent="0.3">
      <c r="A1767" s="27">
        <v>1</v>
      </c>
    </row>
    <row r="1768" spans="1:1" x14ac:dyDescent="0.3">
      <c r="A1768" s="26">
        <v>1</v>
      </c>
    </row>
    <row r="1769" spans="1:1" x14ac:dyDescent="0.3">
      <c r="A1769" s="27">
        <v>1</v>
      </c>
    </row>
    <row r="1770" spans="1:1" x14ac:dyDescent="0.3">
      <c r="A1770" s="26">
        <v>1</v>
      </c>
    </row>
    <row r="1771" spans="1:1" x14ac:dyDescent="0.3">
      <c r="A1771" s="27">
        <v>1</v>
      </c>
    </row>
    <row r="1772" spans="1:1" x14ac:dyDescent="0.3">
      <c r="A1772" s="26">
        <v>1</v>
      </c>
    </row>
    <row r="1773" spans="1:1" x14ac:dyDescent="0.3">
      <c r="A1773" s="27">
        <v>1</v>
      </c>
    </row>
    <row r="1774" spans="1:1" x14ac:dyDescent="0.3">
      <c r="A1774" s="26">
        <v>1</v>
      </c>
    </row>
    <row r="1775" spans="1:1" x14ac:dyDescent="0.3">
      <c r="A1775" s="27">
        <v>1</v>
      </c>
    </row>
    <row r="1776" spans="1:1" x14ac:dyDescent="0.3">
      <c r="A1776" s="26">
        <v>1</v>
      </c>
    </row>
    <row r="1777" spans="1:1" x14ac:dyDescent="0.3">
      <c r="A1777" s="27">
        <v>1</v>
      </c>
    </row>
    <row r="1778" spans="1:1" x14ac:dyDescent="0.3">
      <c r="A1778" s="26">
        <v>1</v>
      </c>
    </row>
    <row r="1779" spans="1:1" x14ac:dyDescent="0.3">
      <c r="A1779" s="27">
        <v>1</v>
      </c>
    </row>
    <row r="1780" spans="1:1" x14ac:dyDescent="0.3">
      <c r="A1780" s="26">
        <v>1</v>
      </c>
    </row>
    <row r="1781" spans="1:1" x14ac:dyDescent="0.3">
      <c r="A1781" s="27">
        <v>1</v>
      </c>
    </row>
    <row r="1782" spans="1:1" x14ac:dyDescent="0.3">
      <c r="A1782" s="26">
        <v>1</v>
      </c>
    </row>
    <row r="1783" spans="1:1" x14ac:dyDescent="0.3">
      <c r="A1783" s="27">
        <v>1</v>
      </c>
    </row>
    <row r="1784" spans="1:1" x14ac:dyDescent="0.3">
      <c r="A1784" s="26">
        <v>1</v>
      </c>
    </row>
    <row r="1785" spans="1:1" x14ac:dyDescent="0.3">
      <c r="A1785" s="27">
        <v>1</v>
      </c>
    </row>
    <row r="1786" spans="1:1" x14ac:dyDescent="0.3">
      <c r="A1786" s="26">
        <v>1</v>
      </c>
    </row>
    <row r="1787" spans="1:1" x14ac:dyDescent="0.3">
      <c r="A1787" s="27">
        <v>1</v>
      </c>
    </row>
    <row r="1788" spans="1:1" x14ac:dyDescent="0.3">
      <c r="A1788" s="26">
        <v>1</v>
      </c>
    </row>
    <row r="1789" spans="1:1" x14ac:dyDescent="0.3">
      <c r="A1789" s="27">
        <v>1</v>
      </c>
    </row>
    <row r="1790" spans="1:1" x14ac:dyDescent="0.3">
      <c r="A1790" s="26">
        <v>1</v>
      </c>
    </row>
    <row r="1791" spans="1:1" x14ac:dyDescent="0.3">
      <c r="A1791" s="27">
        <v>1</v>
      </c>
    </row>
    <row r="1792" spans="1:1" x14ac:dyDescent="0.3">
      <c r="A1792" s="26">
        <v>1</v>
      </c>
    </row>
    <row r="1793" spans="1:1" x14ac:dyDescent="0.3">
      <c r="A1793" s="27">
        <v>1</v>
      </c>
    </row>
    <row r="1794" spans="1:1" x14ac:dyDescent="0.3">
      <c r="A1794" s="26">
        <v>1</v>
      </c>
    </row>
    <row r="1795" spans="1:1" x14ac:dyDescent="0.3">
      <c r="A1795" s="27">
        <v>1</v>
      </c>
    </row>
    <row r="1796" spans="1:1" x14ac:dyDescent="0.3">
      <c r="A1796" s="26">
        <v>1</v>
      </c>
    </row>
    <row r="1797" spans="1:1" x14ac:dyDescent="0.3">
      <c r="A1797" s="27">
        <v>1</v>
      </c>
    </row>
    <row r="1798" spans="1:1" x14ac:dyDescent="0.3">
      <c r="A1798" s="26">
        <v>1</v>
      </c>
    </row>
    <row r="1799" spans="1:1" x14ac:dyDescent="0.3">
      <c r="A1799" s="27">
        <v>1</v>
      </c>
    </row>
    <row r="1800" spans="1:1" x14ac:dyDescent="0.3">
      <c r="A1800" s="26">
        <v>1</v>
      </c>
    </row>
    <row r="1801" spans="1:1" x14ac:dyDescent="0.3">
      <c r="A1801" s="27">
        <v>1</v>
      </c>
    </row>
    <row r="1802" spans="1:1" x14ac:dyDescent="0.3">
      <c r="A1802" s="26">
        <v>1</v>
      </c>
    </row>
    <row r="1803" spans="1:1" x14ac:dyDescent="0.3">
      <c r="A1803" s="27">
        <v>1</v>
      </c>
    </row>
    <row r="1804" spans="1:1" x14ac:dyDescent="0.3">
      <c r="A1804" s="26">
        <v>1</v>
      </c>
    </row>
    <row r="1805" spans="1:1" x14ac:dyDescent="0.3">
      <c r="A1805" s="27">
        <v>1</v>
      </c>
    </row>
    <row r="1806" spans="1:1" x14ac:dyDescent="0.3">
      <c r="A1806" s="26">
        <v>1</v>
      </c>
    </row>
    <row r="1807" spans="1:1" x14ac:dyDescent="0.3">
      <c r="A1807" s="27">
        <v>1</v>
      </c>
    </row>
    <row r="1808" spans="1:1" x14ac:dyDescent="0.3">
      <c r="A1808" s="26">
        <v>1</v>
      </c>
    </row>
    <row r="1809" spans="1:1" x14ac:dyDescent="0.3">
      <c r="A1809" s="27">
        <v>1</v>
      </c>
    </row>
    <row r="1810" spans="1:1" x14ac:dyDescent="0.3">
      <c r="A1810" s="26">
        <v>1</v>
      </c>
    </row>
    <row r="1811" spans="1:1" x14ac:dyDescent="0.3">
      <c r="A1811" s="27">
        <v>1</v>
      </c>
    </row>
    <row r="1812" spans="1:1" x14ac:dyDescent="0.3">
      <c r="A1812" s="26">
        <v>1</v>
      </c>
    </row>
    <row r="1813" spans="1:1" x14ac:dyDescent="0.3">
      <c r="A1813" s="27">
        <v>1</v>
      </c>
    </row>
    <row r="1814" spans="1:1" x14ac:dyDescent="0.3">
      <c r="A1814" s="26">
        <v>1</v>
      </c>
    </row>
    <row r="1815" spans="1:1" x14ac:dyDescent="0.3">
      <c r="A1815" s="27">
        <v>1</v>
      </c>
    </row>
    <row r="1816" spans="1:1" x14ac:dyDescent="0.3">
      <c r="A1816" s="26">
        <v>1</v>
      </c>
    </row>
    <row r="1817" spans="1:1" x14ac:dyDescent="0.3">
      <c r="A1817" s="27">
        <v>1</v>
      </c>
    </row>
    <row r="1818" spans="1:1" x14ac:dyDescent="0.3">
      <c r="A1818" s="26">
        <v>1</v>
      </c>
    </row>
    <row r="1819" spans="1:1" x14ac:dyDescent="0.3">
      <c r="A1819" s="27">
        <v>1</v>
      </c>
    </row>
    <row r="1820" spans="1:1" x14ac:dyDescent="0.3">
      <c r="A1820" s="26">
        <v>1</v>
      </c>
    </row>
    <row r="1821" spans="1:1" x14ac:dyDescent="0.3">
      <c r="A1821" s="27">
        <v>1</v>
      </c>
    </row>
    <row r="1822" spans="1:1" x14ac:dyDescent="0.3">
      <c r="A1822" s="26">
        <v>1</v>
      </c>
    </row>
    <row r="1823" spans="1:1" x14ac:dyDescent="0.3">
      <c r="A1823" s="27">
        <v>1</v>
      </c>
    </row>
    <row r="1824" spans="1:1" x14ac:dyDescent="0.3">
      <c r="A1824" s="26">
        <v>1</v>
      </c>
    </row>
    <row r="1825" spans="1:1" x14ac:dyDescent="0.3">
      <c r="A1825" s="27">
        <v>1</v>
      </c>
    </row>
    <row r="1826" spans="1:1" x14ac:dyDescent="0.3">
      <c r="A1826" s="26">
        <v>1</v>
      </c>
    </row>
    <row r="1827" spans="1:1" x14ac:dyDescent="0.3">
      <c r="A1827" s="27">
        <v>1</v>
      </c>
    </row>
    <row r="1828" spans="1:1" x14ac:dyDescent="0.3">
      <c r="A1828" s="26">
        <v>1</v>
      </c>
    </row>
    <row r="1829" spans="1:1" x14ac:dyDescent="0.3">
      <c r="A1829" s="27">
        <v>1</v>
      </c>
    </row>
    <row r="1830" spans="1:1" x14ac:dyDescent="0.3">
      <c r="A1830" s="26">
        <v>1</v>
      </c>
    </row>
    <row r="1831" spans="1:1" x14ac:dyDescent="0.3">
      <c r="A1831" s="27">
        <v>1</v>
      </c>
    </row>
    <row r="1832" spans="1:1" x14ac:dyDescent="0.3">
      <c r="A1832" s="26">
        <v>1</v>
      </c>
    </row>
    <row r="1833" spans="1:1" x14ac:dyDescent="0.3">
      <c r="A1833" s="27">
        <v>1</v>
      </c>
    </row>
    <row r="1834" spans="1:1" x14ac:dyDescent="0.3">
      <c r="A1834" s="26">
        <v>1</v>
      </c>
    </row>
    <row r="1835" spans="1:1" x14ac:dyDescent="0.3">
      <c r="A1835" s="27">
        <v>1</v>
      </c>
    </row>
    <row r="1836" spans="1:1" x14ac:dyDescent="0.3">
      <c r="A1836" s="26">
        <v>1</v>
      </c>
    </row>
    <row r="1837" spans="1:1" x14ac:dyDescent="0.3">
      <c r="A1837" s="27">
        <v>1</v>
      </c>
    </row>
    <row r="1838" spans="1:1" x14ac:dyDescent="0.3">
      <c r="A1838" s="26">
        <v>1</v>
      </c>
    </row>
    <row r="1839" spans="1:1" x14ac:dyDescent="0.3">
      <c r="A1839" s="27">
        <v>1</v>
      </c>
    </row>
    <row r="1840" spans="1:1" x14ac:dyDescent="0.3">
      <c r="A1840" s="26">
        <v>1</v>
      </c>
    </row>
    <row r="1841" spans="1:1" x14ac:dyDescent="0.3">
      <c r="A1841" s="27">
        <v>1</v>
      </c>
    </row>
    <row r="1842" spans="1:1" x14ac:dyDescent="0.3">
      <c r="A1842" s="26">
        <v>1</v>
      </c>
    </row>
    <row r="1843" spans="1:1" x14ac:dyDescent="0.3">
      <c r="A1843" s="27">
        <v>1</v>
      </c>
    </row>
    <row r="1844" spans="1:1" x14ac:dyDescent="0.3">
      <c r="A1844" s="26">
        <v>1</v>
      </c>
    </row>
    <row r="1845" spans="1:1" x14ac:dyDescent="0.3">
      <c r="A1845" s="27">
        <v>1</v>
      </c>
    </row>
    <row r="1846" spans="1:1" x14ac:dyDescent="0.3">
      <c r="A1846" s="26">
        <v>1</v>
      </c>
    </row>
    <row r="1847" spans="1:1" x14ac:dyDescent="0.3">
      <c r="A1847" s="27">
        <v>1</v>
      </c>
    </row>
    <row r="1848" spans="1:1" x14ac:dyDescent="0.3">
      <c r="A1848" s="26">
        <v>1</v>
      </c>
    </row>
    <row r="1849" spans="1:1" x14ac:dyDescent="0.3">
      <c r="A1849" s="27">
        <v>1</v>
      </c>
    </row>
    <row r="1850" spans="1:1" x14ac:dyDescent="0.3">
      <c r="A1850" s="26">
        <v>1</v>
      </c>
    </row>
    <row r="1851" spans="1:1" x14ac:dyDescent="0.3">
      <c r="A1851" s="27">
        <v>1</v>
      </c>
    </row>
    <row r="1852" spans="1:1" x14ac:dyDescent="0.3">
      <c r="A1852" s="26">
        <v>1</v>
      </c>
    </row>
    <row r="1853" spans="1:1" x14ac:dyDescent="0.3">
      <c r="A1853" s="27">
        <v>1</v>
      </c>
    </row>
    <row r="1854" spans="1:1" x14ac:dyDescent="0.3">
      <c r="A1854" s="26">
        <v>1</v>
      </c>
    </row>
    <row r="1855" spans="1:1" x14ac:dyDescent="0.3">
      <c r="A1855" s="27">
        <v>1</v>
      </c>
    </row>
    <row r="1856" spans="1:1" x14ac:dyDescent="0.3">
      <c r="A1856" s="26">
        <v>1</v>
      </c>
    </row>
    <row r="1857" spans="1:1" x14ac:dyDescent="0.3">
      <c r="A1857" s="27">
        <v>1</v>
      </c>
    </row>
    <row r="1858" spans="1:1" x14ac:dyDescent="0.3">
      <c r="A1858" s="26">
        <v>1</v>
      </c>
    </row>
    <row r="1859" spans="1:1" x14ac:dyDescent="0.3">
      <c r="A1859" s="27">
        <v>1</v>
      </c>
    </row>
    <row r="1860" spans="1:1" x14ac:dyDescent="0.3">
      <c r="A1860" s="26">
        <v>2</v>
      </c>
    </row>
    <row r="1861" spans="1:1" x14ac:dyDescent="0.3">
      <c r="A1861" s="27">
        <v>1</v>
      </c>
    </row>
    <row r="1862" spans="1:1" x14ac:dyDescent="0.3">
      <c r="A1862" s="26">
        <v>1</v>
      </c>
    </row>
    <row r="1863" spans="1:1" x14ac:dyDescent="0.3">
      <c r="A1863" s="27">
        <v>1</v>
      </c>
    </row>
    <row r="1864" spans="1:1" x14ac:dyDescent="0.3">
      <c r="A1864" s="26">
        <v>1</v>
      </c>
    </row>
    <row r="1865" spans="1:1" x14ac:dyDescent="0.3">
      <c r="A1865" s="27">
        <v>1</v>
      </c>
    </row>
    <row r="1866" spans="1:1" x14ac:dyDescent="0.3">
      <c r="A1866" s="26">
        <v>1</v>
      </c>
    </row>
    <row r="1867" spans="1:1" x14ac:dyDescent="0.3">
      <c r="A1867" s="27">
        <v>1</v>
      </c>
    </row>
    <row r="1868" spans="1:1" x14ac:dyDescent="0.3">
      <c r="A1868" s="26">
        <v>1</v>
      </c>
    </row>
    <row r="1869" spans="1:1" x14ac:dyDescent="0.3">
      <c r="A1869" s="27">
        <v>1</v>
      </c>
    </row>
    <row r="1870" spans="1:1" x14ac:dyDescent="0.3">
      <c r="A1870" s="26">
        <v>1</v>
      </c>
    </row>
    <row r="1871" spans="1:1" x14ac:dyDescent="0.3">
      <c r="A1871" s="27">
        <v>1</v>
      </c>
    </row>
    <row r="1872" spans="1:1" x14ac:dyDescent="0.3">
      <c r="A1872" s="26">
        <v>1</v>
      </c>
    </row>
    <row r="1873" spans="1:1" x14ac:dyDescent="0.3">
      <c r="A1873" s="27">
        <v>1</v>
      </c>
    </row>
    <row r="1874" spans="1:1" x14ac:dyDescent="0.3">
      <c r="A1874" s="26">
        <v>1</v>
      </c>
    </row>
    <row r="1875" spans="1:1" x14ac:dyDescent="0.3">
      <c r="A1875" s="27">
        <v>1</v>
      </c>
    </row>
    <row r="1876" spans="1:1" x14ac:dyDescent="0.3">
      <c r="A1876" s="26">
        <v>1</v>
      </c>
    </row>
    <row r="1877" spans="1:1" x14ac:dyDescent="0.3">
      <c r="A1877" s="27">
        <v>1</v>
      </c>
    </row>
    <row r="1878" spans="1:1" x14ac:dyDescent="0.3">
      <c r="A1878" s="26">
        <v>1</v>
      </c>
    </row>
    <row r="1879" spans="1:1" x14ac:dyDescent="0.3">
      <c r="A1879" s="27">
        <v>1</v>
      </c>
    </row>
    <row r="1880" spans="1:1" x14ac:dyDescent="0.3">
      <c r="A1880" s="26">
        <v>2</v>
      </c>
    </row>
    <row r="1881" spans="1:1" x14ac:dyDescent="0.3">
      <c r="A1881" s="27">
        <v>1</v>
      </c>
    </row>
    <row r="1882" spans="1:1" x14ac:dyDescent="0.3">
      <c r="A1882" s="26">
        <v>1</v>
      </c>
    </row>
    <row r="1883" spans="1:1" x14ac:dyDescent="0.3">
      <c r="A1883" s="27">
        <v>1</v>
      </c>
    </row>
    <row r="1884" spans="1:1" x14ac:dyDescent="0.3">
      <c r="A1884" s="26">
        <v>1</v>
      </c>
    </row>
    <row r="1885" spans="1:1" x14ac:dyDescent="0.3">
      <c r="A1885" s="27">
        <v>1</v>
      </c>
    </row>
    <row r="1886" spans="1:1" x14ac:dyDescent="0.3">
      <c r="A1886" s="26">
        <v>1</v>
      </c>
    </row>
    <row r="1887" spans="1:1" x14ac:dyDescent="0.3">
      <c r="A1887" s="27">
        <v>1</v>
      </c>
    </row>
    <row r="1888" spans="1:1" x14ac:dyDescent="0.3">
      <c r="A1888" s="26">
        <v>1</v>
      </c>
    </row>
    <row r="1889" spans="1:1" x14ac:dyDescent="0.3">
      <c r="A1889" s="27">
        <v>1</v>
      </c>
    </row>
    <row r="1890" spans="1:1" x14ac:dyDescent="0.3">
      <c r="A1890" s="26">
        <v>1</v>
      </c>
    </row>
    <row r="1891" spans="1:1" x14ac:dyDescent="0.3">
      <c r="A1891" s="27">
        <v>1</v>
      </c>
    </row>
    <row r="1892" spans="1:1" x14ac:dyDescent="0.3">
      <c r="A1892" s="26">
        <v>1</v>
      </c>
    </row>
    <row r="1893" spans="1:1" x14ac:dyDescent="0.3">
      <c r="A1893" s="27">
        <v>1</v>
      </c>
    </row>
    <row r="1894" spans="1:1" x14ac:dyDescent="0.3">
      <c r="A1894" s="26">
        <v>1</v>
      </c>
    </row>
    <row r="1895" spans="1:1" x14ac:dyDescent="0.3">
      <c r="A1895" s="27">
        <v>1</v>
      </c>
    </row>
    <row r="1896" spans="1:1" x14ac:dyDescent="0.3">
      <c r="A1896" s="26">
        <v>1</v>
      </c>
    </row>
    <row r="1897" spans="1:1" x14ac:dyDescent="0.3">
      <c r="A1897" s="27">
        <v>1</v>
      </c>
    </row>
    <row r="1898" spans="1:1" x14ac:dyDescent="0.3">
      <c r="A1898" s="26">
        <v>1</v>
      </c>
    </row>
    <row r="1899" spans="1:1" x14ac:dyDescent="0.3">
      <c r="A1899" s="27">
        <v>1</v>
      </c>
    </row>
    <row r="1900" spans="1:1" x14ac:dyDescent="0.3">
      <c r="A1900" s="26">
        <v>1</v>
      </c>
    </row>
    <row r="1901" spans="1:1" x14ac:dyDescent="0.3">
      <c r="A1901" s="27">
        <v>1</v>
      </c>
    </row>
    <row r="1902" spans="1:1" x14ac:dyDescent="0.3">
      <c r="A1902" s="26">
        <v>1</v>
      </c>
    </row>
    <row r="1903" spans="1:1" x14ac:dyDescent="0.3">
      <c r="A1903" s="27">
        <v>1</v>
      </c>
    </row>
    <row r="1904" spans="1:1" x14ac:dyDescent="0.3">
      <c r="A1904" s="26">
        <v>1</v>
      </c>
    </row>
    <row r="1905" spans="1:1" x14ac:dyDescent="0.3">
      <c r="A1905" s="27">
        <v>1</v>
      </c>
    </row>
    <row r="1906" spans="1:1" x14ac:dyDescent="0.3">
      <c r="A1906" s="26">
        <v>1</v>
      </c>
    </row>
    <row r="1907" spans="1:1" x14ac:dyDescent="0.3">
      <c r="A1907" s="27">
        <v>1</v>
      </c>
    </row>
    <row r="1908" spans="1:1" x14ac:dyDescent="0.3">
      <c r="A1908" s="26">
        <v>1</v>
      </c>
    </row>
    <row r="1909" spans="1:1" x14ac:dyDescent="0.3">
      <c r="A1909" s="27">
        <v>1</v>
      </c>
    </row>
    <row r="1910" spans="1:1" x14ac:dyDescent="0.3">
      <c r="A1910" s="26">
        <v>1</v>
      </c>
    </row>
    <row r="1911" spans="1:1" x14ac:dyDescent="0.3">
      <c r="A1911" s="27">
        <v>1</v>
      </c>
    </row>
    <row r="1912" spans="1:1" x14ac:dyDescent="0.3">
      <c r="A1912" s="26">
        <v>1</v>
      </c>
    </row>
    <row r="1913" spans="1:1" x14ac:dyDescent="0.3">
      <c r="A1913" s="27">
        <v>1</v>
      </c>
    </row>
    <row r="1914" spans="1:1" x14ac:dyDescent="0.3">
      <c r="A1914" s="26">
        <v>1</v>
      </c>
    </row>
    <row r="1915" spans="1:1" x14ac:dyDescent="0.3">
      <c r="A1915" s="27">
        <v>1</v>
      </c>
    </row>
    <row r="1916" spans="1:1" x14ac:dyDescent="0.3">
      <c r="A1916" s="26">
        <v>1</v>
      </c>
    </row>
    <row r="1917" spans="1:1" x14ac:dyDescent="0.3">
      <c r="A1917" s="27">
        <v>1</v>
      </c>
    </row>
    <row r="1918" spans="1:1" x14ac:dyDescent="0.3">
      <c r="A1918" s="26">
        <v>1</v>
      </c>
    </row>
    <row r="1919" spans="1:1" x14ac:dyDescent="0.3">
      <c r="A1919" s="27">
        <v>1</v>
      </c>
    </row>
    <row r="1920" spans="1:1" x14ac:dyDescent="0.3">
      <c r="A1920" s="26">
        <v>1</v>
      </c>
    </row>
    <row r="1921" spans="1:1" x14ac:dyDescent="0.3">
      <c r="A1921" s="27">
        <v>1</v>
      </c>
    </row>
    <row r="1922" spans="1:1" x14ac:dyDescent="0.3">
      <c r="A1922" s="26">
        <v>1</v>
      </c>
    </row>
    <row r="1923" spans="1:1" x14ac:dyDescent="0.3">
      <c r="A1923" s="27">
        <v>1</v>
      </c>
    </row>
    <row r="1924" spans="1:1" x14ac:dyDescent="0.3">
      <c r="A1924" s="26">
        <v>1</v>
      </c>
    </row>
    <row r="1925" spans="1:1" x14ac:dyDescent="0.3">
      <c r="A1925" s="27">
        <v>1</v>
      </c>
    </row>
    <row r="1926" spans="1:1" x14ac:dyDescent="0.3">
      <c r="A1926" s="26">
        <v>1</v>
      </c>
    </row>
    <row r="1927" spans="1:1" x14ac:dyDescent="0.3">
      <c r="A1927" s="27">
        <v>1</v>
      </c>
    </row>
    <row r="1928" spans="1:1" x14ac:dyDescent="0.3">
      <c r="A1928" s="26">
        <v>1</v>
      </c>
    </row>
    <row r="1929" spans="1:1" x14ac:dyDescent="0.3">
      <c r="A1929" s="27">
        <v>1</v>
      </c>
    </row>
    <row r="1930" spans="1:1" x14ac:dyDescent="0.3">
      <c r="A1930" s="26">
        <v>1</v>
      </c>
    </row>
    <row r="1931" spans="1:1" x14ac:dyDescent="0.3">
      <c r="A1931" s="27">
        <v>1</v>
      </c>
    </row>
    <row r="1932" spans="1:1" x14ac:dyDescent="0.3">
      <c r="A1932" s="26">
        <v>1</v>
      </c>
    </row>
    <row r="1933" spans="1:1" x14ac:dyDescent="0.3">
      <c r="A1933" s="27">
        <v>1</v>
      </c>
    </row>
    <row r="1934" spans="1:1" x14ac:dyDescent="0.3">
      <c r="A1934" s="26">
        <v>1</v>
      </c>
    </row>
    <row r="1935" spans="1:1" x14ac:dyDescent="0.3">
      <c r="A1935" s="27">
        <v>1</v>
      </c>
    </row>
    <row r="1936" spans="1:1" x14ac:dyDescent="0.3">
      <c r="A1936" s="26">
        <v>1</v>
      </c>
    </row>
    <row r="1937" spans="1:1" x14ac:dyDescent="0.3">
      <c r="A1937" s="27">
        <v>1</v>
      </c>
    </row>
    <row r="1938" spans="1:1" x14ac:dyDescent="0.3">
      <c r="A1938" s="26">
        <v>1</v>
      </c>
    </row>
    <row r="1939" spans="1:1" x14ac:dyDescent="0.3">
      <c r="A1939" s="27">
        <v>1</v>
      </c>
    </row>
    <row r="1940" spans="1:1" x14ac:dyDescent="0.3">
      <c r="A1940" s="26">
        <v>1</v>
      </c>
    </row>
    <row r="1941" spans="1:1" x14ac:dyDescent="0.3">
      <c r="A1941" s="27">
        <v>1</v>
      </c>
    </row>
    <row r="1942" spans="1:1" x14ac:dyDescent="0.3">
      <c r="A1942" s="26">
        <v>1</v>
      </c>
    </row>
    <row r="1943" spans="1:1" x14ac:dyDescent="0.3">
      <c r="A1943" s="27">
        <v>1</v>
      </c>
    </row>
    <row r="1944" spans="1:1" x14ac:dyDescent="0.3">
      <c r="A1944" s="26">
        <v>1</v>
      </c>
    </row>
    <row r="1945" spans="1:1" x14ac:dyDescent="0.3">
      <c r="A1945" s="27">
        <v>1</v>
      </c>
    </row>
    <row r="1946" spans="1:1" x14ac:dyDescent="0.3">
      <c r="A1946" s="26">
        <v>1</v>
      </c>
    </row>
    <row r="1947" spans="1:1" x14ac:dyDescent="0.3">
      <c r="A1947" s="27">
        <v>1</v>
      </c>
    </row>
    <row r="1948" spans="1:1" x14ac:dyDescent="0.3">
      <c r="A1948" s="26">
        <v>1</v>
      </c>
    </row>
    <row r="1949" spans="1:1" x14ac:dyDescent="0.3">
      <c r="A1949" s="27">
        <v>1</v>
      </c>
    </row>
    <row r="1950" spans="1:1" x14ac:dyDescent="0.3">
      <c r="A1950" s="26">
        <v>1</v>
      </c>
    </row>
    <row r="1951" spans="1:1" x14ac:dyDescent="0.3">
      <c r="A1951" s="27">
        <v>1</v>
      </c>
    </row>
    <row r="1952" spans="1:1" x14ac:dyDescent="0.3">
      <c r="A1952" s="26">
        <v>1</v>
      </c>
    </row>
    <row r="1953" spans="1:1" x14ac:dyDescent="0.3">
      <c r="A1953" s="27">
        <v>1</v>
      </c>
    </row>
    <row r="1954" spans="1:1" x14ac:dyDescent="0.3">
      <c r="A1954" s="26">
        <v>1</v>
      </c>
    </row>
    <row r="1955" spans="1:1" x14ac:dyDescent="0.3">
      <c r="A1955" s="27">
        <v>1</v>
      </c>
    </row>
    <row r="1956" spans="1:1" x14ac:dyDescent="0.3">
      <c r="A1956" s="26">
        <v>1</v>
      </c>
    </row>
    <row r="1957" spans="1:1" x14ac:dyDescent="0.3">
      <c r="A1957" s="27">
        <v>1</v>
      </c>
    </row>
    <row r="1958" spans="1:1" x14ac:dyDescent="0.3">
      <c r="A1958" s="26">
        <v>1</v>
      </c>
    </row>
    <row r="1959" spans="1:1" x14ac:dyDescent="0.3">
      <c r="A1959" s="27">
        <v>1</v>
      </c>
    </row>
    <row r="1960" spans="1:1" x14ac:dyDescent="0.3">
      <c r="A1960" s="26">
        <v>1</v>
      </c>
    </row>
    <row r="1961" spans="1:1" x14ac:dyDescent="0.3">
      <c r="A1961" s="27">
        <v>1</v>
      </c>
    </row>
    <row r="1962" spans="1:1" x14ac:dyDescent="0.3">
      <c r="A1962" s="26">
        <v>1</v>
      </c>
    </row>
    <row r="1963" spans="1:1" x14ac:dyDescent="0.3">
      <c r="A1963" s="27">
        <v>1</v>
      </c>
    </row>
    <row r="1964" spans="1:1" x14ac:dyDescent="0.3">
      <c r="A1964" s="26">
        <v>1</v>
      </c>
    </row>
    <row r="1965" spans="1:1" x14ac:dyDescent="0.3">
      <c r="A1965" s="27">
        <v>1</v>
      </c>
    </row>
    <row r="1966" spans="1:1" x14ac:dyDescent="0.3">
      <c r="A1966" s="26">
        <v>1</v>
      </c>
    </row>
    <row r="1967" spans="1:1" x14ac:dyDescent="0.3">
      <c r="A1967" s="27">
        <v>1</v>
      </c>
    </row>
    <row r="1968" spans="1:1" x14ac:dyDescent="0.3">
      <c r="A1968" s="26">
        <v>1</v>
      </c>
    </row>
    <row r="1969" spans="1:1" x14ac:dyDescent="0.3">
      <c r="A1969" s="27">
        <v>1</v>
      </c>
    </row>
    <row r="1970" spans="1:1" x14ac:dyDescent="0.3">
      <c r="A1970" s="26">
        <v>1</v>
      </c>
    </row>
    <row r="1971" spans="1:1" x14ac:dyDescent="0.3">
      <c r="A1971" s="27">
        <v>1</v>
      </c>
    </row>
    <row r="1972" spans="1:1" x14ac:dyDescent="0.3">
      <c r="A1972" s="26">
        <v>1</v>
      </c>
    </row>
    <row r="1973" spans="1:1" x14ac:dyDescent="0.3">
      <c r="A1973" s="27">
        <v>1</v>
      </c>
    </row>
    <row r="1974" spans="1:1" x14ac:dyDescent="0.3">
      <c r="A1974" s="26">
        <v>1</v>
      </c>
    </row>
    <row r="1975" spans="1:1" x14ac:dyDescent="0.3">
      <c r="A1975" s="27">
        <v>1</v>
      </c>
    </row>
    <row r="1976" spans="1:1" x14ac:dyDescent="0.3">
      <c r="A1976" s="26">
        <v>1</v>
      </c>
    </row>
    <row r="1977" spans="1:1" x14ac:dyDescent="0.3">
      <c r="A1977" s="27">
        <v>1</v>
      </c>
    </row>
    <row r="1978" spans="1:1" x14ac:dyDescent="0.3">
      <c r="A1978" s="26">
        <v>1</v>
      </c>
    </row>
    <row r="1979" spans="1:1" x14ac:dyDescent="0.3">
      <c r="A1979" s="27">
        <v>1</v>
      </c>
    </row>
    <row r="1980" spans="1:1" x14ac:dyDescent="0.3">
      <c r="A1980" s="26">
        <v>1</v>
      </c>
    </row>
    <row r="1981" spans="1:1" x14ac:dyDescent="0.3">
      <c r="A1981" s="27">
        <v>1</v>
      </c>
    </row>
    <row r="1982" spans="1:1" x14ac:dyDescent="0.3">
      <c r="A1982" s="26">
        <v>1</v>
      </c>
    </row>
    <row r="1983" spans="1:1" x14ac:dyDescent="0.3">
      <c r="A1983" s="27">
        <v>1</v>
      </c>
    </row>
    <row r="1984" spans="1:1" x14ac:dyDescent="0.3">
      <c r="A1984" s="26">
        <v>1</v>
      </c>
    </row>
    <row r="1985" spans="1:1" x14ac:dyDescent="0.3">
      <c r="A1985" s="27">
        <v>1</v>
      </c>
    </row>
    <row r="1986" spans="1:1" x14ac:dyDescent="0.3">
      <c r="A1986" s="26">
        <v>1</v>
      </c>
    </row>
    <row r="1987" spans="1:1" x14ac:dyDescent="0.3">
      <c r="A1987" s="27">
        <v>1</v>
      </c>
    </row>
    <row r="1988" spans="1:1" x14ac:dyDescent="0.3">
      <c r="A1988" s="26">
        <v>1</v>
      </c>
    </row>
    <row r="1989" spans="1:1" x14ac:dyDescent="0.3">
      <c r="A1989" s="27">
        <v>1</v>
      </c>
    </row>
    <row r="1990" spans="1:1" x14ac:dyDescent="0.3">
      <c r="A1990" s="26">
        <v>1</v>
      </c>
    </row>
    <row r="1991" spans="1:1" x14ac:dyDescent="0.3">
      <c r="A1991" s="27">
        <v>1</v>
      </c>
    </row>
    <row r="1992" spans="1:1" x14ac:dyDescent="0.3">
      <c r="A1992" s="26">
        <v>1</v>
      </c>
    </row>
    <row r="1993" spans="1:1" x14ac:dyDescent="0.3">
      <c r="A1993" s="27">
        <v>1</v>
      </c>
    </row>
    <row r="1994" spans="1:1" x14ac:dyDescent="0.3">
      <c r="A1994" s="26">
        <v>1</v>
      </c>
    </row>
    <row r="1995" spans="1:1" x14ac:dyDescent="0.3">
      <c r="A1995" s="27">
        <v>1</v>
      </c>
    </row>
    <row r="1996" spans="1:1" x14ac:dyDescent="0.3">
      <c r="A1996" s="26">
        <v>1</v>
      </c>
    </row>
    <row r="1997" spans="1:1" x14ac:dyDescent="0.3">
      <c r="A1997" s="27">
        <v>1</v>
      </c>
    </row>
    <row r="1998" spans="1:1" x14ac:dyDescent="0.3">
      <c r="A1998" s="26">
        <v>1</v>
      </c>
    </row>
    <row r="1999" spans="1:1" x14ac:dyDescent="0.3">
      <c r="A1999" s="27">
        <v>1</v>
      </c>
    </row>
    <row r="2000" spans="1:1" x14ac:dyDescent="0.3">
      <c r="A2000" s="26">
        <v>1</v>
      </c>
    </row>
    <row r="2001" spans="1:1" x14ac:dyDescent="0.3">
      <c r="A2001" s="27">
        <v>1</v>
      </c>
    </row>
    <row r="2002" spans="1:1" x14ac:dyDescent="0.3">
      <c r="A2002" s="26">
        <v>1</v>
      </c>
    </row>
    <row r="2003" spans="1:1" x14ac:dyDescent="0.3">
      <c r="A2003" s="27">
        <v>1</v>
      </c>
    </row>
    <row r="2004" spans="1:1" x14ac:dyDescent="0.3">
      <c r="A2004" s="26">
        <v>1</v>
      </c>
    </row>
    <row r="2005" spans="1:1" x14ac:dyDescent="0.3">
      <c r="A2005" s="27">
        <v>1</v>
      </c>
    </row>
    <row r="2006" spans="1:1" x14ac:dyDescent="0.3">
      <c r="A2006" s="26">
        <v>1</v>
      </c>
    </row>
    <row r="2007" spans="1:1" x14ac:dyDescent="0.3">
      <c r="A2007" s="27">
        <v>1</v>
      </c>
    </row>
    <row r="2008" spans="1:1" x14ac:dyDescent="0.3">
      <c r="A2008" s="26">
        <v>1</v>
      </c>
    </row>
    <row r="2009" spans="1:1" x14ac:dyDescent="0.3">
      <c r="A2009" s="27">
        <v>1</v>
      </c>
    </row>
    <row r="2010" spans="1:1" x14ac:dyDescent="0.3">
      <c r="A2010" s="26">
        <v>1</v>
      </c>
    </row>
    <row r="2011" spans="1:1" x14ac:dyDescent="0.3">
      <c r="A2011" s="27">
        <v>1</v>
      </c>
    </row>
    <row r="2012" spans="1:1" x14ac:dyDescent="0.3">
      <c r="A2012" s="26">
        <v>1</v>
      </c>
    </row>
    <row r="2013" spans="1:1" x14ac:dyDescent="0.3">
      <c r="A2013" s="27">
        <v>1</v>
      </c>
    </row>
    <row r="2014" spans="1:1" x14ac:dyDescent="0.3">
      <c r="A2014" s="26">
        <v>2</v>
      </c>
    </row>
    <row r="2015" spans="1:1" x14ac:dyDescent="0.3">
      <c r="A2015" s="27">
        <v>1</v>
      </c>
    </row>
    <row r="2016" spans="1:1" x14ac:dyDescent="0.3">
      <c r="A2016" s="26">
        <v>1</v>
      </c>
    </row>
    <row r="2017" spans="1:1" x14ac:dyDescent="0.3">
      <c r="A2017" s="27">
        <v>1</v>
      </c>
    </row>
    <row r="2018" spans="1:1" x14ac:dyDescent="0.3">
      <c r="A2018" s="26">
        <v>1</v>
      </c>
    </row>
    <row r="2019" spans="1:1" x14ac:dyDescent="0.3">
      <c r="A2019" s="27">
        <v>1</v>
      </c>
    </row>
    <row r="2020" spans="1:1" x14ac:dyDescent="0.3">
      <c r="A2020" s="26">
        <v>1</v>
      </c>
    </row>
    <row r="2021" spans="1:1" x14ac:dyDescent="0.3">
      <c r="A2021" s="27">
        <v>1</v>
      </c>
    </row>
    <row r="2022" spans="1:1" x14ac:dyDescent="0.3">
      <c r="A2022" s="26">
        <v>1</v>
      </c>
    </row>
    <row r="2023" spans="1:1" x14ac:dyDescent="0.3">
      <c r="A2023" s="27">
        <v>1</v>
      </c>
    </row>
    <row r="2024" spans="1:1" x14ac:dyDescent="0.3">
      <c r="A2024" s="26">
        <v>1</v>
      </c>
    </row>
    <row r="2025" spans="1:1" x14ac:dyDescent="0.3">
      <c r="A2025" s="27">
        <v>1</v>
      </c>
    </row>
    <row r="2026" spans="1:1" x14ac:dyDescent="0.3">
      <c r="A2026" s="26">
        <v>1</v>
      </c>
    </row>
    <row r="2027" spans="1:1" x14ac:dyDescent="0.3">
      <c r="A2027" s="27">
        <v>1</v>
      </c>
    </row>
    <row r="2028" spans="1:1" x14ac:dyDescent="0.3">
      <c r="A2028" s="26">
        <v>1</v>
      </c>
    </row>
    <row r="2029" spans="1:1" x14ac:dyDescent="0.3">
      <c r="A2029" s="27">
        <v>1</v>
      </c>
    </row>
    <row r="2030" spans="1:1" x14ac:dyDescent="0.3">
      <c r="A2030" s="26">
        <v>1</v>
      </c>
    </row>
    <row r="2031" spans="1:1" x14ac:dyDescent="0.3">
      <c r="A2031" s="27">
        <v>1</v>
      </c>
    </row>
    <row r="2032" spans="1:1" x14ac:dyDescent="0.3">
      <c r="A2032" s="26">
        <v>1</v>
      </c>
    </row>
    <row r="2033" spans="1:1" x14ac:dyDescent="0.3">
      <c r="A2033" s="27">
        <v>1</v>
      </c>
    </row>
    <row r="2034" spans="1:1" x14ac:dyDescent="0.3">
      <c r="A2034" s="26">
        <v>1</v>
      </c>
    </row>
    <row r="2035" spans="1:1" x14ac:dyDescent="0.3">
      <c r="A2035" s="27">
        <v>1</v>
      </c>
    </row>
    <row r="2036" spans="1:1" x14ac:dyDescent="0.3">
      <c r="A2036" s="26">
        <v>1</v>
      </c>
    </row>
    <row r="2037" spans="1:1" x14ac:dyDescent="0.3">
      <c r="A2037" s="27">
        <v>1</v>
      </c>
    </row>
    <row r="2038" spans="1:1" x14ac:dyDescent="0.3">
      <c r="A2038" s="26">
        <v>1</v>
      </c>
    </row>
    <row r="2039" spans="1:1" x14ac:dyDescent="0.3">
      <c r="A2039" s="27">
        <v>1</v>
      </c>
    </row>
    <row r="2040" spans="1:1" x14ac:dyDescent="0.3">
      <c r="A2040" s="26">
        <v>1</v>
      </c>
    </row>
    <row r="2041" spans="1:1" x14ac:dyDescent="0.3">
      <c r="A2041" s="27">
        <v>1</v>
      </c>
    </row>
    <row r="2042" spans="1:1" x14ac:dyDescent="0.3">
      <c r="A2042" s="26">
        <v>1</v>
      </c>
    </row>
    <row r="2043" spans="1:1" x14ac:dyDescent="0.3">
      <c r="A2043" s="27">
        <v>1</v>
      </c>
    </row>
    <row r="2044" spans="1:1" x14ac:dyDescent="0.3">
      <c r="A2044" s="26">
        <v>1</v>
      </c>
    </row>
    <row r="2045" spans="1:1" x14ac:dyDescent="0.3">
      <c r="A2045" s="27">
        <v>1</v>
      </c>
    </row>
    <row r="2046" spans="1:1" x14ac:dyDescent="0.3">
      <c r="A2046" s="26">
        <v>1</v>
      </c>
    </row>
    <row r="2047" spans="1:1" x14ac:dyDescent="0.3">
      <c r="A2047" s="27">
        <v>1</v>
      </c>
    </row>
    <row r="2048" spans="1:1" x14ac:dyDescent="0.3">
      <c r="A2048" s="26">
        <v>1</v>
      </c>
    </row>
    <row r="2049" spans="1:1" x14ac:dyDescent="0.3">
      <c r="A2049" s="27">
        <v>1</v>
      </c>
    </row>
    <row r="2050" spans="1:1" x14ac:dyDescent="0.3">
      <c r="A2050" s="26">
        <v>1</v>
      </c>
    </row>
    <row r="2051" spans="1:1" x14ac:dyDescent="0.3">
      <c r="A2051" s="27">
        <v>1</v>
      </c>
    </row>
    <row r="2052" spans="1:1" x14ac:dyDescent="0.3">
      <c r="A2052" s="26">
        <v>1</v>
      </c>
    </row>
    <row r="2053" spans="1:1" x14ac:dyDescent="0.3">
      <c r="A2053" s="27">
        <v>1</v>
      </c>
    </row>
    <row r="2054" spans="1:1" x14ac:dyDescent="0.3">
      <c r="A2054" s="26">
        <v>1</v>
      </c>
    </row>
    <row r="2055" spans="1:1" x14ac:dyDescent="0.3">
      <c r="A2055" s="27">
        <v>1</v>
      </c>
    </row>
    <row r="2056" spans="1:1" x14ac:dyDescent="0.3">
      <c r="A2056" s="26">
        <v>1</v>
      </c>
    </row>
    <row r="2057" spans="1:1" x14ac:dyDescent="0.3">
      <c r="A2057" s="27">
        <v>1</v>
      </c>
    </row>
    <row r="2058" spans="1:1" x14ac:dyDescent="0.3">
      <c r="A2058" s="26">
        <v>1</v>
      </c>
    </row>
    <row r="2059" spans="1:1" x14ac:dyDescent="0.3">
      <c r="A2059" s="27">
        <v>1</v>
      </c>
    </row>
    <row r="2060" spans="1:1" x14ac:dyDescent="0.3">
      <c r="A2060" s="26">
        <v>1</v>
      </c>
    </row>
    <row r="2061" spans="1:1" x14ac:dyDescent="0.3">
      <c r="A2061" s="27">
        <v>1</v>
      </c>
    </row>
    <row r="2062" spans="1:1" x14ac:dyDescent="0.3">
      <c r="A2062" s="26">
        <v>1</v>
      </c>
    </row>
    <row r="2063" spans="1:1" x14ac:dyDescent="0.3">
      <c r="A2063" s="27">
        <v>1</v>
      </c>
    </row>
    <row r="2064" spans="1:1" x14ac:dyDescent="0.3">
      <c r="A2064" s="26">
        <v>1</v>
      </c>
    </row>
    <row r="2065" spans="1:1" x14ac:dyDescent="0.3">
      <c r="A2065" s="27">
        <v>1</v>
      </c>
    </row>
    <row r="2066" spans="1:1" x14ac:dyDescent="0.3">
      <c r="A2066" s="26">
        <v>1</v>
      </c>
    </row>
    <row r="2067" spans="1:1" x14ac:dyDescent="0.3">
      <c r="A2067" s="27">
        <v>1</v>
      </c>
    </row>
    <row r="2068" spans="1:1" x14ac:dyDescent="0.3">
      <c r="A2068" s="26">
        <v>1</v>
      </c>
    </row>
    <row r="2069" spans="1:1" x14ac:dyDescent="0.3">
      <c r="A2069" s="27">
        <v>1</v>
      </c>
    </row>
    <row r="2070" spans="1:1" x14ac:dyDescent="0.3">
      <c r="A2070" s="26">
        <v>1</v>
      </c>
    </row>
    <row r="2071" spans="1:1" x14ac:dyDescent="0.3">
      <c r="A2071" s="27">
        <v>1</v>
      </c>
    </row>
    <row r="2072" spans="1:1" x14ac:dyDescent="0.3">
      <c r="A2072" s="26">
        <v>1</v>
      </c>
    </row>
    <row r="2073" spans="1:1" x14ac:dyDescent="0.3">
      <c r="A2073" s="27">
        <v>1</v>
      </c>
    </row>
    <row r="2074" spans="1:1" x14ac:dyDescent="0.3">
      <c r="A2074" s="26">
        <v>1</v>
      </c>
    </row>
    <row r="2075" spans="1:1" x14ac:dyDescent="0.3">
      <c r="A2075" s="27">
        <v>1</v>
      </c>
    </row>
    <row r="2076" spans="1:1" x14ac:dyDescent="0.3">
      <c r="A2076" s="26">
        <v>1</v>
      </c>
    </row>
    <row r="2077" spans="1:1" x14ac:dyDescent="0.3">
      <c r="A2077" s="27">
        <v>1</v>
      </c>
    </row>
    <row r="2078" spans="1:1" x14ac:dyDescent="0.3">
      <c r="A2078" s="26">
        <v>1</v>
      </c>
    </row>
    <row r="2079" spans="1:1" x14ac:dyDescent="0.3">
      <c r="A2079" s="27">
        <v>1</v>
      </c>
    </row>
    <row r="2080" spans="1:1" x14ac:dyDescent="0.3">
      <c r="A2080" s="26">
        <v>1</v>
      </c>
    </row>
    <row r="2081" spans="1:1" x14ac:dyDescent="0.3">
      <c r="A2081" s="27">
        <v>1</v>
      </c>
    </row>
    <row r="2082" spans="1:1" x14ac:dyDescent="0.3">
      <c r="A2082" s="26">
        <v>1</v>
      </c>
    </row>
    <row r="2083" spans="1:1" x14ac:dyDescent="0.3">
      <c r="A2083" s="27">
        <v>1</v>
      </c>
    </row>
    <row r="2084" spans="1:1" x14ac:dyDescent="0.3">
      <c r="A2084" s="26">
        <v>1</v>
      </c>
    </row>
    <row r="2085" spans="1:1" x14ac:dyDescent="0.3">
      <c r="A2085" s="27">
        <v>1</v>
      </c>
    </row>
    <row r="2086" spans="1:1" x14ac:dyDescent="0.3">
      <c r="A2086" s="26">
        <v>1</v>
      </c>
    </row>
    <row r="2087" spans="1:1" x14ac:dyDescent="0.3">
      <c r="A2087" s="27">
        <v>1</v>
      </c>
    </row>
    <row r="2088" spans="1:1" x14ac:dyDescent="0.3">
      <c r="A2088" s="26">
        <v>1</v>
      </c>
    </row>
    <row r="2089" spans="1:1" x14ac:dyDescent="0.3">
      <c r="A2089" s="27">
        <v>1</v>
      </c>
    </row>
    <row r="2090" spans="1:1" x14ac:dyDescent="0.3">
      <c r="A2090" s="26">
        <v>1</v>
      </c>
    </row>
    <row r="2091" spans="1:1" x14ac:dyDescent="0.3">
      <c r="A2091" s="27">
        <v>1</v>
      </c>
    </row>
    <row r="2092" spans="1:1" x14ac:dyDescent="0.3">
      <c r="A2092" s="26">
        <v>1</v>
      </c>
    </row>
    <row r="2093" spans="1:1" x14ac:dyDescent="0.3">
      <c r="A2093" s="27">
        <v>1</v>
      </c>
    </row>
    <row r="2094" spans="1:1" x14ac:dyDescent="0.3">
      <c r="A2094" s="26">
        <v>1</v>
      </c>
    </row>
    <row r="2095" spans="1:1" x14ac:dyDescent="0.3">
      <c r="A2095" s="27">
        <v>1</v>
      </c>
    </row>
    <row r="2096" spans="1:1" x14ac:dyDescent="0.3">
      <c r="A2096" s="26">
        <v>1</v>
      </c>
    </row>
    <row r="2097" spans="1:1" x14ac:dyDescent="0.3">
      <c r="A2097" s="27">
        <v>1</v>
      </c>
    </row>
    <row r="2098" spans="1:1" x14ac:dyDescent="0.3">
      <c r="A2098" s="26">
        <v>1</v>
      </c>
    </row>
    <row r="2099" spans="1:1" x14ac:dyDescent="0.3">
      <c r="A2099" s="27">
        <v>1</v>
      </c>
    </row>
    <row r="2100" spans="1:1" x14ac:dyDescent="0.3">
      <c r="A2100" s="26">
        <v>1</v>
      </c>
    </row>
    <row r="2101" spans="1:1" x14ac:dyDescent="0.3">
      <c r="A2101" s="27">
        <v>1</v>
      </c>
    </row>
    <row r="2102" spans="1:1" x14ac:dyDescent="0.3">
      <c r="A2102" s="26">
        <v>1</v>
      </c>
    </row>
    <row r="2103" spans="1:1" x14ac:dyDescent="0.3">
      <c r="A2103" s="27">
        <v>1</v>
      </c>
    </row>
    <row r="2104" spans="1:1" x14ac:dyDescent="0.3">
      <c r="A2104" s="26">
        <v>1</v>
      </c>
    </row>
    <row r="2105" spans="1:1" x14ac:dyDescent="0.3">
      <c r="A2105" s="27">
        <v>1</v>
      </c>
    </row>
    <row r="2106" spans="1:1" x14ac:dyDescent="0.3">
      <c r="A2106" s="26">
        <v>1</v>
      </c>
    </row>
    <row r="2107" spans="1:1" x14ac:dyDescent="0.3">
      <c r="A2107" s="27">
        <v>1</v>
      </c>
    </row>
    <row r="2108" spans="1:1" x14ac:dyDescent="0.3">
      <c r="A2108" s="26">
        <v>1</v>
      </c>
    </row>
    <row r="2109" spans="1:1" x14ac:dyDescent="0.3">
      <c r="A2109" s="27">
        <v>1</v>
      </c>
    </row>
    <row r="2110" spans="1:1" x14ac:dyDescent="0.3">
      <c r="A2110" s="26">
        <v>1</v>
      </c>
    </row>
    <row r="2111" spans="1:1" x14ac:dyDescent="0.3">
      <c r="A2111" s="27">
        <v>1</v>
      </c>
    </row>
    <row r="2112" spans="1:1" x14ac:dyDescent="0.3">
      <c r="A2112" s="26">
        <v>1</v>
      </c>
    </row>
    <row r="2113" spans="1:1" x14ac:dyDescent="0.3">
      <c r="A2113" s="27">
        <v>1</v>
      </c>
    </row>
    <row r="2114" spans="1:1" x14ac:dyDescent="0.3">
      <c r="A2114" s="26">
        <v>1</v>
      </c>
    </row>
    <row r="2115" spans="1:1" x14ac:dyDescent="0.3">
      <c r="A2115" s="27">
        <v>1</v>
      </c>
    </row>
    <row r="2116" spans="1:1" x14ac:dyDescent="0.3">
      <c r="A2116" s="26">
        <v>1</v>
      </c>
    </row>
    <row r="2117" spans="1:1" x14ac:dyDescent="0.3">
      <c r="A2117" s="27">
        <v>1</v>
      </c>
    </row>
    <row r="2118" spans="1:1" x14ac:dyDescent="0.3">
      <c r="A2118" s="26">
        <v>1</v>
      </c>
    </row>
    <row r="2119" spans="1:1" x14ac:dyDescent="0.3">
      <c r="A2119" s="27">
        <v>1</v>
      </c>
    </row>
    <row r="2120" spans="1:1" x14ac:dyDescent="0.3">
      <c r="A2120" s="26">
        <v>1</v>
      </c>
    </row>
    <row r="2121" spans="1:1" x14ac:dyDescent="0.3">
      <c r="A2121" s="27">
        <v>1</v>
      </c>
    </row>
    <row r="2122" spans="1:1" x14ac:dyDescent="0.3">
      <c r="A2122" s="26">
        <v>1</v>
      </c>
    </row>
    <row r="2123" spans="1:1" x14ac:dyDescent="0.3">
      <c r="A2123" s="27">
        <v>1</v>
      </c>
    </row>
    <row r="2124" spans="1:1" x14ac:dyDescent="0.3">
      <c r="A2124" s="26">
        <v>1</v>
      </c>
    </row>
    <row r="2125" spans="1:1" x14ac:dyDescent="0.3">
      <c r="A2125" s="27">
        <v>1</v>
      </c>
    </row>
    <row r="2126" spans="1:1" x14ac:dyDescent="0.3">
      <c r="A2126" s="26">
        <v>1</v>
      </c>
    </row>
    <row r="2127" spans="1:1" x14ac:dyDescent="0.3">
      <c r="A2127" s="27">
        <v>1</v>
      </c>
    </row>
    <row r="2128" spans="1:1" x14ac:dyDescent="0.3">
      <c r="A2128" s="26">
        <v>1</v>
      </c>
    </row>
    <row r="2129" spans="1:1" x14ac:dyDescent="0.3">
      <c r="A2129" s="27">
        <v>1</v>
      </c>
    </row>
    <row r="2130" spans="1:1" x14ac:dyDescent="0.3">
      <c r="A2130" s="26">
        <v>1</v>
      </c>
    </row>
    <row r="2131" spans="1:1" x14ac:dyDescent="0.3">
      <c r="A2131" s="27">
        <v>1</v>
      </c>
    </row>
    <row r="2132" spans="1:1" x14ac:dyDescent="0.3">
      <c r="A2132" s="26">
        <v>1</v>
      </c>
    </row>
    <row r="2133" spans="1:1" x14ac:dyDescent="0.3">
      <c r="A2133" s="27">
        <v>1</v>
      </c>
    </row>
    <row r="2134" spans="1:1" x14ac:dyDescent="0.3">
      <c r="A2134" s="26">
        <v>1</v>
      </c>
    </row>
    <row r="2135" spans="1:1" x14ac:dyDescent="0.3">
      <c r="A2135" s="27">
        <v>1</v>
      </c>
    </row>
    <row r="2136" spans="1:1" x14ac:dyDescent="0.3">
      <c r="A2136" s="26">
        <v>1</v>
      </c>
    </row>
    <row r="2137" spans="1:1" x14ac:dyDescent="0.3">
      <c r="A2137" s="27">
        <v>1</v>
      </c>
    </row>
    <row r="2138" spans="1:1" x14ac:dyDescent="0.3">
      <c r="A2138" s="26">
        <v>1</v>
      </c>
    </row>
    <row r="2139" spans="1:1" x14ac:dyDescent="0.3">
      <c r="A2139" s="27">
        <v>1</v>
      </c>
    </row>
    <row r="2140" spans="1:1" x14ac:dyDescent="0.3">
      <c r="A2140" s="26">
        <v>1</v>
      </c>
    </row>
    <row r="2141" spans="1:1" x14ac:dyDescent="0.3">
      <c r="A2141" s="27">
        <v>1</v>
      </c>
    </row>
    <row r="2142" spans="1:1" x14ac:dyDescent="0.3">
      <c r="A2142" s="26">
        <v>1</v>
      </c>
    </row>
    <row r="2143" spans="1:1" x14ac:dyDescent="0.3">
      <c r="A2143" s="27">
        <v>1</v>
      </c>
    </row>
    <row r="2144" spans="1:1" x14ac:dyDescent="0.3">
      <c r="A2144" s="26">
        <v>1</v>
      </c>
    </row>
    <row r="2145" spans="1:1" x14ac:dyDescent="0.3">
      <c r="A2145" s="27">
        <v>1</v>
      </c>
    </row>
    <row r="2146" spans="1:1" x14ac:dyDescent="0.3">
      <c r="A2146" s="26">
        <v>1</v>
      </c>
    </row>
    <row r="2147" spans="1:1" x14ac:dyDescent="0.3">
      <c r="A2147" s="27">
        <v>1</v>
      </c>
    </row>
    <row r="2148" spans="1:1" x14ac:dyDescent="0.3">
      <c r="A2148" s="26">
        <v>1</v>
      </c>
    </row>
    <row r="2149" spans="1:1" x14ac:dyDescent="0.3">
      <c r="A2149" s="27">
        <v>1</v>
      </c>
    </row>
    <row r="2150" spans="1:1" x14ac:dyDescent="0.3">
      <c r="A2150" s="26">
        <v>1</v>
      </c>
    </row>
    <row r="2151" spans="1:1" x14ac:dyDescent="0.3">
      <c r="A2151" s="27">
        <v>1</v>
      </c>
    </row>
    <row r="2152" spans="1:1" x14ac:dyDescent="0.3">
      <c r="A2152" s="26">
        <v>1</v>
      </c>
    </row>
    <row r="2153" spans="1:1" x14ac:dyDescent="0.3">
      <c r="A2153" s="27">
        <v>1</v>
      </c>
    </row>
    <row r="2154" spans="1:1" x14ac:dyDescent="0.3">
      <c r="A2154" s="26">
        <v>1</v>
      </c>
    </row>
    <row r="2155" spans="1:1" x14ac:dyDescent="0.3">
      <c r="A2155" s="27">
        <v>1</v>
      </c>
    </row>
    <row r="2156" spans="1:1" x14ac:dyDescent="0.3">
      <c r="A2156" s="26">
        <v>1</v>
      </c>
    </row>
    <row r="2157" spans="1:1" x14ac:dyDescent="0.3">
      <c r="A2157" s="27">
        <v>1</v>
      </c>
    </row>
    <row r="2158" spans="1:1" x14ac:dyDescent="0.3">
      <c r="A2158" s="26">
        <v>1</v>
      </c>
    </row>
    <row r="2159" spans="1:1" x14ac:dyDescent="0.3">
      <c r="A2159" s="27">
        <v>1</v>
      </c>
    </row>
    <row r="2160" spans="1:1" x14ac:dyDescent="0.3">
      <c r="A2160" s="26">
        <v>1</v>
      </c>
    </row>
    <row r="2161" spans="1:1" x14ac:dyDescent="0.3">
      <c r="A2161" s="27">
        <v>1</v>
      </c>
    </row>
    <row r="2162" spans="1:1" x14ac:dyDescent="0.3">
      <c r="A2162" s="26">
        <v>1</v>
      </c>
    </row>
    <row r="2163" spans="1:1" x14ac:dyDescent="0.3">
      <c r="A2163" s="27">
        <v>1</v>
      </c>
    </row>
    <row r="2164" spans="1:1" x14ac:dyDescent="0.3">
      <c r="A2164" s="26">
        <v>1</v>
      </c>
    </row>
    <row r="2165" spans="1:1" x14ac:dyDescent="0.3">
      <c r="A2165" s="27">
        <v>1</v>
      </c>
    </row>
    <row r="2166" spans="1:1" x14ac:dyDescent="0.3">
      <c r="A2166" s="26">
        <v>1</v>
      </c>
    </row>
    <row r="2167" spans="1:1" x14ac:dyDescent="0.3">
      <c r="A2167" s="27">
        <v>1</v>
      </c>
    </row>
    <row r="2168" spans="1:1" x14ac:dyDescent="0.3">
      <c r="A2168" s="26">
        <v>1</v>
      </c>
    </row>
    <row r="2169" spans="1:1" x14ac:dyDescent="0.3">
      <c r="A2169" s="27">
        <v>1</v>
      </c>
    </row>
    <row r="2170" spans="1:1" x14ac:dyDescent="0.3">
      <c r="A2170" s="26">
        <v>1</v>
      </c>
    </row>
    <row r="2171" spans="1:1" x14ac:dyDescent="0.3">
      <c r="A2171" s="27">
        <v>1</v>
      </c>
    </row>
    <row r="2172" spans="1:1" x14ac:dyDescent="0.3">
      <c r="A2172" s="26">
        <v>1</v>
      </c>
    </row>
    <row r="2173" spans="1:1" x14ac:dyDescent="0.3">
      <c r="A2173" s="27">
        <v>1</v>
      </c>
    </row>
    <row r="2174" spans="1:1" x14ac:dyDescent="0.3">
      <c r="A2174" s="26">
        <v>1</v>
      </c>
    </row>
    <row r="2175" spans="1:1" x14ac:dyDescent="0.3">
      <c r="A2175" s="27">
        <v>1</v>
      </c>
    </row>
    <row r="2176" spans="1:1" x14ac:dyDescent="0.3">
      <c r="A2176" s="26">
        <v>1</v>
      </c>
    </row>
    <row r="2177" spans="1:1" x14ac:dyDescent="0.3">
      <c r="A2177" s="27">
        <v>1</v>
      </c>
    </row>
    <row r="2178" spans="1:1" x14ac:dyDescent="0.3">
      <c r="A2178" s="26">
        <v>1</v>
      </c>
    </row>
    <row r="2179" spans="1:1" x14ac:dyDescent="0.3">
      <c r="A2179" s="27">
        <v>1</v>
      </c>
    </row>
    <row r="2180" spans="1:1" x14ac:dyDescent="0.3">
      <c r="A2180" s="26">
        <v>1</v>
      </c>
    </row>
    <row r="2181" spans="1:1" x14ac:dyDescent="0.3">
      <c r="A2181" s="27">
        <v>1</v>
      </c>
    </row>
    <row r="2182" spans="1:1" x14ac:dyDescent="0.3">
      <c r="A2182" s="26">
        <v>1</v>
      </c>
    </row>
    <row r="2183" spans="1:1" x14ac:dyDescent="0.3">
      <c r="A2183" s="27">
        <v>1</v>
      </c>
    </row>
    <row r="2184" spans="1:1" x14ac:dyDescent="0.3">
      <c r="A2184" s="26">
        <v>1</v>
      </c>
    </row>
    <row r="2185" spans="1:1" x14ac:dyDescent="0.3">
      <c r="A2185" s="27">
        <v>1</v>
      </c>
    </row>
    <row r="2186" spans="1:1" x14ac:dyDescent="0.3">
      <c r="A2186" s="26">
        <v>1</v>
      </c>
    </row>
    <row r="2187" spans="1:1" x14ac:dyDescent="0.3">
      <c r="A2187" s="27">
        <v>1</v>
      </c>
    </row>
    <row r="2188" spans="1:1" x14ac:dyDescent="0.3">
      <c r="A2188" s="26">
        <v>1</v>
      </c>
    </row>
    <row r="2189" spans="1:1" x14ac:dyDescent="0.3">
      <c r="A2189" s="27">
        <v>1</v>
      </c>
    </row>
    <row r="2190" spans="1:1" x14ac:dyDescent="0.3">
      <c r="A2190" s="26">
        <v>1</v>
      </c>
    </row>
    <row r="2191" spans="1:1" x14ac:dyDescent="0.3">
      <c r="A2191" s="27">
        <v>1</v>
      </c>
    </row>
    <row r="2192" spans="1:1" x14ac:dyDescent="0.3">
      <c r="A2192" s="26">
        <v>1</v>
      </c>
    </row>
    <row r="2193" spans="1:1" x14ac:dyDescent="0.3">
      <c r="A2193" s="27">
        <v>1</v>
      </c>
    </row>
    <row r="2194" spans="1:1" x14ac:dyDescent="0.3">
      <c r="A2194" s="26">
        <v>1</v>
      </c>
    </row>
    <row r="2195" spans="1:1" x14ac:dyDescent="0.3">
      <c r="A2195" s="27">
        <v>1</v>
      </c>
    </row>
    <row r="2196" spans="1:1" x14ac:dyDescent="0.3">
      <c r="A2196" s="26">
        <v>1</v>
      </c>
    </row>
    <row r="2197" spans="1:1" x14ac:dyDescent="0.3">
      <c r="A2197" s="27">
        <v>1</v>
      </c>
    </row>
    <row r="2198" spans="1:1" x14ac:dyDescent="0.3">
      <c r="A2198" s="26">
        <v>1</v>
      </c>
    </row>
    <row r="2199" spans="1:1" x14ac:dyDescent="0.3">
      <c r="A2199" s="27">
        <v>1</v>
      </c>
    </row>
    <row r="2200" spans="1:1" x14ac:dyDescent="0.3">
      <c r="A2200" s="26">
        <v>1</v>
      </c>
    </row>
    <row r="2201" spans="1:1" x14ac:dyDescent="0.3">
      <c r="A2201" s="27">
        <v>1</v>
      </c>
    </row>
    <row r="2202" spans="1:1" x14ac:dyDescent="0.3">
      <c r="A2202" s="26">
        <v>1</v>
      </c>
    </row>
    <row r="2203" spans="1:1" x14ac:dyDescent="0.3">
      <c r="A2203" s="27">
        <v>1</v>
      </c>
    </row>
    <row r="2204" spans="1:1" x14ac:dyDescent="0.3">
      <c r="A2204" s="26">
        <v>1</v>
      </c>
    </row>
    <row r="2205" spans="1:1" x14ac:dyDescent="0.3">
      <c r="A2205" s="27">
        <v>1</v>
      </c>
    </row>
    <row r="2206" spans="1:1" x14ac:dyDescent="0.3">
      <c r="A2206" s="26">
        <v>1</v>
      </c>
    </row>
    <row r="2207" spans="1:1" x14ac:dyDescent="0.3">
      <c r="A2207" s="27">
        <v>1</v>
      </c>
    </row>
    <row r="2208" spans="1:1" x14ac:dyDescent="0.3">
      <c r="A2208" s="26">
        <v>1</v>
      </c>
    </row>
    <row r="2209" spans="1:1" x14ac:dyDescent="0.3">
      <c r="A2209" s="27">
        <v>1</v>
      </c>
    </row>
    <row r="2210" spans="1:1" x14ac:dyDescent="0.3">
      <c r="A2210" s="26">
        <v>1</v>
      </c>
    </row>
    <row r="2211" spans="1:1" x14ac:dyDescent="0.3">
      <c r="A2211" s="27">
        <v>1</v>
      </c>
    </row>
    <row r="2212" spans="1:1" x14ac:dyDescent="0.3">
      <c r="A2212" s="26">
        <v>1</v>
      </c>
    </row>
    <row r="2213" spans="1:1" x14ac:dyDescent="0.3">
      <c r="A2213" s="27">
        <v>1</v>
      </c>
    </row>
    <row r="2214" spans="1:1" x14ac:dyDescent="0.3">
      <c r="A2214" s="26">
        <v>1</v>
      </c>
    </row>
    <row r="2215" spans="1:1" x14ac:dyDescent="0.3">
      <c r="A2215" s="27">
        <v>1</v>
      </c>
    </row>
    <row r="2216" spans="1:1" x14ac:dyDescent="0.3">
      <c r="A2216" s="26">
        <v>1</v>
      </c>
    </row>
    <row r="2217" spans="1:1" x14ac:dyDescent="0.3">
      <c r="A2217" s="27">
        <v>1</v>
      </c>
    </row>
    <row r="2218" spans="1:1" x14ac:dyDescent="0.3">
      <c r="A2218" s="26">
        <v>1</v>
      </c>
    </row>
    <row r="2219" spans="1:1" x14ac:dyDescent="0.3">
      <c r="A2219" s="27">
        <v>1</v>
      </c>
    </row>
    <row r="2220" spans="1:1" x14ac:dyDescent="0.3">
      <c r="A2220" s="26">
        <v>1</v>
      </c>
    </row>
    <row r="2221" spans="1:1" x14ac:dyDescent="0.3">
      <c r="A2221" s="27">
        <v>1</v>
      </c>
    </row>
    <row r="2222" spans="1:1" x14ac:dyDescent="0.3">
      <c r="A2222" s="26">
        <v>1</v>
      </c>
    </row>
    <row r="2223" spans="1:1" x14ac:dyDescent="0.3">
      <c r="A2223" s="27">
        <v>1</v>
      </c>
    </row>
    <row r="2224" spans="1:1" x14ac:dyDescent="0.3">
      <c r="A2224" s="26">
        <v>1</v>
      </c>
    </row>
    <row r="2225" spans="1:1" x14ac:dyDescent="0.3">
      <c r="A2225" s="27">
        <v>1</v>
      </c>
    </row>
    <row r="2226" spans="1:1" x14ac:dyDescent="0.3">
      <c r="A2226" s="26">
        <v>1</v>
      </c>
    </row>
    <row r="2227" spans="1:1" x14ac:dyDescent="0.3">
      <c r="A2227" s="27">
        <v>1</v>
      </c>
    </row>
    <row r="2228" spans="1:1" x14ac:dyDescent="0.3">
      <c r="A2228" s="26">
        <v>2</v>
      </c>
    </row>
    <row r="2229" spans="1:1" x14ac:dyDescent="0.3">
      <c r="A2229" s="27">
        <v>1</v>
      </c>
    </row>
    <row r="2230" spans="1:1" x14ac:dyDescent="0.3">
      <c r="A2230" s="26">
        <v>1</v>
      </c>
    </row>
    <row r="2231" spans="1:1" x14ac:dyDescent="0.3">
      <c r="A2231" s="27">
        <v>1</v>
      </c>
    </row>
    <row r="2232" spans="1:1" x14ac:dyDescent="0.3">
      <c r="A2232" s="26">
        <v>1</v>
      </c>
    </row>
    <row r="2233" spans="1:1" x14ac:dyDescent="0.3">
      <c r="A2233" s="27">
        <v>1</v>
      </c>
    </row>
    <row r="2234" spans="1:1" x14ac:dyDescent="0.3">
      <c r="A2234" s="26">
        <v>1</v>
      </c>
    </row>
    <row r="2235" spans="1:1" x14ac:dyDescent="0.3">
      <c r="A2235" s="27">
        <v>1</v>
      </c>
    </row>
    <row r="2236" spans="1:1" x14ac:dyDescent="0.3">
      <c r="A2236" s="26">
        <v>1</v>
      </c>
    </row>
    <row r="2237" spans="1:1" x14ac:dyDescent="0.3">
      <c r="A2237" s="27">
        <v>1</v>
      </c>
    </row>
    <row r="2238" spans="1:1" x14ac:dyDescent="0.3">
      <c r="A2238" s="26">
        <v>1</v>
      </c>
    </row>
    <row r="2239" spans="1:1" x14ac:dyDescent="0.3">
      <c r="A2239" s="27">
        <v>1</v>
      </c>
    </row>
    <row r="2240" spans="1:1" x14ac:dyDescent="0.3">
      <c r="A2240" s="26">
        <v>1</v>
      </c>
    </row>
    <row r="2241" spans="1:1" x14ac:dyDescent="0.3">
      <c r="A2241" s="27">
        <v>1</v>
      </c>
    </row>
    <row r="2242" spans="1:1" x14ac:dyDescent="0.3">
      <c r="A2242" s="26">
        <v>1</v>
      </c>
    </row>
    <row r="2243" spans="1:1" x14ac:dyDescent="0.3">
      <c r="A2243" s="27">
        <v>1</v>
      </c>
    </row>
    <row r="2244" spans="1:1" x14ac:dyDescent="0.3">
      <c r="A2244" s="26">
        <v>1</v>
      </c>
    </row>
    <row r="2245" spans="1:1" x14ac:dyDescent="0.3">
      <c r="A2245" s="27">
        <v>1</v>
      </c>
    </row>
    <row r="2246" spans="1:1" x14ac:dyDescent="0.3">
      <c r="A2246" s="26">
        <v>1</v>
      </c>
    </row>
    <row r="2247" spans="1:1" x14ac:dyDescent="0.3">
      <c r="A2247" s="27">
        <v>1</v>
      </c>
    </row>
    <row r="2248" spans="1:1" x14ac:dyDescent="0.3">
      <c r="A2248" s="26">
        <v>1</v>
      </c>
    </row>
    <row r="2249" spans="1:1" x14ac:dyDescent="0.3">
      <c r="A2249" s="27">
        <v>1</v>
      </c>
    </row>
    <row r="2250" spans="1:1" x14ac:dyDescent="0.3">
      <c r="A2250" s="26">
        <v>1</v>
      </c>
    </row>
    <row r="2251" spans="1:1" x14ac:dyDescent="0.3">
      <c r="A2251" s="27">
        <v>1</v>
      </c>
    </row>
    <row r="2252" spans="1:1" x14ac:dyDescent="0.3">
      <c r="A2252" s="26">
        <v>1</v>
      </c>
    </row>
    <row r="2253" spans="1:1" x14ac:dyDescent="0.3">
      <c r="A2253" s="27">
        <v>1</v>
      </c>
    </row>
    <row r="2254" spans="1:1" x14ac:dyDescent="0.3">
      <c r="A2254" s="26">
        <v>1</v>
      </c>
    </row>
    <row r="2255" spans="1:1" x14ac:dyDescent="0.3">
      <c r="A2255" s="27">
        <v>1</v>
      </c>
    </row>
    <row r="2256" spans="1:1" x14ac:dyDescent="0.3">
      <c r="A2256" s="26">
        <v>1</v>
      </c>
    </row>
    <row r="2257" spans="1:1" x14ac:dyDescent="0.3">
      <c r="A2257" s="27">
        <v>1</v>
      </c>
    </row>
    <row r="2258" spans="1:1" x14ac:dyDescent="0.3">
      <c r="A2258" s="26">
        <v>1</v>
      </c>
    </row>
    <row r="2259" spans="1:1" x14ac:dyDescent="0.3">
      <c r="A2259" s="27">
        <v>1</v>
      </c>
    </row>
    <row r="2260" spans="1:1" x14ac:dyDescent="0.3">
      <c r="A2260" s="26">
        <v>1</v>
      </c>
    </row>
    <row r="2261" spans="1:1" x14ac:dyDescent="0.3">
      <c r="A2261" s="27">
        <v>1</v>
      </c>
    </row>
    <row r="2262" spans="1:1" x14ac:dyDescent="0.3">
      <c r="A2262" s="26">
        <v>1</v>
      </c>
    </row>
    <row r="2263" spans="1:1" x14ac:dyDescent="0.3">
      <c r="A2263" s="27">
        <v>1</v>
      </c>
    </row>
    <row r="2264" spans="1:1" x14ac:dyDescent="0.3">
      <c r="A2264" s="26">
        <v>1</v>
      </c>
    </row>
    <row r="2265" spans="1:1" x14ac:dyDescent="0.3">
      <c r="A2265" s="27">
        <v>1</v>
      </c>
    </row>
    <row r="2266" spans="1:1" x14ac:dyDescent="0.3">
      <c r="A2266" s="26">
        <v>1</v>
      </c>
    </row>
    <row r="2267" spans="1:1" x14ac:dyDescent="0.3">
      <c r="A2267" s="27">
        <v>1</v>
      </c>
    </row>
    <row r="2268" spans="1:1" x14ac:dyDescent="0.3">
      <c r="A2268" s="26">
        <v>1</v>
      </c>
    </row>
    <row r="2269" spans="1:1" x14ac:dyDescent="0.3">
      <c r="A2269" s="27">
        <v>1</v>
      </c>
    </row>
    <row r="2270" spans="1:1" x14ac:dyDescent="0.3">
      <c r="A2270" s="26">
        <v>1</v>
      </c>
    </row>
    <row r="2271" spans="1:1" x14ac:dyDescent="0.3">
      <c r="A2271" s="27">
        <v>1</v>
      </c>
    </row>
    <row r="2272" spans="1:1" x14ac:dyDescent="0.3">
      <c r="A2272" s="26">
        <v>1</v>
      </c>
    </row>
    <row r="2273" spans="1:1" x14ac:dyDescent="0.3">
      <c r="A2273" s="27">
        <v>1</v>
      </c>
    </row>
    <row r="2274" spans="1:1" x14ac:dyDescent="0.3">
      <c r="A2274" s="26">
        <v>1</v>
      </c>
    </row>
    <row r="2275" spans="1:1" x14ac:dyDescent="0.3">
      <c r="A2275" s="27">
        <v>1</v>
      </c>
    </row>
    <row r="2276" spans="1:1" x14ac:dyDescent="0.3">
      <c r="A2276" s="26">
        <v>1</v>
      </c>
    </row>
    <row r="2277" spans="1:1" x14ac:dyDescent="0.3">
      <c r="A2277" s="27">
        <v>2</v>
      </c>
    </row>
    <row r="2278" spans="1:1" x14ac:dyDescent="0.3">
      <c r="A2278" s="26">
        <v>1</v>
      </c>
    </row>
    <row r="2279" spans="1:1" x14ac:dyDescent="0.3">
      <c r="A2279" s="27">
        <v>1</v>
      </c>
    </row>
    <row r="2280" spans="1:1" x14ac:dyDescent="0.3">
      <c r="A2280" s="26">
        <v>1</v>
      </c>
    </row>
    <row r="2281" spans="1:1" x14ac:dyDescent="0.3">
      <c r="A2281" s="27">
        <v>1</v>
      </c>
    </row>
    <row r="2282" spans="1:1" x14ac:dyDescent="0.3">
      <c r="A2282" s="26">
        <v>1</v>
      </c>
    </row>
    <row r="2283" spans="1:1" x14ac:dyDescent="0.3">
      <c r="A2283" s="27">
        <v>1</v>
      </c>
    </row>
    <row r="2284" spans="1:1" x14ac:dyDescent="0.3">
      <c r="A2284" s="26">
        <v>1</v>
      </c>
    </row>
    <row r="2285" spans="1:1" x14ac:dyDescent="0.3">
      <c r="A2285" s="27">
        <v>1</v>
      </c>
    </row>
    <row r="2286" spans="1:1" x14ac:dyDescent="0.3">
      <c r="A2286" s="26">
        <v>1</v>
      </c>
    </row>
    <row r="2287" spans="1:1" x14ac:dyDescent="0.3">
      <c r="A2287" s="27">
        <v>1</v>
      </c>
    </row>
    <row r="2288" spans="1:1" x14ac:dyDescent="0.3">
      <c r="A2288" s="26">
        <v>1</v>
      </c>
    </row>
    <row r="2289" spans="1:1" x14ac:dyDescent="0.3">
      <c r="A2289" s="27">
        <v>1</v>
      </c>
    </row>
    <row r="2290" spans="1:1" x14ac:dyDescent="0.3">
      <c r="A2290" s="26">
        <v>1</v>
      </c>
    </row>
    <row r="2291" spans="1:1" x14ac:dyDescent="0.3">
      <c r="A2291" s="27">
        <v>1</v>
      </c>
    </row>
    <row r="2292" spans="1:1" x14ac:dyDescent="0.3">
      <c r="A2292" s="26">
        <v>1</v>
      </c>
    </row>
    <row r="2293" spans="1:1" x14ac:dyDescent="0.3">
      <c r="A2293" s="27">
        <v>1</v>
      </c>
    </row>
    <row r="2294" spans="1:1" x14ac:dyDescent="0.3">
      <c r="A2294" s="26">
        <v>1</v>
      </c>
    </row>
    <row r="2295" spans="1:1" x14ac:dyDescent="0.3">
      <c r="A2295" s="27">
        <v>1</v>
      </c>
    </row>
    <row r="2296" spans="1:1" x14ac:dyDescent="0.3">
      <c r="A2296" s="26">
        <v>1</v>
      </c>
    </row>
    <row r="2297" spans="1:1" x14ac:dyDescent="0.3">
      <c r="A2297" s="27">
        <v>1</v>
      </c>
    </row>
    <row r="2298" spans="1:1" x14ac:dyDescent="0.3">
      <c r="A2298" s="26">
        <v>1</v>
      </c>
    </row>
    <row r="2299" spans="1:1" x14ac:dyDescent="0.3">
      <c r="A2299" s="27">
        <v>1</v>
      </c>
    </row>
    <row r="2300" spans="1:1" x14ac:dyDescent="0.3">
      <c r="A2300" s="26">
        <v>1</v>
      </c>
    </row>
    <row r="2301" spans="1:1" x14ac:dyDescent="0.3">
      <c r="A2301" s="27">
        <v>1</v>
      </c>
    </row>
    <row r="2302" spans="1:1" x14ac:dyDescent="0.3">
      <c r="A2302" s="26">
        <v>1</v>
      </c>
    </row>
    <row r="2303" spans="1:1" x14ac:dyDescent="0.3">
      <c r="A2303" s="27">
        <v>1</v>
      </c>
    </row>
    <row r="2304" spans="1:1" x14ac:dyDescent="0.3">
      <c r="A2304" s="26">
        <v>1</v>
      </c>
    </row>
    <row r="2305" spans="1:1" x14ac:dyDescent="0.3">
      <c r="A2305" s="27">
        <v>1</v>
      </c>
    </row>
    <row r="2306" spans="1:1" x14ac:dyDescent="0.3">
      <c r="A2306" s="26">
        <v>1</v>
      </c>
    </row>
    <row r="2307" spans="1:1" x14ac:dyDescent="0.3">
      <c r="A2307" s="27">
        <v>1</v>
      </c>
    </row>
    <row r="2308" spans="1:1" x14ac:dyDescent="0.3">
      <c r="A2308" s="26">
        <v>1</v>
      </c>
    </row>
    <row r="2309" spans="1:1" x14ac:dyDescent="0.3">
      <c r="A2309" s="27">
        <v>1</v>
      </c>
    </row>
    <row r="2310" spans="1:1" x14ac:dyDescent="0.3">
      <c r="A2310" s="26">
        <v>1</v>
      </c>
    </row>
    <row r="2311" spans="1:1" x14ac:dyDescent="0.3">
      <c r="A2311" s="27">
        <v>1</v>
      </c>
    </row>
    <row r="2312" spans="1:1" x14ac:dyDescent="0.3">
      <c r="A2312" s="26">
        <v>1</v>
      </c>
    </row>
    <row r="2313" spans="1:1" x14ac:dyDescent="0.3">
      <c r="A2313" s="27">
        <v>1</v>
      </c>
    </row>
    <row r="2314" spans="1:1" x14ac:dyDescent="0.3">
      <c r="A2314" s="26">
        <v>1</v>
      </c>
    </row>
    <row r="2315" spans="1:1" x14ac:dyDescent="0.3">
      <c r="A2315" s="27">
        <v>1</v>
      </c>
    </row>
    <row r="2316" spans="1:1" x14ac:dyDescent="0.3">
      <c r="A2316" s="26">
        <v>1</v>
      </c>
    </row>
    <row r="2317" spans="1:1" x14ac:dyDescent="0.3">
      <c r="A2317" s="27">
        <v>1</v>
      </c>
    </row>
    <row r="2318" spans="1:1" x14ac:dyDescent="0.3">
      <c r="A2318" s="26">
        <v>1</v>
      </c>
    </row>
    <row r="2319" spans="1:1" x14ac:dyDescent="0.3">
      <c r="A2319" s="27">
        <v>1</v>
      </c>
    </row>
    <row r="2320" spans="1:1" x14ac:dyDescent="0.3">
      <c r="A2320" s="26">
        <v>1</v>
      </c>
    </row>
    <row r="2321" spans="1:1" x14ac:dyDescent="0.3">
      <c r="A2321" s="27">
        <v>1</v>
      </c>
    </row>
    <row r="2322" spans="1:1" x14ac:dyDescent="0.3">
      <c r="A2322" s="26">
        <v>1</v>
      </c>
    </row>
    <row r="2323" spans="1:1" x14ac:dyDescent="0.3">
      <c r="A2323" s="27">
        <v>1</v>
      </c>
    </row>
    <row r="2324" spans="1:1" x14ac:dyDescent="0.3">
      <c r="A2324" s="26">
        <v>1</v>
      </c>
    </row>
    <row r="2325" spans="1:1" x14ac:dyDescent="0.3">
      <c r="A2325" s="27">
        <v>1</v>
      </c>
    </row>
    <row r="2326" spans="1:1" x14ac:dyDescent="0.3">
      <c r="A2326" s="26">
        <v>1</v>
      </c>
    </row>
    <row r="2327" spans="1:1" x14ac:dyDescent="0.3">
      <c r="A2327" s="27">
        <v>1</v>
      </c>
    </row>
    <row r="2328" spans="1:1" x14ac:dyDescent="0.3">
      <c r="A2328" s="26">
        <v>1</v>
      </c>
    </row>
    <row r="2329" spans="1:1" x14ac:dyDescent="0.3">
      <c r="A2329" s="27">
        <v>1</v>
      </c>
    </row>
    <row r="2330" spans="1:1" x14ac:dyDescent="0.3">
      <c r="A2330" s="26">
        <v>1</v>
      </c>
    </row>
    <row r="2331" spans="1:1" x14ac:dyDescent="0.3">
      <c r="A2331" s="27">
        <v>1</v>
      </c>
    </row>
    <row r="2332" spans="1:1" x14ac:dyDescent="0.3">
      <c r="A2332" s="26">
        <v>1</v>
      </c>
    </row>
    <row r="2333" spans="1:1" x14ac:dyDescent="0.3">
      <c r="A2333" s="27">
        <v>2</v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1BFF-2CDB-4DB4-8FF3-AEF447923B0C}">
  <dimension ref="A1:H53"/>
  <sheetViews>
    <sheetView topLeftCell="A35" workbookViewId="0">
      <selection activeCell="C38" sqref="C38"/>
    </sheetView>
  </sheetViews>
  <sheetFormatPr baseColWidth="10" defaultColWidth="11.3984375" defaultRowHeight="13" x14ac:dyDescent="0.3"/>
  <cols>
    <col min="1" max="1" width="23.296875" customWidth="1"/>
    <col min="2" max="2" width="30.09765625" bestFit="1" customWidth="1"/>
    <col min="3" max="3" width="31.09765625" bestFit="1" customWidth="1"/>
  </cols>
  <sheetData>
    <row r="1" spans="1:4" x14ac:dyDescent="0.3">
      <c r="A1" t="s">
        <v>155</v>
      </c>
    </row>
    <row r="3" spans="1:4" x14ac:dyDescent="0.3">
      <c r="A3" s="72" t="s">
        <v>0</v>
      </c>
      <c r="B3" t="s">
        <v>156</v>
      </c>
      <c r="C3" t="s">
        <v>157</v>
      </c>
    </row>
    <row r="4" spans="1:4" x14ac:dyDescent="0.3">
      <c r="A4" s="130">
        <v>1</v>
      </c>
      <c r="B4">
        <v>2313</v>
      </c>
      <c r="C4" s="70">
        <v>0.99270386266094424</v>
      </c>
    </row>
    <row r="5" spans="1:4" x14ac:dyDescent="0.3">
      <c r="A5" s="130">
        <v>2</v>
      </c>
      <c r="B5">
        <v>17</v>
      </c>
      <c r="C5" s="70">
        <v>7.2961373390557941E-3</v>
      </c>
    </row>
    <row r="6" spans="1:4" x14ac:dyDescent="0.3">
      <c r="A6" s="130" t="s">
        <v>11</v>
      </c>
      <c r="B6">
        <v>2330</v>
      </c>
      <c r="C6" s="70">
        <v>1</v>
      </c>
    </row>
    <row r="9" spans="1:4" x14ac:dyDescent="0.3">
      <c r="A9" s="138" t="s">
        <v>158</v>
      </c>
      <c r="B9" s="138" t="s">
        <v>159</v>
      </c>
      <c r="C9" s="138" t="s">
        <v>160</v>
      </c>
    </row>
    <row r="10" spans="1:4" x14ac:dyDescent="0.3">
      <c r="A10" s="135">
        <v>1</v>
      </c>
      <c r="B10" s="135">
        <f>GETPIVOTDATA("Nombre de Conformité de la pièce",$A$3,"Conformité de la pièce
1 - Conforme
2 - Non conforme",1)</f>
        <v>2313</v>
      </c>
      <c r="C10" s="136">
        <f>B10/$B$12</f>
        <v>0.99270386266094424</v>
      </c>
    </row>
    <row r="11" spans="1:4" x14ac:dyDescent="0.3">
      <c r="A11" s="135">
        <v>2</v>
      </c>
      <c r="B11" s="135">
        <f>GETPIVOTDATA("Nombre de Conformité de la pièce",$A$3,"Conformité de la pièce
1 - Conforme
2 - Non conforme",2)</f>
        <v>17</v>
      </c>
      <c r="C11" s="136">
        <f>B11/$B$12</f>
        <v>7.2961373390557941E-3</v>
      </c>
      <c r="D11" s="47"/>
    </row>
    <row r="12" spans="1:4" x14ac:dyDescent="0.3">
      <c r="A12" s="82" t="s">
        <v>29</v>
      </c>
      <c r="B12" s="135">
        <f>SUM(B10:B11)</f>
        <v>2330</v>
      </c>
      <c r="C12" s="137">
        <f>SUM(C10:C11)</f>
        <v>1</v>
      </c>
    </row>
    <row r="15" spans="1:4" x14ac:dyDescent="0.3">
      <c r="A15" s="151" t="s">
        <v>161</v>
      </c>
      <c r="B15" s="151"/>
    </row>
    <row r="16" spans="1:4" x14ac:dyDescent="0.3">
      <c r="A16" s="139" t="s">
        <v>71</v>
      </c>
      <c r="B16" s="110">
        <v>2330</v>
      </c>
    </row>
    <row r="17" spans="1:8" x14ac:dyDescent="0.3">
      <c r="A17" s="69" t="s">
        <v>162</v>
      </c>
      <c r="B17">
        <v>0.73</v>
      </c>
    </row>
    <row r="18" spans="1:8" x14ac:dyDescent="0.3">
      <c r="A18" s="69" t="s">
        <v>163</v>
      </c>
      <c r="B18">
        <v>0.06</v>
      </c>
    </row>
    <row r="19" spans="1:8" x14ac:dyDescent="0.3">
      <c r="A19" s="141" t="s">
        <v>164</v>
      </c>
      <c r="B19" s="126">
        <f>_xlfn.NORM.S.INV(0.94)</f>
        <v>1.5547735945968528</v>
      </c>
    </row>
    <row r="20" spans="1:8" ht="13" customHeight="1" x14ac:dyDescent="0.3">
      <c r="A20" s="151" t="s">
        <v>110</v>
      </c>
      <c r="B20" s="151"/>
      <c r="G20" s="56"/>
      <c r="H20" s="56"/>
    </row>
    <row r="21" spans="1:8" x14ac:dyDescent="0.3">
      <c r="A21" s="69" t="s">
        <v>165</v>
      </c>
      <c r="B21" s="140">
        <v>5.0000000000000001E-3</v>
      </c>
      <c r="H21" s="70"/>
    </row>
    <row r="22" spans="1:8" x14ac:dyDescent="0.3">
      <c r="A22" s="69" t="s">
        <v>166</v>
      </c>
      <c r="B22" s="140">
        <f>B21</f>
        <v>5.0000000000000001E-3</v>
      </c>
    </row>
    <row r="24" spans="1:8" x14ac:dyDescent="0.3">
      <c r="A24" s="151" t="s">
        <v>167</v>
      </c>
      <c r="B24" s="151"/>
    </row>
    <row r="25" spans="1:8" x14ac:dyDescent="0.3">
      <c r="B25">
        <v>2330</v>
      </c>
      <c r="C25" t="s">
        <v>168</v>
      </c>
    </row>
    <row r="26" spans="1:8" x14ac:dyDescent="0.3">
      <c r="A26" s="69" t="s">
        <v>169</v>
      </c>
      <c r="B26" s="69">
        <f>2330*0.5</f>
        <v>1165</v>
      </c>
      <c r="C26" t="s">
        <v>170</v>
      </c>
    </row>
    <row r="27" spans="1:8" x14ac:dyDescent="0.3">
      <c r="A27" s="69" t="s">
        <v>171</v>
      </c>
      <c r="B27" s="127">
        <f>2330*99.5</f>
        <v>231835</v>
      </c>
      <c r="C27" t="s">
        <v>170</v>
      </c>
    </row>
    <row r="28" spans="1:8" x14ac:dyDescent="0.3">
      <c r="A28" s="166" t="s">
        <v>172</v>
      </c>
      <c r="B28" s="166"/>
    </row>
    <row r="30" spans="1:8" x14ac:dyDescent="0.3">
      <c r="A30" s="151" t="s">
        <v>173</v>
      </c>
      <c r="B30" s="151"/>
    </row>
    <row r="31" spans="1:8" x14ac:dyDescent="0.3">
      <c r="B31" s="75">
        <f>SQRT(0.5*(100-0.5)/2330)</f>
        <v>0.14612300068939216</v>
      </c>
      <c r="C31" s="144"/>
    </row>
    <row r="32" spans="1:8" x14ac:dyDescent="0.3">
      <c r="A32" s="151" t="s">
        <v>174</v>
      </c>
      <c r="B32" s="151"/>
    </row>
    <row r="33" spans="1:5" x14ac:dyDescent="0.3">
      <c r="B33" s="145">
        <f>_xlfn.NORM.INV(0.94,0.5,B31)</f>
        <v>0.72718818303512467</v>
      </c>
      <c r="E33" s="144"/>
    </row>
    <row r="34" spans="1:5" x14ac:dyDescent="0.3">
      <c r="A34" s="151" t="s">
        <v>175</v>
      </c>
      <c r="B34" s="151"/>
    </row>
    <row r="35" spans="1:5" x14ac:dyDescent="0.3">
      <c r="A35" s="150" t="s">
        <v>176</v>
      </c>
      <c r="B35" s="150"/>
    </row>
    <row r="37" spans="1:5" x14ac:dyDescent="0.3">
      <c r="A37" s="151" t="s">
        <v>151</v>
      </c>
      <c r="B37" s="151"/>
    </row>
    <row r="38" spans="1:5" x14ac:dyDescent="0.3">
      <c r="A38" t="s">
        <v>177</v>
      </c>
      <c r="C38" s="142">
        <f>17/2330</f>
        <v>7.2961373390557941E-3</v>
      </c>
    </row>
    <row r="39" spans="1:5" x14ac:dyDescent="0.3">
      <c r="C39" s="142"/>
    </row>
    <row r="40" spans="1:5" x14ac:dyDescent="0.3">
      <c r="A40" s="151" t="s">
        <v>178</v>
      </c>
      <c r="B40" s="151"/>
      <c r="C40" s="142"/>
    </row>
    <row r="41" spans="1:5" x14ac:dyDescent="0.3">
      <c r="A41" t="s">
        <v>179</v>
      </c>
    </row>
    <row r="42" spans="1:5" x14ac:dyDescent="0.3">
      <c r="A42" t="s">
        <v>180</v>
      </c>
      <c r="B42" s="56">
        <f>0.7296-0.7272</f>
        <v>2.4000000000000687E-3</v>
      </c>
    </row>
    <row r="43" spans="1:5" x14ac:dyDescent="0.3">
      <c r="A43" s="160" t="s">
        <v>181</v>
      </c>
      <c r="B43" s="160"/>
      <c r="C43" s="160"/>
    </row>
    <row r="44" spans="1:5" x14ac:dyDescent="0.3">
      <c r="A44" s="160"/>
      <c r="B44" s="160"/>
      <c r="C44" s="160"/>
    </row>
    <row r="45" spans="1:5" x14ac:dyDescent="0.3">
      <c r="A45" s="160"/>
      <c r="B45" s="160"/>
      <c r="C45" s="160"/>
    </row>
    <row r="46" spans="1:5" x14ac:dyDescent="0.3">
      <c r="A46" s="160"/>
      <c r="B46" s="160"/>
      <c r="C46" s="160"/>
    </row>
    <row r="48" spans="1:5" x14ac:dyDescent="0.3">
      <c r="A48" s="151" t="s">
        <v>182</v>
      </c>
      <c r="B48" s="151"/>
    </row>
    <row r="49" spans="1:2" x14ac:dyDescent="0.3">
      <c r="A49" s="56" t="s">
        <v>183</v>
      </c>
      <c r="B49" s="75">
        <v>0.72689999999999999</v>
      </c>
    </row>
    <row r="50" spans="1:2" x14ac:dyDescent="0.3">
      <c r="A50" s="56" t="s">
        <v>184</v>
      </c>
      <c r="B50" s="48">
        <v>0.5</v>
      </c>
    </row>
    <row r="51" spans="1:2" x14ac:dyDescent="0.3">
      <c r="A51" s="56" t="s">
        <v>185</v>
      </c>
      <c r="B51" s="75">
        <f>B31</f>
        <v>0.14612300068939216</v>
      </c>
    </row>
    <row r="53" spans="1:2" x14ac:dyDescent="0.3">
      <c r="A53" s="139" t="s">
        <v>186</v>
      </c>
      <c r="B53" s="75">
        <f>_xlfn.NORM.DIST(B49, B50, B51, TRUE)</f>
        <v>0.9397647058905485</v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mergeCells count="12">
    <mergeCell ref="A15:B15"/>
    <mergeCell ref="A20:B20"/>
    <mergeCell ref="A24:B24"/>
    <mergeCell ref="A28:B28"/>
    <mergeCell ref="A30:B30"/>
    <mergeCell ref="A48:B48"/>
    <mergeCell ref="A32:B32"/>
    <mergeCell ref="A34:B34"/>
    <mergeCell ref="A35:B35"/>
    <mergeCell ref="A37:B37"/>
    <mergeCell ref="A40:B40"/>
    <mergeCell ref="A43:C46"/>
  </mergeCells>
  <phoneticPr fontId="2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d3dae8-977c-4317-a59c-7f763b63c68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96662C70C71B4BADFCE86EBF61D73C" ma:contentTypeVersion="15" ma:contentTypeDescription="Crée un document." ma:contentTypeScope="" ma:versionID="34c8cbbc35cb423874c59aacac188d5d">
  <xsd:schema xmlns:xsd="http://www.w3.org/2001/XMLSchema" xmlns:xs="http://www.w3.org/2001/XMLSchema" xmlns:p="http://schemas.microsoft.com/office/2006/metadata/properties" xmlns:ns3="2dd3dae8-977c-4317-a59c-7f763b63c687" xmlns:ns4="288adfe9-5f5f-4718-9b23-c6cd8849bca6" targetNamespace="http://schemas.microsoft.com/office/2006/metadata/properties" ma:root="true" ma:fieldsID="42e68db18ff92fae0acf27188db76875" ns3:_="" ns4:_="">
    <xsd:import namespace="2dd3dae8-977c-4317-a59c-7f763b63c687"/>
    <xsd:import namespace="288adfe9-5f5f-4718-9b23-c6cd8849bca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3dae8-977c-4317-a59c-7f763b63c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adfe9-5f5f-4718-9b23-c6cd8849bca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2DB57A-5393-48C4-882A-9A5555539C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57617C-B5E2-454B-B28B-CF02275F686F}">
  <ds:schemaRefs>
    <ds:schemaRef ds:uri="http://www.w3.org/XML/1998/namespace"/>
    <ds:schemaRef ds:uri="288adfe9-5f5f-4718-9b23-c6cd8849bca6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2dd3dae8-977c-4317-a59c-7f763b63c687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ECC9C75-C8DA-40FE-9982-BA5D31AF19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d3dae8-977c-4317-a59c-7f763b63c687"/>
    <ds:schemaRef ds:uri="288adfe9-5f5f-4718-9b23-c6cd8849bc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Ancienneté – SD </vt:lpstr>
      <vt:lpstr> Rébellion – SD</vt:lpstr>
      <vt:lpstr> Ancienneté – Absence</vt:lpstr>
      <vt:lpstr>Sexe-Rebellion</vt:lpstr>
      <vt:lpstr>Ancienneté IC</vt:lpstr>
      <vt:lpstr>Abus inc.</vt:lpstr>
      <vt:lpstr>Manoeuvres beaucerons</vt:lpstr>
      <vt:lpstr>Salaires beaucerons</vt:lpstr>
      <vt:lpstr>Salaires Beaucerons Expérience </vt:lpstr>
      <vt:lpstr>Kansas Vamal</vt:lpstr>
      <vt:lpstr>Gabarit</vt:lpstr>
    </vt:vector>
  </TitlesOfParts>
  <Manager/>
  <Company>Cégep Limoilou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201-031-LI Travail de session H26</dc:title>
  <dc:subject>Échantillon #52</dc:subject>
  <dc:creator>©Patrice Tremblay, dit le meilleur enseignant</dc:creator>
  <cp:keywords/>
  <dc:description/>
  <cp:lastModifiedBy>issa Ouedraogo</cp:lastModifiedBy>
  <cp:revision/>
  <dcterms:created xsi:type="dcterms:W3CDTF">2009-11-14T19:26:13Z</dcterms:created>
  <dcterms:modified xsi:type="dcterms:W3CDTF">2026-08-05T05:18:41Z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0x010100F696662C70C71B4BADFCE86EBF61D73C</vt:lpwstr>
  </property>
</Properties>
</file>