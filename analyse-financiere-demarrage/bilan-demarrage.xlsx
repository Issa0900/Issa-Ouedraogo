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tables/table2.xml" ContentType="application/vnd.openxmlformats-officedocument.spreadsheetml.table+xml"/>
  <Override PartName="/xl/drawings/drawing9.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tables/table3.xml" ContentType="application/vnd.openxmlformats-officedocument.spreadsheetml.table+xml"/>
  <Override PartName="/xl/drawings/drawing14.xml" ContentType="application/vnd.openxmlformats-officedocument.drawing+xml"/>
  <Override PartName="/xl/tables/table4.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fileSharing readOnlyRecommended="1"/>
  <workbookPr defaultThemeVersion="202300"/>
  <mc:AlternateContent xmlns:mc="http://schemas.openxmlformats.org/markup-compatibility/2006">
    <mc:Choice Requires="x15">
      <x15ac:absPath xmlns:x15ac="http://schemas.microsoft.com/office/spreadsheetml/2010/11/ac" url="C:\DESKTOP\MES ETUDES\CEGEP\SESSION 4\Annalyse financiere\Bilan de démarage\"/>
    </mc:Choice>
  </mc:AlternateContent>
  <xr:revisionPtr revIDLastSave="0" documentId="13_ncr:1_{911A0FE2-7D6D-4EAD-A5CA-A134713F7FC8}" xr6:coauthVersionLast="47" xr6:coauthVersionMax="47" xr10:uidLastSave="{00000000-0000-0000-0000-000000000000}"/>
  <workbookProtection lockStructure="1"/>
  <bookViews>
    <workbookView xWindow="-110" yWindow="-110" windowWidth="19420" windowHeight="10300" tabRatio="599" firstSheet="26" activeTab="28" xr2:uid="{15120371-A859-4517-BB81-39C4AE3F71D5}"/>
  </bookViews>
  <sheets>
    <sheet name="Données" sheetId="1" r:id="rId1"/>
    <sheet name="S1 - projections" sheetId="3" r:id="rId2"/>
    <sheet name="S2  - Inventaire départ" sheetId="4" r:id="rId3"/>
    <sheet name="S3 - IMMO" sheetId="5" r:id="rId4"/>
    <sheet name="S4 - Montage financier" sheetId="6" r:id="rId5"/>
    <sheet name="IMPORTANT" sheetId="22" r:id="rId6"/>
    <sheet name="S5 -Outil - Ventes" sheetId="23" r:id="rId7"/>
    <sheet name="Desgagné 1" sheetId="30" r:id="rId8"/>
    <sheet name="Fournisseur 1" sheetId="31" r:id="rId9"/>
    <sheet name="S5 -Outil - Charges" sheetId="24" r:id="rId10"/>
    <sheet name="S5 -Emprunt" sheetId="25" r:id="rId11"/>
    <sheet name="S5 - salaire" sheetId="26" r:id="rId12"/>
    <sheet name="S5 - Transactions Acomba" sheetId="27" r:id="rId13"/>
    <sheet name="S6 États des résultats TRIM 1" sheetId="39" r:id="rId14"/>
    <sheet name="S7 - Rentabilité par prod. ETUD" sheetId="32" r:id="rId15"/>
    <sheet name="S6 Bilan TRIM 1" sheetId="40" r:id="rId16"/>
    <sheet name="S8 – Commande TRIM 2" sheetId="34" r:id="rId17"/>
    <sheet name="Ventes potentielle TRIM 2" sheetId="45" r:id="rId18"/>
    <sheet name="Bon de commande TRIM 2" sheetId="44" r:id="rId19"/>
    <sheet name="Desgagné TRIM 2" sheetId="43" r:id="rId20"/>
    <sheet name="S8 -Outil - Ventes " sheetId="41" r:id="rId21"/>
    <sheet name="S8-Outil - Charges " sheetId="36" r:id="rId22"/>
    <sheet name="S8 -Emprunt " sheetId="37" r:id="rId23"/>
    <sheet name="S8 - salaire " sheetId="38" r:id="rId24"/>
    <sheet name="S8 Bilan TRIM1" sheetId="47" r:id="rId25"/>
    <sheet name="S8- Transactions Acomba TRIM 2" sheetId="46" r:id="rId26"/>
    <sheet name="S8 Bilan TRIM2 " sheetId="49" r:id="rId27"/>
    <sheet name="S6 États des résultats TRIM 2" sheetId="50" r:id="rId28"/>
    <sheet name="Fx var et Fx fixe -Simul" sheetId="51" r:id="rId29"/>
  </sheets>
  <externalReferences>
    <externalReference r:id="rId30"/>
    <externalReference r:id="rId31"/>
    <externalReference r:id="rId32"/>
    <externalReference r:id="rId33"/>
  </externalReferences>
  <definedNames>
    <definedName name="_xlnm.Print_Titles" localSheetId="7">'Desgagné 1'!$15:$15</definedName>
    <definedName name="_xlnm.Print_Titles" localSheetId="19">'Desgagné TRIM 2'!$15:$15</definedName>
    <definedName name="Nom_Société" localSheetId="19">'Desgagné TRIM 2'!$B$2</definedName>
    <definedName name="Nom_Société">'Desgagné 1'!$B$2</definedName>
    <definedName name="OLE_LINK4" localSheetId="0">Données!#REF!</definedName>
    <definedName name="TitreColonne1" localSheetId="4">[1]!Facture[[#Headers],[Quantité]]</definedName>
    <definedName name="TitreColonne1" localSheetId="10">[2]!Facture[[#Headers],[Quantité]]</definedName>
    <definedName name="TitreColonne1" localSheetId="9">[2]!Facture[[#Headers],[Quantité]]</definedName>
    <definedName name="TitreColonne1" localSheetId="6">[3]!Facture[[#Headers],[Quantité]]</definedName>
    <definedName name="TitreColonne1" localSheetId="14">[1]!Facture[[#Headers],[Quantité]]</definedName>
    <definedName name="TitreColonne1" localSheetId="22">[2]!Facture[[#Headers],[Quantité]]</definedName>
    <definedName name="TitreColonne1" localSheetId="20">[3]!Facture[[#Headers],[Quantité]]</definedName>
    <definedName name="TitreColonne1" localSheetId="21">[2]!Facture[[#Headers],[Quantité]]</definedName>
    <definedName name="TitreColonne1">[4]!Facture[[#Headers],[Quantité]]</definedName>
    <definedName name="ZoneTitreColonne1..E13.1" localSheetId="19">'Desgagné TRIM 2'!$B$12</definedName>
    <definedName name="ZoneTitreColonne1..E13.1">'Desgagné 1'!$B$12</definedName>
    <definedName name="ZoneTitreLigne1..E5" localSheetId="19">'Desgagné TRIM 2'!$D$3</definedName>
    <definedName name="ZoneTitreLigne1..E5">'Desgagné 1'!$D$3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51" l="1"/>
  <c r="I30" i="51"/>
  <c r="I31" i="51"/>
  <c r="I32" i="51"/>
  <c r="I33" i="51"/>
  <c r="I34" i="51"/>
  <c r="I35" i="51"/>
  <c r="I36" i="51"/>
  <c r="I37" i="51"/>
  <c r="I38" i="51"/>
  <c r="I39" i="51"/>
  <c r="I40" i="51"/>
  <c r="I41" i="51"/>
  <c r="I29" i="51"/>
  <c r="H30" i="51"/>
  <c r="H42" i="51" s="1"/>
  <c r="H31" i="51"/>
  <c r="H32" i="51"/>
  <c r="H33" i="51"/>
  <c r="H34" i="51"/>
  <c r="H35" i="51"/>
  <c r="H36" i="51"/>
  <c r="H37" i="51"/>
  <c r="H38" i="51"/>
  <c r="H39" i="51"/>
  <c r="H40" i="51"/>
  <c r="H41" i="51"/>
  <c r="H29" i="51"/>
  <c r="G30" i="51"/>
  <c r="G31" i="51"/>
  <c r="G32" i="51"/>
  <c r="G33" i="51"/>
  <c r="G34" i="51"/>
  <c r="G35" i="51"/>
  <c r="G36" i="51"/>
  <c r="G37" i="51"/>
  <c r="G38" i="51"/>
  <c r="G39" i="51"/>
  <c r="G40" i="51"/>
  <c r="G41" i="51"/>
  <c r="G29" i="51"/>
  <c r="F30" i="51"/>
  <c r="F31" i="51"/>
  <c r="F32" i="51"/>
  <c r="F33" i="51"/>
  <c r="F34" i="51"/>
  <c r="F35" i="51"/>
  <c r="F36" i="51"/>
  <c r="F37" i="51"/>
  <c r="F38" i="51"/>
  <c r="F39" i="51"/>
  <c r="F40" i="51"/>
  <c r="F41" i="51"/>
  <c r="F29" i="51"/>
  <c r="E30" i="51"/>
  <c r="E31" i="51"/>
  <c r="E32" i="51"/>
  <c r="E33" i="51"/>
  <c r="E34" i="51"/>
  <c r="E35" i="51"/>
  <c r="E36" i="51"/>
  <c r="E37" i="51"/>
  <c r="E38" i="51"/>
  <c r="E39" i="51"/>
  <c r="E40" i="51"/>
  <c r="E41" i="51"/>
  <c r="E29" i="51"/>
  <c r="D30" i="51"/>
  <c r="D31" i="51"/>
  <c r="D32" i="51"/>
  <c r="D33" i="51"/>
  <c r="D34" i="51"/>
  <c r="D35" i="51"/>
  <c r="D36" i="51"/>
  <c r="D37" i="51"/>
  <c r="D38" i="51"/>
  <c r="D39" i="51"/>
  <c r="D40" i="51"/>
  <c r="D41" i="51"/>
  <c r="D42" i="51"/>
  <c r="C42" i="51"/>
  <c r="D29" i="51" s="1"/>
  <c r="L20" i="51"/>
  <c r="K21" i="51"/>
  <c r="K22" i="51" s="1"/>
  <c r="K24" i="51" s="1"/>
  <c r="L21" i="51"/>
  <c r="L22" i="51"/>
  <c r="L24" i="51" s="1"/>
  <c r="K23" i="51"/>
  <c r="L23" i="51"/>
  <c r="K20" i="51"/>
  <c r="I25" i="51"/>
  <c r="J25" i="51"/>
  <c r="K25" i="51"/>
  <c r="L25" i="51"/>
  <c r="H25" i="51"/>
  <c r="I21" i="51"/>
  <c r="J21" i="51"/>
  <c r="I22" i="51"/>
  <c r="J22" i="51"/>
  <c r="I23" i="51"/>
  <c r="I24" i="51" s="1"/>
  <c r="J23" i="51"/>
  <c r="J24" i="51"/>
  <c r="H23" i="51"/>
  <c r="H22" i="51"/>
  <c r="H24" i="51"/>
  <c r="G24" i="51"/>
  <c r="H21" i="51"/>
  <c r="G22" i="51"/>
  <c r="J20" i="51"/>
  <c r="P18" i="50"/>
  <c r="T18" i="50"/>
  <c r="T17" i="50"/>
  <c r="P21" i="50"/>
  <c r="P22" i="50"/>
  <c r="O22" i="50"/>
  <c r="O21" i="50"/>
  <c r="P17" i="50"/>
  <c r="N11" i="50"/>
  <c r="N10" i="50"/>
  <c r="A13" i="51"/>
  <c r="A12" i="51"/>
  <c r="A11" i="51"/>
  <c r="F27" i="51"/>
  <c r="F24" i="51"/>
  <c r="F23" i="51"/>
  <c r="F22" i="51"/>
  <c r="F21" i="51"/>
  <c r="F20" i="51"/>
  <c r="H58" i="49"/>
  <c r="H56" i="49"/>
  <c r="H53" i="49"/>
  <c r="H48" i="49"/>
  <c r="H49" i="49"/>
  <c r="H50" i="49"/>
  <c r="H54" i="49"/>
  <c r="H55" i="49"/>
  <c r="H40" i="49"/>
  <c r="H41" i="49"/>
  <c r="H42" i="49"/>
  <c r="H43" i="49"/>
  <c r="H44" i="49"/>
  <c r="H45" i="49"/>
  <c r="H39" i="49"/>
  <c r="H35" i="49"/>
  <c r="H34" i="49"/>
  <c r="H13" i="49"/>
  <c r="H10" i="49"/>
  <c r="H11" i="49"/>
  <c r="H12" i="49"/>
  <c r="H9" i="49"/>
  <c r="G39" i="49"/>
  <c r="G53" i="49"/>
  <c r="G49" i="49"/>
  <c r="G58" i="49"/>
  <c r="G56" i="49"/>
  <c r="G54" i="49"/>
  <c r="G55" i="49"/>
  <c r="G50" i="49"/>
  <c r="G48" i="49"/>
  <c r="G45" i="49"/>
  <c r="G40" i="49"/>
  <c r="G41" i="49"/>
  <c r="G42" i="49"/>
  <c r="G43" i="49"/>
  <c r="G44" i="49"/>
  <c r="D58" i="49"/>
  <c r="D55" i="49"/>
  <c r="D56" i="49"/>
  <c r="D40" i="49"/>
  <c r="D41" i="49"/>
  <c r="D42" i="49"/>
  <c r="D43" i="49"/>
  <c r="D44" i="49"/>
  <c r="D45" i="49"/>
  <c r="D48" i="49"/>
  <c r="D49" i="49"/>
  <c r="D50" i="49"/>
  <c r="D53" i="49"/>
  <c r="D54" i="49"/>
  <c r="D39" i="49"/>
  <c r="G34" i="49"/>
  <c r="G35" i="49"/>
  <c r="G13" i="49"/>
  <c r="G10" i="49"/>
  <c r="G11" i="49"/>
  <c r="G12" i="49"/>
  <c r="G9" i="49"/>
  <c r="D35" i="49"/>
  <c r="D34" i="49"/>
  <c r="D13" i="49"/>
  <c r="D10" i="49"/>
  <c r="D11" i="49"/>
  <c r="D12" i="49"/>
  <c r="D9" i="49"/>
  <c r="C32" i="49"/>
  <c r="D32" i="49" s="1"/>
  <c r="C29" i="49"/>
  <c r="D29" i="49" s="1"/>
  <c r="C26" i="49"/>
  <c r="D26" i="49" s="1"/>
  <c r="C23" i="49"/>
  <c r="D23" i="49" s="1"/>
  <c r="C20" i="49"/>
  <c r="D20" i="49" s="1"/>
  <c r="C17" i="49"/>
  <c r="D17" i="49" s="1"/>
  <c r="F17" i="49"/>
  <c r="G17" i="49" s="1"/>
  <c r="F20" i="49"/>
  <c r="F23" i="49"/>
  <c r="H23" i="49" s="1"/>
  <c r="F26" i="49"/>
  <c r="G26" i="49" s="1"/>
  <c r="F29" i="49"/>
  <c r="G29" i="49" s="1"/>
  <c r="F32" i="49"/>
  <c r="G32" i="49" s="1"/>
  <c r="E20" i="50"/>
  <c r="C20" i="50"/>
  <c r="E21" i="50"/>
  <c r="E22" i="50"/>
  <c r="E23" i="50"/>
  <c r="E24" i="50"/>
  <c r="E25" i="50"/>
  <c r="E26" i="50"/>
  <c r="E27" i="50"/>
  <c r="E28" i="50"/>
  <c r="E29" i="50"/>
  <c r="E30" i="50"/>
  <c r="E31" i="50"/>
  <c r="E32" i="50"/>
  <c r="E33" i="50"/>
  <c r="E34" i="50"/>
  <c r="E35" i="50"/>
  <c r="E36" i="50"/>
  <c r="E37" i="50"/>
  <c r="E38" i="50"/>
  <c r="E39" i="50"/>
  <c r="E40" i="50"/>
  <c r="E9" i="50"/>
  <c r="E11" i="50"/>
  <c r="E12" i="50"/>
  <c r="E13" i="50"/>
  <c r="E14" i="50"/>
  <c r="E8" i="50"/>
  <c r="C21" i="50"/>
  <c r="C22" i="50"/>
  <c r="C23" i="50"/>
  <c r="C24" i="50"/>
  <c r="C25" i="50"/>
  <c r="C26" i="50"/>
  <c r="C27" i="50"/>
  <c r="C28" i="50"/>
  <c r="C29" i="50"/>
  <c r="C30" i="50"/>
  <c r="C31" i="50"/>
  <c r="C32" i="50"/>
  <c r="C33" i="50"/>
  <c r="C34" i="50"/>
  <c r="C35" i="50"/>
  <c r="C36" i="50"/>
  <c r="C37" i="50"/>
  <c r="C38" i="50"/>
  <c r="C39" i="50"/>
  <c r="C40" i="50"/>
  <c r="C15" i="50"/>
  <c r="C14" i="50"/>
  <c r="C11" i="50"/>
  <c r="C9" i="50"/>
  <c r="C8" i="50"/>
  <c r="F13" i="50"/>
  <c r="F21" i="50"/>
  <c r="F22" i="50"/>
  <c r="F23" i="50"/>
  <c r="F24" i="50"/>
  <c r="F25" i="50"/>
  <c r="F26" i="50"/>
  <c r="F27" i="50"/>
  <c r="F28" i="50"/>
  <c r="F29" i="50"/>
  <c r="F30" i="50"/>
  <c r="F31" i="50"/>
  <c r="F32" i="50"/>
  <c r="F33" i="50"/>
  <c r="F34" i="50"/>
  <c r="F35" i="50"/>
  <c r="F36" i="50"/>
  <c r="F37" i="50"/>
  <c r="F38" i="50"/>
  <c r="F39" i="50"/>
  <c r="F40" i="50"/>
  <c r="F20" i="50"/>
  <c r="D41" i="50"/>
  <c r="E41" i="50" s="1"/>
  <c r="B41" i="50"/>
  <c r="C41" i="50" s="1"/>
  <c r="F14" i="50"/>
  <c r="B16" i="50"/>
  <c r="C16" i="50" s="1"/>
  <c r="F9" i="50"/>
  <c r="F11" i="50"/>
  <c r="F12" i="50"/>
  <c r="F8" i="50"/>
  <c r="G8" i="50" s="1"/>
  <c r="D15" i="50"/>
  <c r="F15" i="50" s="1"/>
  <c r="B94" i="46"/>
  <c r="C98" i="46" s="1"/>
  <c r="F82" i="46"/>
  <c r="F81" i="46"/>
  <c r="C76" i="46"/>
  <c r="F41" i="32"/>
  <c r="F40" i="32"/>
  <c r="J4" i="32"/>
  <c r="J9" i="32"/>
  <c r="J10" i="32"/>
  <c r="L18" i="32"/>
  <c r="H3" i="32"/>
  <c r="H4" i="32"/>
  <c r="H5" i="32"/>
  <c r="H6" i="32"/>
  <c r="H7" i="32"/>
  <c r="H8" i="32"/>
  <c r="H9" i="32"/>
  <c r="H10" i="32"/>
  <c r="H11" i="32"/>
  <c r="H12" i="32"/>
  <c r="H13" i="32"/>
  <c r="H14" i="32"/>
  <c r="H2" i="32"/>
  <c r="K24" i="32"/>
  <c r="K32" i="32"/>
  <c r="G23" i="32"/>
  <c r="G25" i="32"/>
  <c r="G26" i="32"/>
  <c r="G27" i="32"/>
  <c r="G28" i="32"/>
  <c r="F3" i="32"/>
  <c r="F4" i="32"/>
  <c r="F5" i="32"/>
  <c r="F6" i="32"/>
  <c r="F7" i="32"/>
  <c r="F8" i="32"/>
  <c r="F9" i="32"/>
  <c r="F10" i="32"/>
  <c r="F11" i="32"/>
  <c r="F12" i="32"/>
  <c r="F13" i="32"/>
  <c r="F14" i="32"/>
  <c r="F2" i="32"/>
  <c r="E3" i="32"/>
  <c r="E4" i="32"/>
  <c r="E5" i="32"/>
  <c r="E6" i="32"/>
  <c r="E7" i="32"/>
  <c r="E8" i="32"/>
  <c r="E9" i="32"/>
  <c r="E10" i="32"/>
  <c r="E11" i="32"/>
  <c r="E12" i="32"/>
  <c r="E13" i="32"/>
  <c r="E14" i="32"/>
  <c r="E2" i="32"/>
  <c r="D13" i="32"/>
  <c r="D14" i="32"/>
  <c r="D7" i="32"/>
  <c r="D8" i="32"/>
  <c r="D9" i="32"/>
  <c r="D10" i="32"/>
  <c r="D11" i="32"/>
  <c r="D12" i="32"/>
  <c r="D3" i="32"/>
  <c r="D4" i="32"/>
  <c r="D5" i="32"/>
  <c r="D6" i="32"/>
  <c r="D2" i="32"/>
  <c r="B21" i="32"/>
  <c r="K21" i="32" s="1"/>
  <c r="B22" i="32"/>
  <c r="K22" i="32" s="1"/>
  <c r="B23" i="32"/>
  <c r="K23" i="32" s="1"/>
  <c r="B24" i="32"/>
  <c r="G24" i="32" s="1"/>
  <c r="B25" i="32"/>
  <c r="K25" i="32" s="1"/>
  <c r="B26" i="32"/>
  <c r="B27" i="32"/>
  <c r="B28" i="32"/>
  <c r="B29" i="32"/>
  <c r="K29" i="32" s="1"/>
  <c r="B30" i="32"/>
  <c r="K30" i="32" s="1"/>
  <c r="B31" i="32"/>
  <c r="K31" i="32" s="1"/>
  <c r="B32" i="32"/>
  <c r="G32" i="32" s="1"/>
  <c r="B20" i="32"/>
  <c r="C21" i="32"/>
  <c r="D21" i="32" s="1"/>
  <c r="C22" i="32"/>
  <c r="D22" i="32" s="1"/>
  <c r="C23" i="32"/>
  <c r="C24" i="32"/>
  <c r="D24" i="32" s="1"/>
  <c r="C25" i="32"/>
  <c r="C26" i="32"/>
  <c r="C27" i="32"/>
  <c r="C28" i="32"/>
  <c r="D28" i="32" s="1"/>
  <c r="C29" i="32"/>
  <c r="C30" i="32"/>
  <c r="C31" i="32"/>
  <c r="D31" i="32" s="1"/>
  <c r="C32" i="32"/>
  <c r="C20" i="32"/>
  <c r="D20" i="32" s="1"/>
  <c r="A32" i="32"/>
  <c r="A21" i="32"/>
  <c r="A22" i="32"/>
  <c r="A23" i="32"/>
  <c r="A24" i="32"/>
  <c r="A25" i="32"/>
  <c r="A26" i="32"/>
  <c r="A27" i="32"/>
  <c r="A28" i="32"/>
  <c r="A29" i="32"/>
  <c r="A30" i="32"/>
  <c r="A31" i="32"/>
  <c r="A20" i="32"/>
  <c r="F42" i="51" l="1"/>
  <c r="G22" i="32"/>
  <c r="L20" i="32"/>
  <c r="J3" i="32"/>
  <c r="G21" i="32"/>
  <c r="J2" i="32"/>
  <c r="J6" i="32"/>
  <c r="J14" i="32"/>
  <c r="G29" i="32"/>
  <c r="K20" i="32"/>
  <c r="J11" i="32"/>
  <c r="K17" i="50"/>
  <c r="H20" i="49"/>
  <c r="J8" i="32"/>
  <c r="J7" i="32"/>
  <c r="J5" i="32"/>
  <c r="G31" i="32"/>
  <c r="J13" i="32"/>
  <c r="G30" i="32"/>
  <c r="J12" i="32"/>
  <c r="H5" i="51"/>
  <c r="L19" i="51" s="1"/>
  <c r="C5" i="51"/>
  <c r="E15" i="50"/>
  <c r="G23" i="49"/>
  <c r="H17" i="49"/>
  <c r="H32" i="49"/>
  <c r="H29" i="49"/>
  <c r="H26" i="49"/>
  <c r="G20" i="49"/>
  <c r="G31" i="50"/>
  <c r="G30" i="50"/>
  <c r="G20" i="50"/>
  <c r="G29" i="50"/>
  <c r="G40" i="50"/>
  <c r="G28" i="50"/>
  <c r="G32" i="50"/>
  <c r="G39" i="50"/>
  <c r="G27" i="50"/>
  <c r="G15" i="50"/>
  <c r="G26" i="50"/>
  <c r="F41" i="50"/>
  <c r="G41" i="50" s="1"/>
  <c r="G13" i="50"/>
  <c r="G12" i="50"/>
  <c r="G37" i="50"/>
  <c r="G25" i="50"/>
  <c r="G11" i="50"/>
  <c r="G36" i="50"/>
  <c r="G24" i="50"/>
  <c r="G38" i="50"/>
  <c r="G9" i="50"/>
  <c r="G23" i="50"/>
  <c r="B42" i="50"/>
  <c r="C42" i="50" s="1"/>
  <c r="G34" i="50"/>
  <c r="G22" i="50"/>
  <c r="G14" i="50"/>
  <c r="G33" i="50"/>
  <c r="G21" i="50"/>
  <c r="F16" i="50"/>
  <c r="G16" i="50" s="1"/>
  <c r="G35" i="50"/>
  <c r="D16" i="50"/>
  <c r="K18" i="50" s="1"/>
  <c r="D27" i="32"/>
  <c r="D30" i="32"/>
  <c r="D29" i="32"/>
  <c r="D26" i="32"/>
  <c r="D25" i="32"/>
  <c r="D32" i="32"/>
  <c r="D23" i="32"/>
  <c r="D42" i="50" l="1"/>
  <c r="E42" i="50" s="1"/>
  <c r="E16" i="50"/>
  <c r="C23" i="51"/>
  <c r="F42" i="50"/>
  <c r="G42" i="50" s="1"/>
  <c r="C76" i="27"/>
  <c r="B70" i="46"/>
  <c r="B20" i="46"/>
  <c r="D31" i="47"/>
  <c r="D28" i="47"/>
  <c r="D25" i="47"/>
  <c r="D22" i="47"/>
  <c r="D19" i="47"/>
  <c r="D16" i="47"/>
  <c r="B101" i="46"/>
  <c r="C102" i="46" s="1"/>
  <c r="F83" i="46"/>
  <c r="B77" i="46"/>
  <c r="C71" i="46"/>
  <c r="B58" i="46"/>
  <c r="C59" i="46" s="1"/>
  <c r="B54" i="46"/>
  <c r="C55" i="46" s="1"/>
  <c r="B53" i="46"/>
  <c r="A53" i="46"/>
  <c r="E44" i="46"/>
  <c r="E43" i="46"/>
  <c r="A36" i="46"/>
  <c r="A35" i="46"/>
  <c r="A29" i="46"/>
  <c r="B28" i="46"/>
  <c r="A28" i="46"/>
  <c r="A27" i="46"/>
  <c r="A26" i="46"/>
  <c r="A25" i="46"/>
  <c r="A24" i="46"/>
  <c r="A23" i="46"/>
  <c r="A22" i="46"/>
  <c r="A21" i="46"/>
  <c r="A20" i="46"/>
  <c r="A19" i="46"/>
  <c r="G54" i="36"/>
  <c r="D7" i="41"/>
  <c r="D8" i="41"/>
  <c r="D9" i="41"/>
  <c r="D10" i="41"/>
  <c r="D11" i="41"/>
  <c r="D12" i="41"/>
  <c r="D13" i="41"/>
  <c r="D14" i="41"/>
  <c r="D15" i="41"/>
  <c r="D16" i="41"/>
  <c r="D17" i="41"/>
  <c r="D18" i="41"/>
  <c r="D6" i="41"/>
  <c r="D16" i="43"/>
  <c r="C6" i="34"/>
  <c r="C9" i="34"/>
  <c r="C12" i="34"/>
  <c r="O19" i="41" l="1"/>
  <c r="D19" i="41"/>
  <c r="K18" i="41"/>
  <c r="F18" i="41"/>
  <c r="K17" i="41"/>
  <c r="F17" i="41"/>
  <c r="K16" i="41"/>
  <c r="F16" i="41"/>
  <c r="K15" i="41"/>
  <c r="F15" i="41"/>
  <c r="K14" i="41"/>
  <c r="F14" i="41"/>
  <c r="K13" i="41"/>
  <c r="F13" i="41"/>
  <c r="K12" i="41"/>
  <c r="F12" i="41"/>
  <c r="K11" i="41"/>
  <c r="F11" i="41"/>
  <c r="K10" i="41"/>
  <c r="F10" i="41"/>
  <c r="K9" i="41"/>
  <c r="F9" i="41"/>
  <c r="K8" i="41"/>
  <c r="F8" i="41"/>
  <c r="E8" i="41"/>
  <c r="K7" i="41"/>
  <c r="F7" i="41"/>
  <c r="K6" i="41"/>
  <c r="F6" i="41"/>
  <c r="D31" i="40"/>
  <c r="D28" i="40"/>
  <c r="D25" i="40"/>
  <c r="D22" i="40"/>
  <c r="D19" i="40"/>
  <c r="D16" i="40"/>
  <c r="C11" i="38"/>
  <c r="J249" i="37"/>
  <c r="J248" i="37"/>
  <c r="J247" i="37"/>
  <c r="J246" i="37"/>
  <c r="J245" i="37"/>
  <c r="J244" i="37"/>
  <c r="J243" i="37"/>
  <c r="J242" i="37"/>
  <c r="J241" i="37"/>
  <c r="J240" i="37"/>
  <c r="J239" i="37"/>
  <c r="J238" i="37"/>
  <c r="J237" i="37"/>
  <c r="J236" i="37"/>
  <c r="J235" i="37"/>
  <c r="J234" i="37"/>
  <c r="J233" i="37"/>
  <c r="J232" i="37"/>
  <c r="J231" i="37"/>
  <c r="J230" i="37"/>
  <c r="J229" i="37"/>
  <c r="J228" i="37"/>
  <c r="J227" i="37"/>
  <c r="J226" i="37"/>
  <c r="J225" i="37"/>
  <c r="J224" i="37"/>
  <c r="J223" i="37"/>
  <c r="J222" i="37"/>
  <c r="J221" i="37"/>
  <c r="J220" i="37"/>
  <c r="J219" i="37"/>
  <c r="J218" i="37"/>
  <c r="J217" i="37"/>
  <c r="J216" i="37"/>
  <c r="J215" i="37"/>
  <c r="J214" i="37"/>
  <c r="J213" i="37"/>
  <c r="J212" i="37"/>
  <c r="J211" i="37"/>
  <c r="J210" i="37"/>
  <c r="J209" i="37"/>
  <c r="J208" i="37"/>
  <c r="J207" i="37"/>
  <c r="J206" i="37"/>
  <c r="J205" i="37"/>
  <c r="J204" i="37"/>
  <c r="J203" i="37"/>
  <c r="J202" i="37"/>
  <c r="J201" i="37"/>
  <c r="J200" i="37"/>
  <c r="J199" i="37"/>
  <c r="J198" i="37"/>
  <c r="J197" i="37"/>
  <c r="J196" i="37"/>
  <c r="J195" i="37"/>
  <c r="J194" i="37"/>
  <c r="J193" i="37"/>
  <c r="J192" i="37"/>
  <c r="J191" i="37"/>
  <c r="J190" i="37"/>
  <c r="J189" i="37"/>
  <c r="J188" i="37"/>
  <c r="J187" i="37"/>
  <c r="J186" i="37"/>
  <c r="J185" i="37"/>
  <c r="J184" i="37"/>
  <c r="J183" i="37"/>
  <c r="J182" i="37"/>
  <c r="J181" i="37"/>
  <c r="J180" i="37"/>
  <c r="J179" i="37"/>
  <c r="J178" i="37"/>
  <c r="J177" i="37"/>
  <c r="J176" i="37"/>
  <c r="J175" i="37"/>
  <c r="J174" i="37"/>
  <c r="J173" i="37"/>
  <c r="J172" i="37"/>
  <c r="J171" i="37"/>
  <c r="J170" i="37"/>
  <c r="J169" i="37"/>
  <c r="J168" i="37"/>
  <c r="J167" i="37"/>
  <c r="J166" i="37"/>
  <c r="J165" i="37"/>
  <c r="J164" i="37"/>
  <c r="J163" i="37"/>
  <c r="J162" i="37"/>
  <c r="J161" i="37"/>
  <c r="J160" i="37"/>
  <c r="J159" i="37"/>
  <c r="J158" i="37"/>
  <c r="J157" i="37"/>
  <c r="J156" i="37"/>
  <c r="J155" i="37"/>
  <c r="J154" i="37"/>
  <c r="J153" i="37"/>
  <c r="J152" i="37"/>
  <c r="J151" i="37"/>
  <c r="J150" i="37"/>
  <c r="J149" i="37"/>
  <c r="J148" i="37"/>
  <c r="J147" i="37"/>
  <c r="J146" i="37"/>
  <c r="J145" i="37"/>
  <c r="J144" i="37"/>
  <c r="J143" i="37"/>
  <c r="J142" i="37"/>
  <c r="J141" i="37"/>
  <c r="J140" i="37"/>
  <c r="J139" i="37"/>
  <c r="J138" i="37"/>
  <c r="J137" i="37"/>
  <c r="J136" i="37"/>
  <c r="J135" i="37"/>
  <c r="J134" i="37"/>
  <c r="J133" i="37"/>
  <c r="J132" i="37"/>
  <c r="J131" i="37"/>
  <c r="J130" i="37"/>
  <c r="J129" i="37"/>
  <c r="J128" i="37"/>
  <c r="J127" i="37"/>
  <c r="J126" i="37"/>
  <c r="J125" i="37"/>
  <c r="J124" i="37"/>
  <c r="J123" i="37"/>
  <c r="J122" i="37"/>
  <c r="J121" i="37"/>
  <c r="J120" i="37"/>
  <c r="J119" i="37"/>
  <c r="J118" i="37"/>
  <c r="J117" i="37"/>
  <c r="J116" i="37"/>
  <c r="J115" i="37"/>
  <c r="J114" i="37"/>
  <c r="J113" i="37"/>
  <c r="J112" i="37"/>
  <c r="J111" i="37"/>
  <c r="J110" i="37"/>
  <c r="J109" i="37"/>
  <c r="J108" i="37"/>
  <c r="J107" i="37"/>
  <c r="J106" i="37"/>
  <c r="J105" i="37"/>
  <c r="J104" i="37"/>
  <c r="J103" i="37"/>
  <c r="J102" i="37"/>
  <c r="J101" i="37"/>
  <c r="J100" i="37"/>
  <c r="J99" i="37"/>
  <c r="J98" i="37"/>
  <c r="J97" i="37"/>
  <c r="J96" i="37"/>
  <c r="J95" i="37"/>
  <c r="J94" i="37"/>
  <c r="J93" i="37"/>
  <c r="J92" i="37"/>
  <c r="J91" i="37"/>
  <c r="J90" i="37"/>
  <c r="J89" i="37"/>
  <c r="J88" i="37"/>
  <c r="J87" i="37"/>
  <c r="J86" i="37"/>
  <c r="J85" i="37"/>
  <c r="J84" i="37"/>
  <c r="J83" i="37"/>
  <c r="J82" i="37"/>
  <c r="J81" i="37"/>
  <c r="J80" i="37"/>
  <c r="J79" i="37"/>
  <c r="J78" i="37"/>
  <c r="J77" i="37"/>
  <c r="J76" i="37"/>
  <c r="J75" i="37"/>
  <c r="J74" i="37"/>
  <c r="J73" i="37"/>
  <c r="J72" i="37"/>
  <c r="J71" i="37"/>
  <c r="J70" i="37"/>
  <c r="J69" i="37"/>
  <c r="J68" i="37"/>
  <c r="J67" i="37"/>
  <c r="J66" i="37"/>
  <c r="J65" i="37"/>
  <c r="J64" i="37"/>
  <c r="J63" i="37"/>
  <c r="J62" i="37"/>
  <c r="J61" i="37"/>
  <c r="J60" i="37"/>
  <c r="J59" i="37"/>
  <c r="J58" i="37"/>
  <c r="J57" i="37"/>
  <c r="J56" i="37"/>
  <c r="J55" i="37"/>
  <c r="J54" i="37"/>
  <c r="J53" i="37"/>
  <c r="D53" i="37"/>
  <c r="J52" i="37"/>
  <c r="J51" i="37"/>
  <c r="J50" i="37"/>
  <c r="J49" i="37"/>
  <c r="J48" i="37"/>
  <c r="J47" i="37"/>
  <c r="J46" i="37"/>
  <c r="J45" i="37"/>
  <c r="J44" i="37"/>
  <c r="J43" i="37"/>
  <c r="J42" i="37"/>
  <c r="J41" i="37"/>
  <c r="J40" i="37"/>
  <c r="J39" i="37"/>
  <c r="J38" i="37"/>
  <c r="D38" i="37"/>
  <c r="J37" i="37"/>
  <c r="D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J11" i="37"/>
  <c r="AB10" i="37"/>
  <c r="AD10" i="37" s="1"/>
  <c r="J10" i="37"/>
  <c r="AB6" i="37"/>
  <c r="AA10" i="37" s="1"/>
  <c r="AC10" i="37" s="1"/>
  <c r="L3" i="37"/>
  <c r="L10" i="37" s="1"/>
  <c r="N10" i="37" s="1"/>
  <c r="G97" i="36"/>
  <c r="G90" i="36"/>
  <c r="G88" i="36"/>
  <c r="D38" i="36"/>
  <c r="I13" i="36"/>
  <c r="G16" i="34"/>
  <c r="E22" i="44" s="1"/>
  <c r="E16" i="34"/>
  <c r="G15" i="34"/>
  <c r="E21" i="44" s="1"/>
  <c r="E15" i="34"/>
  <c r="G14" i="34"/>
  <c r="E20" i="44" s="1"/>
  <c r="E14" i="34"/>
  <c r="G13" i="34"/>
  <c r="E19" i="44" s="1"/>
  <c r="E13" i="34"/>
  <c r="G12" i="34"/>
  <c r="E18" i="44" s="1"/>
  <c r="E12" i="34"/>
  <c r="G11" i="34"/>
  <c r="E17" i="44" s="1"/>
  <c r="E11" i="34"/>
  <c r="G10" i="34"/>
  <c r="E16" i="44" s="1"/>
  <c r="E10" i="34"/>
  <c r="G9" i="34"/>
  <c r="E15" i="44" s="1"/>
  <c r="E9" i="34"/>
  <c r="G8" i="34"/>
  <c r="E14" i="44" s="1"/>
  <c r="E8" i="34"/>
  <c r="G7" i="34"/>
  <c r="E13" i="44" s="1"/>
  <c r="E7" i="34"/>
  <c r="G6" i="34"/>
  <c r="E12" i="44" s="1"/>
  <c r="E6" i="34"/>
  <c r="G5" i="34"/>
  <c r="E11" i="44" s="1"/>
  <c r="E5" i="34"/>
  <c r="G4" i="34"/>
  <c r="E10" i="44" s="1"/>
  <c r="E4" i="34"/>
  <c r="K40" i="32"/>
  <c r="K41" i="32" s="1"/>
  <c r="H18" i="32"/>
  <c r="E44" i="27"/>
  <c r="E43" i="27"/>
  <c r="B101" i="27"/>
  <c r="C102" i="27" s="1"/>
  <c r="C97" i="27"/>
  <c r="C96" i="27"/>
  <c r="B95" i="27"/>
  <c r="B94" i="27"/>
  <c r="F83" i="27"/>
  <c r="F82" i="27"/>
  <c r="F81" i="27"/>
  <c r="D5" i="6"/>
  <c r="L3" i="25"/>
  <c r="G54" i="24"/>
  <c r="O19" i="23"/>
  <c r="F6" i="23"/>
  <c r="F7" i="23"/>
  <c r="F8" i="23"/>
  <c r="F9" i="23"/>
  <c r="F10" i="23"/>
  <c r="F11" i="23"/>
  <c r="F12" i="23"/>
  <c r="F13" i="23"/>
  <c r="F14" i="23"/>
  <c r="F15" i="23"/>
  <c r="F16" i="23"/>
  <c r="F17" i="23"/>
  <c r="F18" i="23"/>
  <c r="G22" i="31"/>
  <c r="G21" i="31"/>
  <c r="G20" i="31"/>
  <c r="G19" i="31"/>
  <c r="G18" i="31"/>
  <c r="G17" i="31"/>
  <c r="G16" i="31"/>
  <c r="G15" i="31"/>
  <c r="G14" i="31"/>
  <c r="G13" i="31"/>
  <c r="G12" i="31"/>
  <c r="G11" i="31"/>
  <c r="G10" i="31"/>
  <c r="E17" i="30"/>
  <c r="D16" i="30"/>
  <c r="E16" i="30" s="1"/>
  <c r="E26" i="30" s="1"/>
  <c r="C14" i="4"/>
  <c r="C15" i="4"/>
  <c r="C16" i="4"/>
  <c r="I7" i="32" l="1"/>
  <c r="H30" i="32"/>
  <c r="I30" i="32" s="1"/>
  <c r="I8" i="32"/>
  <c r="H31" i="32"/>
  <c r="I31" i="32" s="1"/>
  <c r="I2" i="32"/>
  <c r="I12" i="32"/>
  <c r="H23" i="32"/>
  <c r="I23" i="32" s="1"/>
  <c r="I13" i="32"/>
  <c r="H24" i="32"/>
  <c r="I24" i="32" s="1"/>
  <c r="I14" i="32"/>
  <c r="H25" i="32"/>
  <c r="I25" i="32" s="1"/>
  <c r="I3" i="32"/>
  <c r="H26" i="32"/>
  <c r="I26" i="32" s="1"/>
  <c r="I5" i="32"/>
  <c r="I4" i="32"/>
  <c r="H27" i="32"/>
  <c r="I27" i="32" s="1"/>
  <c r="H28" i="32"/>
  <c r="I28" i="32" s="1"/>
  <c r="I6" i="32"/>
  <c r="H29" i="32"/>
  <c r="I29" i="32" s="1"/>
  <c r="I9" i="32"/>
  <c r="H32" i="32"/>
  <c r="I32" i="32" s="1"/>
  <c r="I10" i="32"/>
  <c r="H21" i="32"/>
  <c r="I21" i="32" s="1"/>
  <c r="I11" i="32"/>
  <c r="H22" i="32"/>
  <c r="I22" i="32" s="1"/>
  <c r="G25" i="31"/>
  <c r="G27" i="31" s="1"/>
  <c r="F19" i="41"/>
  <c r="G20" i="32"/>
  <c r="H20" i="32" s="1"/>
  <c r="H8" i="41"/>
  <c r="L4" i="32" s="1"/>
  <c r="L8" i="41"/>
  <c r="M8" i="41" s="1"/>
  <c r="I8" i="41"/>
  <c r="J8" i="41" s="1"/>
  <c r="G91" i="36"/>
  <c r="G92" i="36" s="1"/>
  <c r="AE10" i="37"/>
  <c r="G55" i="36"/>
  <c r="L6" i="37"/>
  <c r="B98" i="27"/>
  <c r="F19" i="23"/>
  <c r="G24" i="31"/>
  <c r="B12" i="24" s="1"/>
  <c r="E27" i="30"/>
  <c r="E28" i="30" s="1"/>
  <c r="I20" i="32" l="1"/>
  <c r="G26" i="31"/>
  <c r="G28" i="31" s="1"/>
  <c r="G56" i="36"/>
  <c r="B25" i="46"/>
  <c r="AB11" i="37"/>
  <c r="K10" i="37"/>
  <c r="M10" i="37" l="1"/>
  <c r="O10" i="37"/>
  <c r="AA11" i="37"/>
  <c r="AD11" i="37"/>
  <c r="B77" i="27"/>
  <c r="B70" i="27"/>
  <c r="C71" i="27" s="1"/>
  <c r="B58" i="27"/>
  <c r="C59" i="27" s="1"/>
  <c r="B54" i="27"/>
  <c r="C55" i="27" s="1"/>
  <c r="B53" i="27"/>
  <c r="A53" i="27"/>
  <c r="A36" i="27"/>
  <c r="A35" i="27"/>
  <c r="A29" i="27"/>
  <c r="B28" i="27"/>
  <c r="A28" i="27"/>
  <c r="A27" i="27"/>
  <c r="A26" i="27"/>
  <c r="A25" i="27"/>
  <c r="A24" i="27"/>
  <c r="A23" i="27"/>
  <c r="A22" i="27"/>
  <c r="A21" i="27"/>
  <c r="B20" i="27"/>
  <c r="A20" i="27"/>
  <c r="A19" i="27"/>
  <c r="B14" i="27"/>
  <c r="B13" i="27"/>
  <c r="C11" i="26"/>
  <c r="J249" i="25"/>
  <c r="J248" i="25"/>
  <c r="J247" i="25"/>
  <c r="J246" i="25"/>
  <c r="J245" i="25"/>
  <c r="J244" i="25"/>
  <c r="J243" i="25"/>
  <c r="J242" i="25"/>
  <c r="J241" i="25"/>
  <c r="J240" i="25"/>
  <c r="J239" i="25"/>
  <c r="J238" i="25"/>
  <c r="J237" i="25"/>
  <c r="J236" i="25"/>
  <c r="J235" i="25"/>
  <c r="J234" i="25"/>
  <c r="J233" i="25"/>
  <c r="J232" i="25"/>
  <c r="J231" i="25"/>
  <c r="J230" i="25"/>
  <c r="J229" i="25"/>
  <c r="J228" i="25"/>
  <c r="J227" i="25"/>
  <c r="J226" i="25"/>
  <c r="J225" i="25"/>
  <c r="J224" i="25"/>
  <c r="J223" i="25"/>
  <c r="J222" i="25"/>
  <c r="J221" i="25"/>
  <c r="J220" i="25"/>
  <c r="J219" i="25"/>
  <c r="J218" i="25"/>
  <c r="J217" i="25"/>
  <c r="J216" i="25"/>
  <c r="J215" i="25"/>
  <c r="J214" i="25"/>
  <c r="J213" i="25"/>
  <c r="J212" i="25"/>
  <c r="J211" i="25"/>
  <c r="J210" i="25"/>
  <c r="J209" i="25"/>
  <c r="J208" i="25"/>
  <c r="J207" i="25"/>
  <c r="J206" i="25"/>
  <c r="J205" i="25"/>
  <c r="J204" i="25"/>
  <c r="J203" i="25"/>
  <c r="J202" i="25"/>
  <c r="J201" i="25"/>
  <c r="J200" i="25"/>
  <c r="J199" i="25"/>
  <c r="J198" i="25"/>
  <c r="J197" i="25"/>
  <c r="J196" i="25"/>
  <c r="J195" i="25"/>
  <c r="J194" i="25"/>
  <c r="J193" i="25"/>
  <c r="J192" i="25"/>
  <c r="J191" i="25"/>
  <c r="J190" i="25"/>
  <c r="J189" i="25"/>
  <c r="J188" i="25"/>
  <c r="J187" i="25"/>
  <c r="J186" i="25"/>
  <c r="J185" i="25"/>
  <c r="J184" i="25"/>
  <c r="J183" i="25"/>
  <c r="J182" i="25"/>
  <c r="J181" i="25"/>
  <c r="J180" i="25"/>
  <c r="J179" i="25"/>
  <c r="J178" i="25"/>
  <c r="J177" i="25"/>
  <c r="J176" i="25"/>
  <c r="J175" i="25"/>
  <c r="J174" i="25"/>
  <c r="J173" i="25"/>
  <c r="J172" i="25"/>
  <c r="J171" i="25"/>
  <c r="J170" i="25"/>
  <c r="J169" i="25"/>
  <c r="J168" i="25"/>
  <c r="J167" i="25"/>
  <c r="J166" i="25"/>
  <c r="J165" i="25"/>
  <c r="J164" i="25"/>
  <c r="J163" i="25"/>
  <c r="J162" i="25"/>
  <c r="J161" i="25"/>
  <c r="J160" i="25"/>
  <c r="J159" i="25"/>
  <c r="J158" i="25"/>
  <c r="J157" i="25"/>
  <c r="J156" i="25"/>
  <c r="J155" i="25"/>
  <c r="J154" i="25"/>
  <c r="J153" i="25"/>
  <c r="J152" i="25"/>
  <c r="J151" i="25"/>
  <c r="J150" i="25"/>
  <c r="J149" i="25"/>
  <c r="J148" i="25"/>
  <c r="J147" i="25"/>
  <c r="J146" i="25"/>
  <c r="J145" i="25"/>
  <c r="J144" i="25"/>
  <c r="J143" i="25"/>
  <c r="J142" i="25"/>
  <c r="J141" i="25"/>
  <c r="J140" i="25"/>
  <c r="J139" i="25"/>
  <c r="J138" i="25"/>
  <c r="J137" i="25"/>
  <c r="J136" i="25"/>
  <c r="J135" i="25"/>
  <c r="J134" i="25"/>
  <c r="J133" i="25"/>
  <c r="J132" i="25"/>
  <c r="J131" i="25"/>
  <c r="J130" i="25"/>
  <c r="J129" i="25"/>
  <c r="J128" i="25"/>
  <c r="J127" i="25"/>
  <c r="J126" i="25"/>
  <c r="J125" i="25"/>
  <c r="J124" i="25"/>
  <c r="J123" i="25"/>
  <c r="J122" i="25"/>
  <c r="J121" i="25"/>
  <c r="J120" i="25"/>
  <c r="J119" i="25"/>
  <c r="J118" i="25"/>
  <c r="J117" i="25"/>
  <c r="J116" i="25"/>
  <c r="J115" i="25"/>
  <c r="J114" i="25"/>
  <c r="J113" i="25"/>
  <c r="J112" i="25"/>
  <c r="J111" i="25"/>
  <c r="J110" i="25"/>
  <c r="J109" i="25"/>
  <c r="J108" i="25"/>
  <c r="J107" i="25"/>
  <c r="J106" i="25"/>
  <c r="J105" i="25"/>
  <c r="J104" i="25"/>
  <c r="J103" i="25"/>
  <c r="J102" i="25"/>
  <c r="J101" i="25"/>
  <c r="J100" i="25"/>
  <c r="J99" i="25"/>
  <c r="J98" i="25"/>
  <c r="J97" i="25"/>
  <c r="J96" i="25"/>
  <c r="J95" i="25"/>
  <c r="J94" i="25"/>
  <c r="J93" i="25"/>
  <c r="J92" i="25"/>
  <c r="J91" i="25"/>
  <c r="J90" i="25"/>
  <c r="J89" i="25"/>
  <c r="J88" i="25"/>
  <c r="J87" i="25"/>
  <c r="J86" i="25"/>
  <c r="J85" i="25"/>
  <c r="J84" i="25"/>
  <c r="J83" i="25"/>
  <c r="J82" i="25"/>
  <c r="J81" i="25"/>
  <c r="J80" i="25"/>
  <c r="J79" i="25"/>
  <c r="J78" i="25"/>
  <c r="J77" i="25"/>
  <c r="J76" i="25"/>
  <c r="J75" i="25"/>
  <c r="J74" i="25"/>
  <c r="J73" i="25"/>
  <c r="J72" i="25"/>
  <c r="J71" i="25"/>
  <c r="J70" i="25"/>
  <c r="J69" i="25"/>
  <c r="J68" i="25"/>
  <c r="J67" i="25"/>
  <c r="J66" i="25"/>
  <c r="J65" i="25"/>
  <c r="J64" i="25"/>
  <c r="J63" i="25"/>
  <c r="J62" i="25"/>
  <c r="J61" i="25"/>
  <c r="J60" i="25"/>
  <c r="J59" i="25"/>
  <c r="J58" i="25"/>
  <c r="J57" i="25"/>
  <c r="J56" i="25"/>
  <c r="J55" i="25"/>
  <c r="J54" i="25"/>
  <c r="J53" i="25"/>
  <c r="D53" i="25"/>
  <c r="J52" i="25"/>
  <c r="J51" i="25"/>
  <c r="J50" i="25"/>
  <c r="J49" i="25"/>
  <c r="J48" i="25"/>
  <c r="J47" i="25"/>
  <c r="J46" i="25"/>
  <c r="J45" i="25"/>
  <c r="J44" i="25"/>
  <c r="J43" i="25"/>
  <c r="J42" i="25"/>
  <c r="J41" i="25"/>
  <c r="J40" i="25"/>
  <c r="J39" i="25"/>
  <c r="J38" i="25"/>
  <c r="D38" i="25"/>
  <c r="J37" i="25"/>
  <c r="D37" i="25"/>
  <c r="J36" i="25"/>
  <c r="J35" i="25"/>
  <c r="J34" i="25"/>
  <c r="J33" i="25"/>
  <c r="J32" i="25"/>
  <c r="J31" i="25"/>
  <c r="J30" i="25"/>
  <c r="J29" i="25"/>
  <c r="J28" i="25"/>
  <c r="J27" i="25"/>
  <c r="J26" i="25"/>
  <c r="J25" i="25"/>
  <c r="J24" i="25"/>
  <c r="J23" i="25"/>
  <c r="J22" i="25"/>
  <c r="J21" i="25"/>
  <c r="J20" i="25"/>
  <c r="J19" i="25"/>
  <c r="J18" i="25"/>
  <c r="J17" i="25"/>
  <c r="J16" i="25"/>
  <c r="J15" i="25"/>
  <c r="J14" i="25"/>
  <c r="J13" i="25"/>
  <c r="J12" i="25"/>
  <c r="J11" i="25"/>
  <c r="AB10" i="25"/>
  <c r="AD10" i="25" s="1"/>
  <c r="AA10" i="25"/>
  <c r="L10" i="25"/>
  <c r="N10" i="25" s="1"/>
  <c r="J10" i="25"/>
  <c r="AB6" i="25"/>
  <c r="L6" i="25"/>
  <c r="G93" i="24"/>
  <c r="G86" i="24"/>
  <c r="G84" i="24"/>
  <c r="D38" i="24"/>
  <c r="I13" i="24"/>
  <c r="D19" i="23"/>
  <c r="K18" i="23"/>
  <c r="K17" i="23"/>
  <c r="K16" i="23"/>
  <c r="K15" i="23"/>
  <c r="K14" i="23"/>
  <c r="K13" i="23"/>
  <c r="K12" i="23"/>
  <c r="K11" i="23"/>
  <c r="K10" i="23"/>
  <c r="K9" i="23"/>
  <c r="K8" i="23"/>
  <c r="K7" i="23"/>
  <c r="K6" i="23"/>
  <c r="AC11" i="37" l="1"/>
  <c r="AE11" i="37"/>
  <c r="L11" i="37"/>
  <c r="G87" i="24"/>
  <c r="G88" i="24" s="1"/>
  <c r="AE10" i="25"/>
  <c r="AC10" i="25"/>
  <c r="K10" i="25"/>
  <c r="C16" i="27"/>
  <c r="C15" i="27"/>
  <c r="AB12" i="37" l="1"/>
  <c r="N11" i="37"/>
  <c r="K11" i="37"/>
  <c r="O10" i="25"/>
  <c r="M10" i="25"/>
  <c r="AB11" i="25"/>
  <c r="M11" i="37" l="1"/>
  <c r="O11" i="37"/>
  <c r="AD12" i="37"/>
  <c r="AD11" i="25"/>
  <c r="AA11" i="25"/>
  <c r="L11" i="25"/>
  <c r="L12" i="37" l="1"/>
  <c r="AC11" i="25"/>
  <c r="AE11" i="25"/>
  <c r="K11" i="25"/>
  <c r="N11" i="25"/>
  <c r="K12" i="37" l="1"/>
  <c r="N12" i="37"/>
  <c r="AB12" i="25"/>
  <c r="O11" i="25"/>
  <c r="M11" i="25"/>
  <c r="O12" i="37" l="1"/>
  <c r="M12" i="37"/>
  <c r="L12" i="25"/>
  <c r="AD12" i="25"/>
  <c r="L13" i="37" l="1"/>
  <c r="K12" i="25"/>
  <c r="B46" i="27"/>
  <c r="N12" i="25"/>
  <c r="K13" i="37" l="1"/>
  <c r="N13" i="37"/>
  <c r="B45" i="27"/>
  <c r="C47" i="27" s="1"/>
  <c r="M12" i="25"/>
  <c r="O12" i="25"/>
  <c r="M13" i="37" l="1"/>
  <c r="O13" i="37"/>
  <c r="L13" i="25"/>
  <c r="L14" i="37" l="1"/>
  <c r="K13" i="25"/>
  <c r="N13" i="25"/>
  <c r="K14" i="37" l="1"/>
  <c r="N14" i="37"/>
  <c r="O13" i="25"/>
  <c r="M13" i="25"/>
  <c r="O14" i="37" l="1"/>
  <c r="M14" i="37"/>
  <c r="L14" i="25"/>
  <c r="L15" i="37" l="1"/>
  <c r="B46" i="46" s="1"/>
  <c r="K14" i="25"/>
  <c r="N14" i="25"/>
  <c r="K15" i="37" l="1"/>
  <c r="B45" i="46" s="1"/>
  <c r="C47" i="46" s="1"/>
  <c r="N15" i="37"/>
  <c r="M14" i="25"/>
  <c r="O14" i="25"/>
  <c r="O15" i="37" l="1"/>
  <c r="M15" i="37"/>
  <c r="L15" i="25"/>
  <c r="L16" i="37" l="1"/>
  <c r="K15" i="25"/>
  <c r="N15" i="25"/>
  <c r="K16" i="37" l="1"/>
  <c r="N16" i="37"/>
  <c r="O15" i="25"/>
  <c r="M15" i="25"/>
  <c r="M16" i="37" l="1"/>
  <c r="O16" i="37"/>
  <c r="L16" i="25"/>
  <c r="L17" i="37" l="1"/>
  <c r="K16" i="25"/>
  <c r="N16" i="25"/>
  <c r="K17" i="37" l="1"/>
  <c r="N17" i="37"/>
  <c r="M16" i="25"/>
  <c r="O16" i="25"/>
  <c r="M17" i="37" l="1"/>
  <c r="O17" i="37"/>
  <c r="L17" i="25"/>
  <c r="L18" i="37" l="1"/>
  <c r="K17" i="25"/>
  <c r="N17" i="25"/>
  <c r="K18" i="37" l="1"/>
  <c r="N18" i="37"/>
  <c r="O17" i="25"/>
  <c r="M17" i="25"/>
  <c r="O18" i="37" l="1"/>
  <c r="M18" i="37"/>
  <c r="L18" i="25"/>
  <c r="L19" i="37" l="1"/>
  <c r="K18" i="25"/>
  <c r="N18" i="25"/>
  <c r="K19" i="37" l="1"/>
  <c r="N19" i="37"/>
  <c r="M18" i="25"/>
  <c r="O18" i="25"/>
  <c r="M19" i="37" l="1"/>
  <c r="O19" i="37"/>
  <c r="L19" i="25"/>
  <c r="L20" i="37" l="1"/>
  <c r="K19" i="25"/>
  <c r="N19" i="25"/>
  <c r="K20" i="37" l="1"/>
  <c r="N20" i="37"/>
  <c r="M19" i="25"/>
  <c r="O19" i="25"/>
  <c r="O20" i="37" l="1"/>
  <c r="M20" i="37"/>
  <c r="L20" i="25"/>
  <c r="L21" i="37" l="1"/>
  <c r="K20" i="25"/>
  <c r="N20" i="25"/>
  <c r="K21" i="37" l="1"/>
  <c r="N21" i="37"/>
  <c r="M20" i="25"/>
  <c r="O20" i="25"/>
  <c r="M21" i="37" l="1"/>
  <c r="O21" i="37"/>
  <c r="L21" i="25"/>
  <c r="L22" i="37" l="1"/>
  <c r="K21" i="25"/>
  <c r="N21" i="25"/>
  <c r="K22" i="37" l="1"/>
  <c r="N22" i="37"/>
  <c r="M21" i="25"/>
  <c r="O21" i="25"/>
  <c r="O22" i="37" l="1"/>
  <c r="M22" i="37"/>
  <c r="L22" i="25"/>
  <c r="L23" i="37" l="1"/>
  <c r="K22" i="25"/>
  <c r="N22" i="25"/>
  <c r="K23" i="37" l="1"/>
  <c r="N23" i="37"/>
  <c r="O22" i="25"/>
  <c r="M22" i="25"/>
  <c r="M23" i="37" l="1"/>
  <c r="O23" i="37"/>
  <c r="L23" i="25"/>
  <c r="L24" i="37" l="1"/>
  <c r="K23" i="25"/>
  <c r="N23" i="25"/>
  <c r="K24" i="37" l="1"/>
  <c r="N24" i="37"/>
  <c r="M23" i="25"/>
  <c r="O23" i="25"/>
  <c r="O24" i="37" l="1"/>
  <c r="M24" i="37"/>
  <c r="L24" i="25"/>
  <c r="L25" i="37" l="1"/>
  <c r="K24" i="25"/>
  <c r="N24" i="25"/>
  <c r="K25" i="37" l="1"/>
  <c r="N25" i="37"/>
  <c r="M24" i="25"/>
  <c r="O24" i="25"/>
  <c r="O25" i="37" l="1"/>
  <c r="M25" i="37"/>
  <c r="L25" i="25"/>
  <c r="L26" i="37" l="1"/>
  <c r="K25" i="25"/>
  <c r="N25" i="25"/>
  <c r="K26" i="37" l="1"/>
  <c r="N26" i="37"/>
  <c r="O25" i="25"/>
  <c r="M25" i="25"/>
  <c r="M26" i="37" l="1"/>
  <c r="O26" i="37"/>
  <c r="L26" i="25"/>
  <c r="L27" i="37" l="1"/>
  <c r="K26" i="25"/>
  <c r="N26" i="25"/>
  <c r="K27" i="37" l="1"/>
  <c r="N27" i="37"/>
  <c r="M26" i="25"/>
  <c r="O26" i="25"/>
  <c r="O27" i="37" l="1"/>
  <c r="M27" i="37"/>
  <c r="L27" i="25"/>
  <c r="L28" i="37" l="1"/>
  <c r="K27" i="25"/>
  <c r="N27" i="25"/>
  <c r="K28" i="37" l="1"/>
  <c r="N28" i="37"/>
  <c r="O27" i="25"/>
  <c r="M27" i="25"/>
  <c r="M28" i="37" l="1"/>
  <c r="O28" i="37"/>
  <c r="L28" i="25"/>
  <c r="L29" i="37" l="1"/>
  <c r="K28" i="25"/>
  <c r="N28" i="25"/>
  <c r="K29" i="37" l="1"/>
  <c r="N29" i="37"/>
  <c r="M28" i="25"/>
  <c r="O28" i="25"/>
  <c r="M29" i="37" l="1"/>
  <c r="O29" i="37"/>
  <c r="L29" i="25"/>
  <c r="L30" i="37" l="1"/>
  <c r="K29" i="25"/>
  <c r="N29" i="25"/>
  <c r="K30" i="37" l="1"/>
  <c r="N30" i="37"/>
  <c r="O29" i="25"/>
  <c r="M29" i="25"/>
  <c r="O30" i="37" l="1"/>
  <c r="M30" i="37"/>
  <c r="L30" i="25"/>
  <c r="L31" i="37" l="1"/>
  <c r="K30" i="25"/>
  <c r="N30" i="25"/>
  <c r="K31" i="37" l="1"/>
  <c r="N31" i="37"/>
  <c r="M30" i="25"/>
  <c r="O30" i="25"/>
  <c r="M31" i="37" l="1"/>
  <c r="O31" i="37"/>
  <c r="L31" i="25"/>
  <c r="L32" i="37" l="1"/>
  <c r="K31" i="25"/>
  <c r="N31" i="25"/>
  <c r="K32" i="37" l="1"/>
  <c r="N32" i="37"/>
  <c r="O31" i="25"/>
  <c r="M31" i="25"/>
  <c r="O32" i="37" l="1"/>
  <c r="M32" i="37"/>
  <c r="L32" i="25"/>
  <c r="L33" i="37" l="1"/>
  <c r="K32" i="25"/>
  <c r="N32" i="25"/>
  <c r="K33" i="37" l="1"/>
  <c r="N33" i="37"/>
  <c r="O32" i="25"/>
  <c r="M32" i="25"/>
  <c r="M33" i="37" l="1"/>
  <c r="O33" i="37"/>
  <c r="L33" i="25"/>
  <c r="L34" i="37" l="1"/>
  <c r="K33" i="25"/>
  <c r="N33" i="25"/>
  <c r="K34" i="37" l="1"/>
  <c r="N34" i="37"/>
  <c r="M33" i="25"/>
  <c r="O33" i="25"/>
  <c r="O34" i="37" l="1"/>
  <c r="M34" i="37"/>
  <c r="L34" i="25"/>
  <c r="L35" i="37" l="1"/>
  <c r="K34" i="25"/>
  <c r="N34" i="25"/>
  <c r="K35" i="37" l="1"/>
  <c r="N35" i="37"/>
  <c r="O34" i="25"/>
  <c r="M34" i="25"/>
  <c r="M35" i="37" l="1"/>
  <c r="O35" i="37"/>
  <c r="L35" i="25"/>
  <c r="L36" i="37" l="1"/>
  <c r="K35" i="25"/>
  <c r="N35" i="25"/>
  <c r="K36" i="37" l="1"/>
  <c r="N36" i="37"/>
  <c r="O35" i="25"/>
  <c r="M35" i="25"/>
  <c r="O36" i="37" l="1"/>
  <c r="M36" i="37"/>
  <c r="L36" i="25"/>
  <c r="L37" i="37" l="1"/>
  <c r="K36" i="25"/>
  <c r="N36" i="25"/>
  <c r="K37" i="37" l="1"/>
  <c r="N37" i="37"/>
  <c r="O36" i="25"/>
  <c r="M36" i="25"/>
  <c r="O37" i="37" l="1"/>
  <c r="M37" i="37"/>
  <c r="L37" i="25"/>
  <c r="L38" i="37" l="1"/>
  <c r="K37" i="25"/>
  <c r="N37" i="25"/>
  <c r="K38" i="37" l="1"/>
  <c r="N38" i="37"/>
  <c r="M37" i="25"/>
  <c r="O37" i="25"/>
  <c r="M38" i="37" l="1"/>
  <c r="O38" i="37"/>
  <c r="L38" i="25"/>
  <c r="L39" i="37" l="1"/>
  <c r="K38" i="25"/>
  <c r="N38" i="25"/>
  <c r="K39" i="37" l="1"/>
  <c r="N39" i="37"/>
  <c r="O38" i="25"/>
  <c r="M38" i="25"/>
  <c r="M39" i="37" l="1"/>
  <c r="O39" i="37"/>
  <c r="L39" i="25"/>
  <c r="L40" i="37" l="1"/>
  <c r="K39" i="25"/>
  <c r="N39" i="25"/>
  <c r="K40" i="37" l="1"/>
  <c r="N40" i="37"/>
  <c r="M39" i="25"/>
  <c r="O39" i="25"/>
  <c r="O40" i="37" l="1"/>
  <c r="M40" i="37"/>
  <c r="L40" i="25"/>
  <c r="L41" i="37" l="1"/>
  <c r="K40" i="25"/>
  <c r="N40" i="25"/>
  <c r="K41" i="37" l="1"/>
  <c r="N41" i="37"/>
  <c r="O40" i="25"/>
  <c r="M40" i="25"/>
  <c r="O41" i="37" l="1"/>
  <c r="M41" i="37"/>
  <c r="L41" i="25"/>
  <c r="L42" i="37" l="1"/>
  <c r="K41" i="25"/>
  <c r="N41" i="25"/>
  <c r="K42" i="37" l="1"/>
  <c r="N42" i="37"/>
  <c r="M41" i="25"/>
  <c r="O41" i="25"/>
  <c r="M42" i="37" l="1"/>
  <c r="O42" i="37"/>
  <c r="L42" i="25"/>
  <c r="L43" i="37" l="1"/>
  <c r="K42" i="25"/>
  <c r="N42" i="25"/>
  <c r="K43" i="37" l="1"/>
  <c r="N43" i="37"/>
  <c r="O42" i="25"/>
  <c r="M42" i="25"/>
  <c r="O43" i="37" l="1"/>
  <c r="M43" i="37"/>
  <c r="L43" i="25"/>
  <c r="L44" i="37" l="1"/>
  <c r="K43" i="25"/>
  <c r="N43" i="25"/>
  <c r="K44" i="37" l="1"/>
  <c r="N44" i="37"/>
  <c r="M43" i="25"/>
  <c r="O43" i="25"/>
  <c r="O44" i="37" l="1"/>
  <c r="M44" i="37"/>
  <c r="L44" i="25"/>
  <c r="L45" i="37" l="1"/>
  <c r="K44" i="25"/>
  <c r="N44" i="25"/>
  <c r="K45" i="37" l="1"/>
  <c r="N45" i="37"/>
  <c r="O44" i="25"/>
  <c r="M44" i="25"/>
  <c r="O45" i="37" l="1"/>
  <c r="M45" i="37"/>
  <c r="L45" i="25"/>
  <c r="L46" i="37" l="1"/>
  <c r="K45" i="25"/>
  <c r="N45" i="25"/>
  <c r="K46" i="37" l="1"/>
  <c r="N46" i="37"/>
  <c r="M45" i="25"/>
  <c r="O45" i="25"/>
  <c r="O46" i="37" l="1"/>
  <c r="M46" i="37"/>
  <c r="L46" i="25"/>
  <c r="L47" i="37" l="1"/>
  <c r="K46" i="25"/>
  <c r="N46" i="25"/>
  <c r="K47" i="37" l="1"/>
  <c r="N47" i="37"/>
  <c r="O46" i="25"/>
  <c r="M46" i="25"/>
  <c r="O47" i="37" l="1"/>
  <c r="M47" i="37"/>
  <c r="L47" i="25"/>
  <c r="L48" i="37" l="1"/>
  <c r="K47" i="25"/>
  <c r="N47" i="25"/>
  <c r="K48" i="37" l="1"/>
  <c r="N48" i="37"/>
  <c r="M47" i="25"/>
  <c r="O47" i="25"/>
  <c r="M48" i="37" l="1"/>
  <c r="O48" i="37"/>
  <c r="L48" i="25"/>
  <c r="L49" i="37" l="1"/>
  <c r="K48" i="25"/>
  <c r="N48" i="25"/>
  <c r="K49" i="37" l="1"/>
  <c r="N49" i="37"/>
  <c r="O48" i="25"/>
  <c r="M48" i="25"/>
  <c r="O49" i="37" l="1"/>
  <c r="M49" i="37"/>
  <c r="L49" i="25"/>
  <c r="L50" i="37" l="1"/>
  <c r="K49" i="25"/>
  <c r="N49" i="25"/>
  <c r="K50" i="37" l="1"/>
  <c r="N50" i="37"/>
  <c r="M49" i="25"/>
  <c r="O49" i="25"/>
  <c r="M50" i="37" l="1"/>
  <c r="O50" i="37"/>
  <c r="L50" i="25"/>
  <c r="L51" i="37" l="1"/>
  <c r="K50" i="25"/>
  <c r="N50" i="25"/>
  <c r="K51" i="37" l="1"/>
  <c r="N51" i="37"/>
  <c r="O50" i="25"/>
  <c r="M50" i="25"/>
  <c r="O51" i="37" l="1"/>
  <c r="M51" i="37"/>
  <c r="L51" i="25"/>
  <c r="L52" i="37" l="1"/>
  <c r="K51" i="25"/>
  <c r="N51" i="25"/>
  <c r="K52" i="37" l="1"/>
  <c r="N52" i="37"/>
  <c r="M51" i="25"/>
  <c r="O51" i="25"/>
  <c r="M52" i="37" l="1"/>
  <c r="O52" i="37"/>
  <c r="L52" i="25"/>
  <c r="L53" i="37" l="1"/>
  <c r="K52" i="25"/>
  <c r="N52" i="25"/>
  <c r="K53" i="37" l="1"/>
  <c r="N53" i="37"/>
  <c r="O52" i="25"/>
  <c r="M52" i="25"/>
  <c r="M53" i="37" l="1"/>
  <c r="O53" i="37"/>
  <c r="L53" i="25"/>
  <c r="L54" i="37" l="1"/>
  <c r="K53" i="25"/>
  <c r="N53" i="25"/>
  <c r="K54" i="37" l="1"/>
  <c r="N54" i="37"/>
  <c r="M53" i="25"/>
  <c r="O53" i="25"/>
  <c r="O54" i="37" l="1"/>
  <c r="M54" i="37"/>
  <c r="L54" i="25"/>
  <c r="L55" i="37" l="1"/>
  <c r="K54" i="25"/>
  <c r="N54" i="25"/>
  <c r="K55" i="37" l="1"/>
  <c r="N55" i="37"/>
  <c r="O54" i="25"/>
  <c r="M54" i="25"/>
  <c r="O55" i="37" l="1"/>
  <c r="M55" i="37"/>
  <c r="L55" i="25"/>
  <c r="L56" i="37" l="1"/>
  <c r="K55" i="25"/>
  <c r="N55" i="25"/>
  <c r="K56" i="37" l="1"/>
  <c r="N56" i="37"/>
  <c r="M55" i="25"/>
  <c r="O55" i="25"/>
  <c r="M56" i="37" l="1"/>
  <c r="O56" i="37"/>
  <c r="L56" i="25"/>
  <c r="L57" i="37" l="1"/>
  <c r="K56" i="25"/>
  <c r="N56" i="25"/>
  <c r="K57" i="37" l="1"/>
  <c r="N57" i="37"/>
  <c r="O56" i="25"/>
  <c r="M56" i="25"/>
  <c r="M57" i="37" l="1"/>
  <c r="O57" i="37"/>
  <c r="L57" i="25"/>
  <c r="L58" i="37" l="1"/>
  <c r="K57" i="25"/>
  <c r="N57" i="25"/>
  <c r="K58" i="37" l="1"/>
  <c r="N58" i="37"/>
  <c r="M57" i="25"/>
  <c r="O57" i="25"/>
  <c r="O58" i="37" l="1"/>
  <c r="M58" i="37"/>
  <c r="L58" i="25"/>
  <c r="L59" i="37" l="1"/>
  <c r="K58" i="25"/>
  <c r="N58" i="25"/>
  <c r="K59" i="37" l="1"/>
  <c r="N59" i="37"/>
  <c r="O58" i="25"/>
  <c r="M58" i="25"/>
  <c r="M59" i="37" l="1"/>
  <c r="O59" i="37"/>
  <c r="L59" i="25"/>
  <c r="L60" i="37" l="1"/>
  <c r="K59" i="25"/>
  <c r="N59" i="25"/>
  <c r="K60" i="37" l="1"/>
  <c r="N60" i="37"/>
  <c r="M59" i="25"/>
  <c r="O59" i="25"/>
  <c r="O60" i="37" l="1"/>
  <c r="M60" i="37"/>
  <c r="L60" i="25"/>
  <c r="L61" i="37" l="1"/>
  <c r="K60" i="25"/>
  <c r="N60" i="25"/>
  <c r="K61" i="37" l="1"/>
  <c r="N61" i="37"/>
  <c r="M60" i="25"/>
  <c r="O60" i="25"/>
  <c r="M61" i="37" l="1"/>
  <c r="O61" i="37"/>
  <c r="L61" i="25"/>
  <c r="L62" i="37" l="1"/>
  <c r="K61" i="25"/>
  <c r="N61" i="25"/>
  <c r="K62" i="37" l="1"/>
  <c r="N62" i="37"/>
  <c r="O61" i="25"/>
  <c r="M61" i="25"/>
  <c r="O62" i="37" l="1"/>
  <c r="M62" i="37"/>
  <c r="L62" i="25"/>
  <c r="L63" i="37" l="1"/>
  <c r="K62" i="25"/>
  <c r="N62" i="25"/>
  <c r="K63" i="37" l="1"/>
  <c r="N63" i="37"/>
  <c r="O62" i="25"/>
  <c r="M62" i="25"/>
  <c r="M63" i="37" l="1"/>
  <c r="O63" i="37"/>
  <c r="L63" i="25"/>
  <c r="L64" i="37" l="1"/>
  <c r="K63" i="25"/>
  <c r="N63" i="25"/>
  <c r="K64" i="37" l="1"/>
  <c r="N64" i="37"/>
  <c r="M63" i="25"/>
  <c r="O63" i="25"/>
  <c r="O64" i="37" l="1"/>
  <c r="M64" i="37"/>
  <c r="L64" i="25"/>
  <c r="L65" i="37" l="1"/>
  <c r="K64" i="25"/>
  <c r="N64" i="25"/>
  <c r="K65" i="37" l="1"/>
  <c r="N65" i="37"/>
  <c r="O64" i="25"/>
  <c r="M64" i="25"/>
  <c r="M65" i="37" l="1"/>
  <c r="O65" i="37"/>
  <c r="L65" i="25"/>
  <c r="L66" i="37" l="1"/>
  <c r="K65" i="25"/>
  <c r="N65" i="25"/>
  <c r="K66" i="37" l="1"/>
  <c r="N66" i="37"/>
  <c r="M65" i="25"/>
  <c r="O65" i="25"/>
  <c r="O66" i="37" l="1"/>
  <c r="M66" i="37"/>
  <c r="L66" i="25"/>
  <c r="L67" i="37" l="1"/>
  <c r="K66" i="25"/>
  <c r="N66" i="25"/>
  <c r="K67" i="37" l="1"/>
  <c r="N67" i="37"/>
  <c r="O66" i="25"/>
  <c r="M66" i="25"/>
  <c r="M67" i="37" l="1"/>
  <c r="O67" i="37"/>
  <c r="L67" i="25"/>
  <c r="L68" i="37" l="1"/>
  <c r="K67" i="25"/>
  <c r="N67" i="25"/>
  <c r="K68" i="37" l="1"/>
  <c r="N68" i="37"/>
  <c r="M67" i="25"/>
  <c r="O67" i="25"/>
  <c r="M68" i="37" l="1"/>
  <c r="O68" i="37"/>
  <c r="L68" i="25"/>
  <c r="L69" i="37" l="1"/>
  <c r="K68" i="25"/>
  <c r="N68" i="25"/>
  <c r="K69" i="37" l="1"/>
  <c r="N69" i="37"/>
  <c r="O68" i="25"/>
  <c r="M68" i="25"/>
  <c r="O69" i="37" l="1"/>
  <c r="M69" i="37"/>
  <c r="L69" i="25"/>
  <c r="L70" i="37" l="1"/>
  <c r="K69" i="25"/>
  <c r="N69" i="25"/>
  <c r="K70" i="37" l="1"/>
  <c r="N70" i="37"/>
  <c r="M69" i="25"/>
  <c r="O69" i="25"/>
  <c r="M70" i="37" l="1"/>
  <c r="O70" i="37"/>
  <c r="L70" i="25"/>
  <c r="L71" i="37" l="1"/>
  <c r="K70" i="25"/>
  <c r="N70" i="25"/>
  <c r="K71" i="37" l="1"/>
  <c r="N71" i="37"/>
  <c r="O70" i="25"/>
  <c r="M70" i="25"/>
  <c r="O71" i="37" l="1"/>
  <c r="M71" i="37"/>
  <c r="L71" i="25"/>
  <c r="L72" i="37" l="1"/>
  <c r="K71" i="25"/>
  <c r="N71" i="25"/>
  <c r="K72" i="37" l="1"/>
  <c r="N72" i="37"/>
  <c r="M71" i="25"/>
  <c r="O71" i="25"/>
  <c r="M72" i="37" l="1"/>
  <c r="O72" i="37"/>
  <c r="L72" i="25"/>
  <c r="L73" i="37" l="1"/>
  <c r="K72" i="25"/>
  <c r="N72" i="25"/>
  <c r="K73" i="37" l="1"/>
  <c r="N73" i="37"/>
  <c r="O72" i="25"/>
  <c r="M72" i="25"/>
  <c r="O73" i="37" l="1"/>
  <c r="M73" i="37"/>
  <c r="L73" i="25"/>
  <c r="L74" i="37" l="1"/>
  <c r="K73" i="25"/>
  <c r="N73" i="25"/>
  <c r="K74" i="37" l="1"/>
  <c r="N74" i="37"/>
  <c r="M73" i="25"/>
  <c r="O73" i="25"/>
  <c r="M74" i="37" l="1"/>
  <c r="O74" i="37"/>
  <c r="L74" i="25"/>
  <c r="L75" i="37" l="1"/>
  <c r="K74" i="25"/>
  <c r="N74" i="25"/>
  <c r="K75" i="37" l="1"/>
  <c r="N75" i="37"/>
  <c r="O74" i="25"/>
  <c r="M74" i="25"/>
  <c r="O75" i="37" l="1"/>
  <c r="M75" i="37"/>
  <c r="L75" i="25"/>
  <c r="L76" i="37" l="1"/>
  <c r="K75" i="25"/>
  <c r="N75" i="25"/>
  <c r="K76" i="37" l="1"/>
  <c r="N76" i="37"/>
  <c r="M75" i="25"/>
  <c r="O75" i="25"/>
  <c r="M76" i="37" l="1"/>
  <c r="O76" i="37"/>
  <c r="L76" i="25"/>
  <c r="L77" i="37" l="1"/>
  <c r="K76" i="25"/>
  <c r="N76" i="25"/>
  <c r="K77" i="37" l="1"/>
  <c r="N77" i="37"/>
  <c r="O76" i="25"/>
  <c r="M76" i="25"/>
  <c r="O77" i="37" l="1"/>
  <c r="M77" i="37"/>
  <c r="L77" i="25"/>
  <c r="L78" i="37" l="1"/>
  <c r="K77" i="25"/>
  <c r="N77" i="25"/>
  <c r="K78" i="37" l="1"/>
  <c r="N78" i="37"/>
  <c r="M77" i="25"/>
  <c r="O77" i="25"/>
  <c r="M78" i="37" l="1"/>
  <c r="O78" i="37"/>
  <c r="L78" i="25"/>
  <c r="L79" i="37" l="1"/>
  <c r="K78" i="25"/>
  <c r="N78" i="25"/>
  <c r="K79" i="37" l="1"/>
  <c r="N79" i="37"/>
  <c r="O78" i="25"/>
  <c r="M78" i="25"/>
  <c r="O79" i="37" l="1"/>
  <c r="M79" i="37"/>
  <c r="L79" i="25"/>
  <c r="L80" i="37" l="1"/>
  <c r="K79" i="25"/>
  <c r="N79" i="25"/>
  <c r="K80" i="37" l="1"/>
  <c r="N80" i="37"/>
  <c r="M79" i="25"/>
  <c r="O79" i="25"/>
  <c r="M80" i="37" l="1"/>
  <c r="O80" i="37"/>
  <c r="L80" i="25"/>
  <c r="L81" i="37" l="1"/>
  <c r="K80" i="25"/>
  <c r="N80" i="25"/>
  <c r="K81" i="37" l="1"/>
  <c r="N81" i="37"/>
  <c r="O80" i="25"/>
  <c r="M80" i="25"/>
  <c r="M81" i="37" l="1"/>
  <c r="O81" i="37"/>
  <c r="L81" i="25"/>
  <c r="L82" i="37" l="1"/>
  <c r="K81" i="25"/>
  <c r="N81" i="25"/>
  <c r="K82" i="37" l="1"/>
  <c r="N82" i="37"/>
  <c r="M81" i="25"/>
  <c r="O81" i="25"/>
  <c r="O82" i="37" l="1"/>
  <c r="M82" i="37"/>
  <c r="L82" i="25"/>
  <c r="L83" i="37" l="1"/>
  <c r="K82" i="25"/>
  <c r="N82" i="25"/>
  <c r="K83" i="37" l="1"/>
  <c r="N83" i="37"/>
  <c r="O82" i="25"/>
  <c r="M82" i="25"/>
  <c r="M83" i="37" l="1"/>
  <c r="O83" i="37"/>
  <c r="L83" i="25"/>
  <c r="L84" i="37" l="1"/>
  <c r="K83" i="25"/>
  <c r="N83" i="25"/>
  <c r="K84" i="37" l="1"/>
  <c r="N84" i="37"/>
  <c r="M83" i="25"/>
  <c r="O83" i="25"/>
  <c r="O84" i="37" l="1"/>
  <c r="M84" i="37"/>
  <c r="L84" i="25"/>
  <c r="L85" i="37" l="1"/>
  <c r="K84" i="25"/>
  <c r="N84" i="25"/>
  <c r="K85" i="37" l="1"/>
  <c r="N85" i="37"/>
  <c r="O84" i="25"/>
  <c r="M84" i="25"/>
  <c r="M85" i="37" l="1"/>
  <c r="O85" i="37"/>
  <c r="L85" i="25"/>
  <c r="L86" i="37" l="1"/>
  <c r="K85" i="25"/>
  <c r="N85" i="25"/>
  <c r="K86" i="37" l="1"/>
  <c r="N86" i="37"/>
  <c r="M85" i="25"/>
  <c r="O85" i="25"/>
  <c r="O86" i="37" l="1"/>
  <c r="M86" i="37"/>
  <c r="L86" i="25"/>
  <c r="L87" i="37" l="1"/>
  <c r="K86" i="25"/>
  <c r="N86" i="25"/>
  <c r="K87" i="37" l="1"/>
  <c r="N87" i="37"/>
  <c r="O86" i="25"/>
  <c r="M86" i="25"/>
  <c r="M87" i="37" l="1"/>
  <c r="O87" i="37"/>
  <c r="L87" i="25"/>
  <c r="L88" i="37" l="1"/>
  <c r="K87" i="25"/>
  <c r="N87" i="25"/>
  <c r="K88" i="37" l="1"/>
  <c r="N88" i="37"/>
  <c r="M87" i="25"/>
  <c r="O87" i="25"/>
  <c r="O88" i="37" l="1"/>
  <c r="M88" i="37"/>
  <c r="L88" i="25"/>
  <c r="L89" i="37" l="1"/>
  <c r="K88" i="25"/>
  <c r="N88" i="25"/>
  <c r="K89" i="37" l="1"/>
  <c r="N89" i="37"/>
  <c r="O88" i="25"/>
  <c r="M88" i="25"/>
  <c r="M89" i="37" l="1"/>
  <c r="O89" i="37"/>
  <c r="L89" i="25"/>
  <c r="L90" i="37" l="1"/>
  <c r="K89" i="25"/>
  <c r="N89" i="25"/>
  <c r="K90" i="37" l="1"/>
  <c r="N90" i="37"/>
  <c r="O89" i="25"/>
  <c r="M89" i="25"/>
  <c r="O90" i="37" l="1"/>
  <c r="M90" i="37"/>
  <c r="L90" i="25"/>
  <c r="L91" i="37" l="1"/>
  <c r="K90" i="25"/>
  <c r="N90" i="25"/>
  <c r="K91" i="37" l="1"/>
  <c r="N91" i="37"/>
  <c r="M90" i="25"/>
  <c r="O90" i="25"/>
  <c r="M91" i="37" l="1"/>
  <c r="O91" i="37"/>
  <c r="L91" i="25"/>
  <c r="L92" i="37" l="1"/>
  <c r="K91" i="25"/>
  <c r="N91" i="25"/>
  <c r="K92" i="37" l="1"/>
  <c r="N92" i="37"/>
  <c r="O91" i="25"/>
  <c r="M91" i="25"/>
  <c r="O92" i="37" l="1"/>
  <c r="M92" i="37"/>
  <c r="L92" i="25"/>
  <c r="L93" i="37" l="1"/>
  <c r="K92" i="25"/>
  <c r="N92" i="25"/>
  <c r="K93" i="37" l="1"/>
  <c r="N93" i="37"/>
  <c r="M92" i="25"/>
  <c r="O92" i="25"/>
  <c r="M93" i="37" l="1"/>
  <c r="O93" i="37"/>
  <c r="L93" i="25"/>
  <c r="L94" i="37" l="1"/>
  <c r="K93" i="25"/>
  <c r="N93" i="25"/>
  <c r="K94" i="37" l="1"/>
  <c r="N94" i="37"/>
  <c r="O93" i="25"/>
  <c r="M93" i="25"/>
  <c r="O94" i="37" l="1"/>
  <c r="M94" i="37"/>
  <c r="L94" i="25"/>
  <c r="L95" i="37" l="1"/>
  <c r="K94" i="25"/>
  <c r="N94" i="25"/>
  <c r="K95" i="37" l="1"/>
  <c r="N95" i="37"/>
  <c r="M94" i="25"/>
  <c r="O94" i="25"/>
  <c r="M95" i="37" l="1"/>
  <c r="O95" i="37"/>
  <c r="L95" i="25"/>
  <c r="L96" i="37" l="1"/>
  <c r="K95" i="25"/>
  <c r="N95" i="25"/>
  <c r="K96" i="37" l="1"/>
  <c r="N96" i="37"/>
  <c r="O95" i="25"/>
  <c r="M95" i="25"/>
  <c r="O96" i="37" l="1"/>
  <c r="M96" i="37"/>
  <c r="L96" i="25"/>
  <c r="L97" i="37" l="1"/>
  <c r="K96" i="25"/>
  <c r="N96" i="25"/>
  <c r="K97" i="37" l="1"/>
  <c r="N97" i="37"/>
  <c r="M96" i="25"/>
  <c r="O96" i="25"/>
  <c r="M97" i="37" l="1"/>
  <c r="O97" i="37"/>
  <c r="L97" i="25"/>
  <c r="L98" i="37" l="1"/>
  <c r="K97" i="25"/>
  <c r="N97" i="25"/>
  <c r="K98" i="37" l="1"/>
  <c r="N98" i="37"/>
  <c r="O97" i="25"/>
  <c r="M97" i="25"/>
  <c r="M98" i="37" l="1"/>
  <c r="O98" i="37"/>
  <c r="L98" i="25"/>
  <c r="L99" i="37" l="1"/>
  <c r="K98" i="25"/>
  <c r="N98" i="25"/>
  <c r="K99" i="37" l="1"/>
  <c r="N99" i="37"/>
  <c r="M98" i="25"/>
  <c r="O98" i="25"/>
  <c r="O99" i="37" l="1"/>
  <c r="M99" i="37"/>
  <c r="L99" i="25"/>
  <c r="L100" i="37" l="1"/>
  <c r="K99" i="25"/>
  <c r="N99" i="25"/>
  <c r="K100" i="37" l="1"/>
  <c r="N100" i="37"/>
  <c r="O99" i="25"/>
  <c r="M99" i="25"/>
  <c r="M100" i="37" l="1"/>
  <c r="O100" i="37"/>
  <c r="L100" i="25"/>
  <c r="L101" i="37" l="1"/>
  <c r="K100" i="25"/>
  <c r="N100" i="25"/>
  <c r="K101" i="37" l="1"/>
  <c r="N101" i="37"/>
  <c r="O100" i="25"/>
  <c r="M100" i="25"/>
  <c r="M101" i="37" l="1"/>
  <c r="O101" i="37"/>
  <c r="L101" i="25"/>
  <c r="L102" i="37" l="1"/>
  <c r="K101" i="25"/>
  <c r="N101" i="25"/>
  <c r="K102" i="37" l="1"/>
  <c r="N102" i="37"/>
  <c r="O101" i="25"/>
  <c r="M101" i="25"/>
  <c r="M102" i="37" l="1"/>
  <c r="O102" i="37"/>
  <c r="L102" i="25"/>
  <c r="L103" i="37" l="1"/>
  <c r="K102" i="25"/>
  <c r="N102" i="25"/>
  <c r="K103" i="37" l="1"/>
  <c r="N103" i="37"/>
  <c r="M102" i="25"/>
  <c r="O102" i="25"/>
  <c r="O103" i="37" l="1"/>
  <c r="M103" i="37"/>
  <c r="L103" i="25"/>
  <c r="L104" i="37" l="1"/>
  <c r="K103" i="25"/>
  <c r="N103" i="25"/>
  <c r="K104" i="37" l="1"/>
  <c r="N104" i="37"/>
  <c r="O103" i="25"/>
  <c r="M103" i="25"/>
  <c r="M104" i="37" l="1"/>
  <c r="O104" i="37"/>
  <c r="L104" i="25"/>
  <c r="L105" i="37" l="1"/>
  <c r="K104" i="25"/>
  <c r="N104" i="25"/>
  <c r="K105" i="37" l="1"/>
  <c r="N105" i="37"/>
  <c r="M104" i="25"/>
  <c r="O104" i="25"/>
  <c r="O105" i="37" l="1"/>
  <c r="M105" i="37"/>
  <c r="L105" i="25"/>
  <c r="L106" i="37" l="1"/>
  <c r="K105" i="25"/>
  <c r="N105" i="25"/>
  <c r="K106" i="37" l="1"/>
  <c r="N106" i="37"/>
  <c r="O105" i="25"/>
  <c r="M105" i="25"/>
  <c r="M106" i="37" l="1"/>
  <c r="O106" i="37"/>
  <c r="L106" i="25"/>
  <c r="L107" i="37" l="1"/>
  <c r="K106" i="25"/>
  <c r="N106" i="25"/>
  <c r="K107" i="37" l="1"/>
  <c r="N107" i="37"/>
  <c r="M106" i="25"/>
  <c r="O106" i="25"/>
  <c r="O107" i="37" l="1"/>
  <c r="M107" i="37"/>
  <c r="L107" i="25"/>
  <c r="L108" i="37" l="1"/>
  <c r="K107" i="25"/>
  <c r="N107" i="25"/>
  <c r="K108" i="37" l="1"/>
  <c r="N108" i="37"/>
  <c r="M107" i="25"/>
  <c r="O107" i="25"/>
  <c r="M108" i="37" l="1"/>
  <c r="O108" i="37"/>
  <c r="L108" i="25"/>
  <c r="L109" i="37" l="1"/>
  <c r="K108" i="25"/>
  <c r="N108" i="25"/>
  <c r="K109" i="37" l="1"/>
  <c r="N109" i="37"/>
  <c r="O108" i="25"/>
  <c r="M108" i="25"/>
  <c r="M109" i="37" l="1"/>
  <c r="O109" i="37"/>
  <c r="L109" i="25"/>
  <c r="L110" i="37" l="1"/>
  <c r="K109" i="25"/>
  <c r="N109" i="25"/>
  <c r="K110" i="37" l="1"/>
  <c r="N110" i="37"/>
  <c r="M109" i="25"/>
  <c r="O109" i="25"/>
  <c r="O110" i="37" l="1"/>
  <c r="M110" i="37"/>
  <c r="L110" i="25"/>
  <c r="L111" i="37" l="1"/>
  <c r="K110" i="25"/>
  <c r="N110" i="25"/>
  <c r="K111" i="37" l="1"/>
  <c r="N111" i="37"/>
  <c r="O110" i="25"/>
  <c r="M110" i="25"/>
  <c r="M111" i="37" l="1"/>
  <c r="O111" i="37"/>
  <c r="L111" i="25"/>
  <c r="L112" i="37" l="1"/>
  <c r="K111" i="25"/>
  <c r="N111" i="25"/>
  <c r="K112" i="37" l="1"/>
  <c r="N112" i="37"/>
  <c r="M111" i="25"/>
  <c r="O111" i="25"/>
  <c r="O112" i="37" l="1"/>
  <c r="M112" i="37"/>
  <c r="L112" i="25"/>
  <c r="L113" i="37" l="1"/>
  <c r="K112" i="25"/>
  <c r="N112" i="25"/>
  <c r="K113" i="37" l="1"/>
  <c r="N113" i="37"/>
  <c r="O112" i="25"/>
  <c r="M112" i="25"/>
  <c r="M113" i="37" l="1"/>
  <c r="O113" i="37"/>
  <c r="L113" i="25"/>
  <c r="L114" i="37" l="1"/>
  <c r="K113" i="25"/>
  <c r="N113" i="25"/>
  <c r="K114" i="37" l="1"/>
  <c r="N114" i="37"/>
  <c r="M113" i="25"/>
  <c r="O113" i="25"/>
  <c r="O114" i="37" l="1"/>
  <c r="M114" i="37"/>
  <c r="L114" i="25"/>
  <c r="L115" i="37" l="1"/>
  <c r="K114" i="25"/>
  <c r="N114" i="25"/>
  <c r="K115" i="37" l="1"/>
  <c r="N115" i="37"/>
  <c r="O114" i="25"/>
  <c r="M114" i="25"/>
  <c r="M115" i="37" l="1"/>
  <c r="O115" i="37"/>
  <c r="L115" i="25"/>
  <c r="L116" i="37" l="1"/>
  <c r="K115" i="25"/>
  <c r="N115" i="25"/>
  <c r="K116" i="37" l="1"/>
  <c r="N116" i="37"/>
  <c r="M115" i="25"/>
  <c r="O115" i="25"/>
  <c r="O116" i="37" l="1"/>
  <c r="M116" i="37"/>
  <c r="L116" i="25"/>
  <c r="L117" i="37" l="1"/>
  <c r="K116" i="25"/>
  <c r="N116" i="25"/>
  <c r="K117" i="37" l="1"/>
  <c r="N117" i="37"/>
  <c r="O116" i="25"/>
  <c r="M116" i="25"/>
  <c r="M117" i="37" l="1"/>
  <c r="O117" i="37"/>
  <c r="L117" i="25"/>
  <c r="L118" i="37" l="1"/>
  <c r="K117" i="25"/>
  <c r="N117" i="25"/>
  <c r="K118" i="37" l="1"/>
  <c r="N118" i="37"/>
  <c r="M117" i="25"/>
  <c r="O117" i="25"/>
  <c r="O118" i="37" l="1"/>
  <c r="M118" i="37"/>
  <c r="L118" i="25"/>
  <c r="L119" i="37" l="1"/>
  <c r="K118" i="25"/>
  <c r="N118" i="25"/>
  <c r="K119" i="37" l="1"/>
  <c r="N119" i="37"/>
  <c r="O118" i="25"/>
  <c r="M118" i="25"/>
  <c r="M119" i="37" l="1"/>
  <c r="O119" i="37"/>
  <c r="L119" i="25"/>
  <c r="L120" i="37" l="1"/>
  <c r="K119" i="25"/>
  <c r="N119" i="25"/>
  <c r="K120" i="37" l="1"/>
  <c r="N120" i="37"/>
  <c r="M119" i="25"/>
  <c r="O119" i="25"/>
  <c r="O120" i="37" l="1"/>
  <c r="M120" i="37"/>
  <c r="L120" i="25"/>
  <c r="L121" i="37" l="1"/>
  <c r="K120" i="25"/>
  <c r="N120" i="25"/>
  <c r="K121" i="37" l="1"/>
  <c r="N121" i="37"/>
  <c r="O120" i="25"/>
  <c r="M120" i="25"/>
  <c r="M121" i="37" l="1"/>
  <c r="O121" i="37"/>
  <c r="L121" i="25"/>
  <c r="L122" i="37" l="1"/>
  <c r="K121" i="25"/>
  <c r="N121" i="25"/>
  <c r="K122" i="37" l="1"/>
  <c r="N122" i="37"/>
  <c r="M121" i="25"/>
  <c r="O121" i="25"/>
  <c r="O122" i="37" l="1"/>
  <c r="M122" i="37"/>
  <c r="L122" i="25"/>
  <c r="L123" i="37" l="1"/>
  <c r="K122" i="25"/>
  <c r="N122" i="25"/>
  <c r="K123" i="37" l="1"/>
  <c r="N123" i="37"/>
  <c r="M122" i="25"/>
  <c r="O122" i="25"/>
  <c r="M123" i="37" l="1"/>
  <c r="O123" i="37"/>
  <c r="L123" i="25"/>
  <c r="L124" i="37" l="1"/>
  <c r="K123" i="25"/>
  <c r="N123" i="25"/>
  <c r="K124" i="37" l="1"/>
  <c r="N124" i="37"/>
  <c r="O123" i="25"/>
  <c r="M123" i="25"/>
  <c r="M124" i="37" l="1"/>
  <c r="O124" i="37"/>
  <c r="L124" i="25"/>
  <c r="L125" i="37" l="1"/>
  <c r="K124" i="25"/>
  <c r="N124" i="25"/>
  <c r="K125" i="37" l="1"/>
  <c r="N125" i="37"/>
  <c r="M124" i="25"/>
  <c r="O124" i="25"/>
  <c r="M125" i="37" l="1"/>
  <c r="O125" i="37"/>
  <c r="L125" i="25"/>
  <c r="L126" i="37" l="1"/>
  <c r="K125" i="25"/>
  <c r="N125" i="25"/>
  <c r="K126" i="37" l="1"/>
  <c r="N126" i="37"/>
  <c r="O125" i="25"/>
  <c r="M125" i="25"/>
  <c r="O126" i="37" l="1"/>
  <c r="M126" i="37"/>
  <c r="L126" i="25"/>
  <c r="L127" i="37" l="1"/>
  <c r="K126" i="25"/>
  <c r="N126" i="25"/>
  <c r="K127" i="37" l="1"/>
  <c r="N127" i="37"/>
  <c r="M126" i="25"/>
  <c r="O126" i="25"/>
  <c r="M127" i="37" l="1"/>
  <c r="O127" i="37"/>
  <c r="L127" i="25"/>
  <c r="L128" i="37" l="1"/>
  <c r="K127" i="25"/>
  <c r="N127" i="25"/>
  <c r="K128" i="37" l="1"/>
  <c r="N128" i="37"/>
  <c r="O127" i="25"/>
  <c r="M127" i="25"/>
  <c r="O128" i="37" l="1"/>
  <c r="M128" i="37"/>
  <c r="L128" i="25"/>
  <c r="L129" i="37" l="1"/>
  <c r="K128" i="25"/>
  <c r="N128" i="25"/>
  <c r="K129" i="37" l="1"/>
  <c r="N129" i="37"/>
  <c r="M128" i="25"/>
  <c r="O128" i="25"/>
  <c r="M129" i="37" l="1"/>
  <c r="O129" i="37"/>
  <c r="L129" i="25"/>
  <c r="L130" i="37" l="1"/>
  <c r="K129" i="25"/>
  <c r="N129" i="25"/>
  <c r="K130" i="37" l="1"/>
  <c r="N130" i="37"/>
  <c r="M129" i="25"/>
  <c r="O129" i="25"/>
  <c r="O130" i="37" l="1"/>
  <c r="M130" i="37"/>
  <c r="L130" i="25"/>
  <c r="L131" i="37" l="1"/>
  <c r="K130" i="25"/>
  <c r="N130" i="25"/>
  <c r="K131" i="37" l="1"/>
  <c r="N131" i="37"/>
  <c r="O130" i="25"/>
  <c r="M130" i="25"/>
  <c r="M131" i="37" l="1"/>
  <c r="O131" i="37"/>
  <c r="L131" i="25"/>
  <c r="L132" i="37" l="1"/>
  <c r="K131" i="25"/>
  <c r="N131" i="25"/>
  <c r="K132" i="37" l="1"/>
  <c r="N132" i="37"/>
  <c r="M131" i="25"/>
  <c r="O131" i="25"/>
  <c r="M132" i="37" l="1"/>
  <c r="O132" i="37"/>
  <c r="L132" i="25"/>
  <c r="L133" i="37" l="1"/>
  <c r="K132" i="25"/>
  <c r="N132" i="25"/>
  <c r="K133" i="37" l="1"/>
  <c r="N133" i="37"/>
  <c r="O132" i="25"/>
  <c r="M132" i="25"/>
  <c r="O133" i="37" l="1"/>
  <c r="M133" i="37"/>
  <c r="L133" i="25"/>
  <c r="L134" i="37" l="1"/>
  <c r="K133" i="25"/>
  <c r="N133" i="25"/>
  <c r="K134" i="37" l="1"/>
  <c r="N134" i="37"/>
  <c r="M133" i="25"/>
  <c r="O133" i="25"/>
  <c r="M134" i="37" l="1"/>
  <c r="O134" i="37"/>
  <c r="L134" i="25"/>
  <c r="L135" i="37" l="1"/>
  <c r="K134" i="25"/>
  <c r="N134" i="25"/>
  <c r="K135" i="37" l="1"/>
  <c r="N135" i="37"/>
  <c r="M134" i="25"/>
  <c r="O134" i="25"/>
  <c r="M135" i="37" l="1"/>
  <c r="O135" i="37"/>
  <c r="L135" i="25"/>
  <c r="L136" i="37" l="1"/>
  <c r="K135" i="25"/>
  <c r="N135" i="25"/>
  <c r="K136" i="37" l="1"/>
  <c r="N136" i="37"/>
  <c r="O135" i="25"/>
  <c r="M135" i="25"/>
  <c r="O136" i="37" l="1"/>
  <c r="M136" i="37"/>
  <c r="L136" i="25"/>
  <c r="L137" i="37" l="1"/>
  <c r="K136" i="25"/>
  <c r="N136" i="25"/>
  <c r="K137" i="37" l="1"/>
  <c r="N137" i="37"/>
  <c r="M136" i="25"/>
  <c r="O136" i="25"/>
  <c r="M137" i="37" l="1"/>
  <c r="O137" i="37"/>
  <c r="L137" i="25"/>
  <c r="L138" i="37" l="1"/>
  <c r="K137" i="25"/>
  <c r="N137" i="25"/>
  <c r="K138" i="37" l="1"/>
  <c r="N138" i="37"/>
  <c r="O137" i="25"/>
  <c r="M137" i="25"/>
  <c r="O138" i="37" l="1"/>
  <c r="M138" i="37"/>
  <c r="L138" i="25"/>
  <c r="L139" i="37" l="1"/>
  <c r="K138" i="25"/>
  <c r="N138" i="25"/>
  <c r="K139" i="37" l="1"/>
  <c r="N139" i="37"/>
  <c r="M138" i="25"/>
  <c r="O138" i="25"/>
  <c r="M139" i="37" l="1"/>
  <c r="O139" i="37"/>
  <c r="L139" i="25"/>
  <c r="L140" i="37" l="1"/>
  <c r="K139" i="25"/>
  <c r="N139" i="25"/>
  <c r="K140" i="37" l="1"/>
  <c r="N140" i="37"/>
  <c r="O139" i="25"/>
  <c r="M139" i="25"/>
  <c r="M140" i="37" l="1"/>
  <c r="O140" i="37"/>
  <c r="L140" i="25"/>
  <c r="L141" i="37" l="1"/>
  <c r="K140" i="25"/>
  <c r="N140" i="25"/>
  <c r="K141" i="37" l="1"/>
  <c r="N141" i="37"/>
  <c r="O140" i="25"/>
  <c r="M140" i="25"/>
  <c r="O141" i="37" l="1"/>
  <c r="M141" i="37"/>
  <c r="L141" i="25"/>
  <c r="L142" i="37" l="1"/>
  <c r="K141" i="25"/>
  <c r="N141" i="25"/>
  <c r="K142" i="37" l="1"/>
  <c r="N142" i="37"/>
  <c r="O141" i="25"/>
  <c r="M141" i="25"/>
  <c r="M142" i="37" l="1"/>
  <c r="O142" i="37"/>
  <c r="L142" i="25"/>
  <c r="L143" i="37" l="1"/>
  <c r="K142" i="25"/>
  <c r="N142" i="25"/>
  <c r="K143" i="37" l="1"/>
  <c r="N143" i="37"/>
  <c r="M142" i="25"/>
  <c r="O142" i="25"/>
  <c r="O143" i="37" l="1"/>
  <c r="M143" i="37"/>
  <c r="L143" i="25"/>
  <c r="L144" i="37" l="1"/>
  <c r="K143" i="25"/>
  <c r="N143" i="25"/>
  <c r="K144" i="37" l="1"/>
  <c r="N144" i="37"/>
  <c r="O143" i="25"/>
  <c r="M143" i="25"/>
  <c r="M144" i="37" l="1"/>
  <c r="O144" i="37"/>
  <c r="L144" i="25"/>
  <c r="L145" i="37" l="1"/>
  <c r="K144" i="25"/>
  <c r="N144" i="25"/>
  <c r="K145" i="37" l="1"/>
  <c r="N145" i="37"/>
  <c r="O144" i="25"/>
  <c r="M144" i="25"/>
  <c r="O145" i="37" l="1"/>
  <c r="M145" i="37"/>
  <c r="L145" i="25"/>
  <c r="L146" i="37" l="1"/>
  <c r="K145" i="25"/>
  <c r="N145" i="25"/>
  <c r="K146" i="37" l="1"/>
  <c r="N146" i="37"/>
  <c r="M145" i="25"/>
  <c r="O145" i="25"/>
  <c r="M146" i="37" l="1"/>
  <c r="O146" i="37"/>
  <c r="L146" i="25"/>
  <c r="L147" i="37" l="1"/>
  <c r="K146" i="25"/>
  <c r="N146" i="25"/>
  <c r="K147" i="37" l="1"/>
  <c r="N147" i="37"/>
  <c r="M146" i="25"/>
  <c r="O146" i="25"/>
  <c r="O147" i="37" l="1"/>
  <c r="M147" i="37"/>
  <c r="L147" i="25"/>
  <c r="L148" i="37" l="1"/>
  <c r="K147" i="25"/>
  <c r="N147" i="25"/>
  <c r="K148" i="37" l="1"/>
  <c r="N148" i="37"/>
  <c r="M147" i="25"/>
  <c r="O147" i="25"/>
  <c r="O148" i="37" l="1"/>
  <c r="M148" i="37"/>
  <c r="L148" i="25"/>
  <c r="L149" i="37" l="1"/>
  <c r="K148" i="25"/>
  <c r="N148" i="25"/>
  <c r="K149" i="37" l="1"/>
  <c r="N149" i="37"/>
  <c r="O148" i="25"/>
  <c r="M148" i="25"/>
  <c r="M149" i="37" l="1"/>
  <c r="O149" i="37"/>
  <c r="L149" i="25"/>
  <c r="L150" i="37" l="1"/>
  <c r="K149" i="25"/>
  <c r="N149" i="25"/>
  <c r="K150" i="37" l="1"/>
  <c r="N150" i="37"/>
  <c r="M149" i="25"/>
  <c r="O149" i="25"/>
  <c r="O150" i="37" l="1"/>
  <c r="M150" i="37"/>
  <c r="L150" i="25"/>
  <c r="L151" i="37" l="1"/>
  <c r="K150" i="25"/>
  <c r="N150" i="25"/>
  <c r="K151" i="37" l="1"/>
  <c r="N151" i="37"/>
  <c r="O150" i="25"/>
  <c r="M150" i="25"/>
  <c r="M151" i="37" l="1"/>
  <c r="O151" i="37"/>
  <c r="L151" i="25"/>
  <c r="L152" i="37" l="1"/>
  <c r="K151" i="25"/>
  <c r="N151" i="25"/>
  <c r="K152" i="37" l="1"/>
  <c r="N152" i="37"/>
  <c r="M151" i="25"/>
  <c r="O151" i="25"/>
  <c r="O152" i="37" l="1"/>
  <c r="M152" i="37"/>
  <c r="L152" i="25"/>
  <c r="L153" i="37" l="1"/>
  <c r="K152" i="25"/>
  <c r="N152" i="25"/>
  <c r="K153" i="37" l="1"/>
  <c r="N153" i="37"/>
  <c r="M152" i="25"/>
  <c r="O152" i="25"/>
  <c r="O153" i="37" l="1"/>
  <c r="M153" i="37"/>
  <c r="L153" i="25"/>
  <c r="L154" i="37" l="1"/>
  <c r="K153" i="25"/>
  <c r="N153" i="25"/>
  <c r="K154" i="37" l="1"/>
  <c r="N154" i="37"/>
  <c r="O153" i="25"/>
  <c r="M153" i="25"/>
  <c r="M154" i="37" l="1"/>
  <c r="O154" i="37"/>
  <c r="L154" i="25"/>
  <c r="L155" i="37" l="1"/>
  <c r="K154" i="25"/>
  <c r="N154" i="25"/>
  <c r="K155" i="37" l="1"/>
  <c r="N155" i="37"/>
  <c r="M154" i="25"/>
  <c r="O154" i="25"/>
  <c r="O155" i="37" l="1"/>
  <c r="M155" i="37"/>
  <c r="L155" i="25"/>
  <c r="L156" i="37" l="1"/>
  <c r="K155" i="25"/>
  <c r="N155" i="25"/>
  <c r="K156" i="37" l="1"/>
  <c r="N156" i="37"/>
  <c r="O155" i="25"/>
  <c r="M155" i="25"/>
  <c r="M156" i="37" l="1"/>
  <c r="O156" i="37"/>
  <c r="L156" i="25"/>
  <c r="L157" i="37" l="1"/>
  <c r="K156" i="25"/>
  <c r="N156" i="25"/>
  <c r="K157" i="37" l="1"/>
  <c r="N157" i="37"/>
  <c r="M156" i="25"/>
  <c r="O156" i="25"/>
  <c r="O157" i="37" l="1"/>
  <c r="M157" i="37"/>
  <c r="L157" i="25"/>
  <c r="L158" i="37" l="1"/>
  <c r="K157" i="25"/>
  <c r="N157" i="25"/>
  <c r="K158" i="37" l="1"/>
  <c r="N158" i="37"/>
  <c r="O157" i="25"/>
  <c r="M157" i="25"/>
  <c r="M158" i="37" l="1"/>
  <c r="O158" i="37"/>
  <c r="L158" i="25"/>
  <c r="L159" i="37" l="1"/>
  <c r="K158" i="25"/>
  <c r="N158" i="25"/>
  <c r="K159" i="37" l="1"/>
  <c r="N159" i="37"/>
  <c r="M158" i="25"/>
  <c r="O158" i="25"/>
  <c r="M159" i="37" l="1"/>
  <c r="O159" i="37"/>
  <c r="L159" i="25"/>
  <c r="L160" i="37" l="1"/>
  <c r="K159" i="25"/>
  <c r="N159" i="25"/>
  <c r="K160" i="37" l="1"/>
  <c r="N160" i="37"/>
  <c r="O159" i="25"/>
  <c r="M159" i="25"/>
  <c r="O160" i="37" l="1"/>
  <c r="M160" i="37"/>
  <c r="L160" i="25"/>
  <c r="L161" i="37" l="1"/>
  <c r="K160" i="25"/>
  <c r="N160" i="25"/>
  <c r="K161" i="37" l="1"/>
  <c r="N161" i="37"/>
  <c r="O160" i="25"/>
  <c r="M160" i="25"/>
  <c r="M161" i="37" l="1"/>
  <c r="O161" i="37"/>
  <c r="L161" i="25"/>
  <c r="L162" i="37" l="1"/>
  <c r="K161" i="25"/>
  <c r="N161" i="25"/>
  <c r="K162" i="37" l="1"/>
  <c r="N162" i="37"/>
  <c r="M161" i="25"/>
  <c r="O161" i="25"/>
  <c r="O162" i="37" l="1"/>
  <c r="M162" i="37"/>
  <c r="L162" i="25"/>
  <c r="L163" i="37" l="1"/>
  <c r="K162" i="25"/>
  <c r="N162" i="25"/>
  <c r="K163" i="37" l="1"/>
  <c r="N163" i="37"/>
  <c r="O162" i="25"/>
  <c r="M162" i="25"/>
  <c r="O163" i="37" l="1"/>
  <c r="M163" i="37"/>
  <c r="L163" i="25"/>
  <c r="L164" i="37" l="1"/>
  <c r="K163" i="25"/>
  <c r="N163" i="25"/>
  <c r="K164" i="37" l="1"/>
  <c r="N164" i="37"/>
  <c r="M163" i="25"/>
  <c r="O163" i="25"/>
  <c r="M164" i="37" l="1"/>
  <c r="O164" i="37"/>
  <c r="L164" i="25"/>
  <c r="L165" i="37" l="1"/>
  <c r="K164" i="25"/>
  <c r="N164" i="25"/>
  <c r="K165" i="37" l="1"/>
  <c r="N165" i="37"/>
  <c r="M164" i="25"/>
  <c r="O164" i="25"/>
  <c r="O165" i="37" l="1"/>
  <c r="M165" i="37"/>
  <c r="L165" i="25"/>
  <c r="L166" i="37" l="1"/>
  <c r="K165" i="25"/>
  <c r="N165" i="25"/>
  <c r="K166" i="37" l="1"/>
  <c r="N166" i="37"/>
  <c r="M165" i="25"/>
  <c r="O165" i="25"/>
  <c r="M166" i="37" l="1"/>
  <c r="O166" i="37"/>
  <c r="L166" i="25"/>
  <c r="L167" i="37" l="1"/>
  <c r="K166" i="25"/>
  <c r="N166" i="25"/>
  <c r="K167" i="37" l="1"/>
  <c r="N167" i="37"/>
  <c r="M166" i="25"/>
  <c r="O166" i="25"/>
  <c r="M167" i="37" l="1"/>
  <c r="O167" i="37"/>
  <c r="L167" i="25"/>
  <c r="L168" i="37" l="1"/>
  <c r="K167" i="25"/>
  <c r="N167" i="25"/>
  <c r="K168" i="37" l="1"/>
  <c r="N168" i="37"/>
  <c r="M167" i="25"/>
  <c r="O167" i="25"/>
  <c r="O168" i="37" l="1"/>
  <c r="M168" i="37"/>
  <c r="L168" i="25"/>
  <c r="L169" i="37" l="1"/>
  <c r="K168" i="25"/>
  <c r="N168" i="25"/>
  <c r="K169" i="37" l="1"/>
  <c r="N169" i="37"/>
  <c r="M168" i="25"/>
  <c r="O168" i="25"/>
  <c r="M169" i="37" l="1"/>
  <c r="O169" i="37"/>
  <c r="L169" i="25"/>
  <c r="L170" i="37" l="1"/>
  <c r="K169" i="25"/>
  <c r="N169" i="25"/>
  <c r="K170" i="37" l="1"/>
  <c r="N170" i="37"/>
  <c r="O169" i="25"/>
  <c r="M169" i="25"/>
  <c r="O170" i="37" l="1"/>
  <c r="M170" i="37"/>
  <c r="L170" i="25"/>
  <c r="L171" i="37" l="1"/>
  <c r="K170" i="25"/>
  <c r="N170" i="25"/>
  <c r="K171" i="37" l="1"/>
  <c r="N171" i="37"/>
  <c r="O170" i="25"/>
  <c r="M170" i="25"/>
  <c r="M171" i="37" l="1"/>
  <c r="O171" i="37"/>
  <c r="L171" i="25"/>
  <c r="L172" i="37" l="1"/>
  <c r="K171" i="25"/>
  <c r="N171" i="25"/>
  <c r="K172" i="37" l="1"/>
  <c r="N172" i="37"/>
  <c r="O171" i="25"/>
  <c r="M171" i="25"/>
  <c r="O172" i="37" l="1"/>
  <c r="M172" i="37"/>
  <c r="L172" i="25"/>
  <c r="L173" i="37" l="1"/>
  <c r="K172" i="25"/>
  <c r="N172" i="25"/>
  <c r="K173" i="37" l="1"/>
  <c r="N173" i="37"/>
  <c r="M172" i="25"/>
  <c r="O172" i="25"/>
  <c r="M173" i="37" l="1"/>
  <c r="O173" i="37"/>
  <c r="L173" i="25"/>
  <c r="L174" i="37" l="1"/>
  <c r="K173" i="25"/>
  <c r="N173" i="25"/>
  <c r="K174" i="37" l="1"/>
  <c r="N174" i="37"/>
  <c r="O173" i="25"/>
  <c r="M173" i="25"/>
  <c r="O174" i="37" l="1"/>
  <c r="M174" i="37"/>
  <c r="L174" i="25"/>
  <c r="L175" i="37" l="1"/>
  <c r="K174" i="25"/>
  <c r="N174" i="25"/>
  <c r="K175" i="37" l="1"/>
  <c r="N175" i="37"/>
  <c r="M174" i="25"/>
  <c r="O174" i="25"/>
  <c r="M175" i="37" l="1"/>
  <c r="O175" i="37"/>
  <c r="L175" i="25"/>
  <c r="L176" i="37" l="1"/>
  <c r="K175" i="25"/>
  <c r="N175" i="25"/>
  <c r="K176" i="37" l="1"/>
  <c r="N176" i="37"/>
  <c r="O175" i="25"/>
  <c r="M175" i="25"/>
  <c r="M176" i="37" l="1"/>
  <c r="O176" i="37"/>
  <c r="L176" i="25"/>
  <c r="L177" i="37" l="1"/>
  <c r="K176" i="25"/>
  <c r="N176" i="25"/>
  <c r="K177" i="37" l="1"/>
  <c r="N177" i="37"/>
  <c r="M176" i="25"/>
  <c r="O176" i="25"/>
  <c r="M177" i="37" l="1"/>
  <c r="O177" i="37"/>
  <c r="L177" i="25"/>
  <c r="L178" i="37" l="1"/>
  <c r="K177" i="25"/>
  <c r="N177" i="25"/>
  <c r="K178" i="37" l="1"/>
  <c r="N178" i="37"/>
  <c r="O177" i="25"/>
  <c r="M177" i="25"/>
  <c r="O178" i="37" l="1"/>
  <c r="M178" i="37"/>
  <c r="L178" i="25"/>
  <c r="L179" i="37" l="1"/>
  <c r="K178" i="25"/>
  <c r="N178" i="25"/>
  <c r="K179" i="37" l="1"/>
  <c r="N179" i="37"/>
  <c r="M178" i="25"/>
  <c r="O178" i="25"/>
  <c r="M179" i="37" l="1"/>
  <c r="O179" i="37"/>
  <c r="L179" i="25"/>
  <c r="L180" i="37" l="1"/>
  <c r="K179" i="25"/>
  <c r="N179" i="25"/>
  <c r="K180" i="37" l="1"/>
  <c r="N180" i="37"/>
  <c r="O179" i="25"/>
  <c r="M179" i="25"/>
  <c r="O180" i="37" l="1"/>
  <c r="M180" i="37"/>
  <c r="L180" i="25"/>
  <c r="L181" i="37" l="1"/>
  <c r="K180" i="25"/>
  <c r="N180" i="25"/>
  <c r="K181" i="37" l="1"/>
  <c r="N181" i="37"/>
  <c r="M180" i="25"/>
  <c r="O180" i="25"/>
  <c r="M181" i="37" l="1"/>
  <c r="O181" i="37"/>
  <c r="L181" i="25"/>
  <c r="L182" i="37" l="1"/>
  <c r="K181" i="25"/>
  <c r="N181" i="25"/>
  <c r="K182" i="37" l="1"/>
  <c r="N182" i="37"/>
  <c r="O181" i="25"/>
  <c r="M181" i="25"/>
  <c r="O182" i="37" l="1"/>
  <c r="M182" i="37"/>
  <c r="L182" i="25"/>
  <c r="L183" i="37" l="1"/>
  <c r="K182" i="25"/>
  <c r="N182" i="25"/>
  <c r="K183" i="37" l="1"/>
  <c r="N183" i="37"/>
  <c r="M182" i="25"/>
  <c r="O182" i="25"/>
  <c r="O183" i="37" l="1"/>
  <c r="M183" i="37"/>
  <c r="L183" i="25"/>
  <c r="L184" i="37" l="1"/>
  <c r="K183" i="25"/>
  <c r="N183" i="25"/>
  <c r="K184" i="37" l="1"/>
  <c r="N184" i="37"/>
  <c r="O183" i="25"/>
  <c r="M183" i="25"/>
  <c r="O184" i="37" l="1"/>
  <c r="M184" i="37"/>
  <c r="L184" i="25"/>
  <c r="L185" i="37" l="1"/>
  <c r="K184" i="25"/>
  <c r="N184" i="25"/>
  <c r="K185" i="37" l="1"/>
  <c r="N185" i="37"/>
  <c r="M184" i="25"/>
  <c r="O184" i="25"/>
  <c r="O185" i="37" l="1"/>
  <c r="M185" i="37"/>
  <c r="L185" i="25"/>
  <c r="L186" i="37" l="1"/>
  <c r="K185" i="25"/>
  <c r="N185" i="25"/>
  <c r="K186" i="37" l="1"/>
  <c r="N186" i="37"/>
  <c r="O185" i="25"/>
  <c r="M185" i="25"/>
  <c r="M186" i="37" l="1"/>
  <c r="O186" i="37"/>
  <c r="L186" i="25"/>
  <c r="L187" i="37" l="1"/>
  <c r="K186" i="25"/>
  <c r="N186" i="25"/>
  <c r="K187" i="37" l="1"/>
  <c r="N187" i="37"/>
  <c r="M186" i="25"/>
  <c r="O186" i="25"/>
  <c r="O187" i="37" l="1"/>
  <c r="M187" i="37"/>
  <c r="L187" i="25"/>
  <c r="L188" i="37" l="1"/>
  <c r="K187" i="25"/>
  <c r="N187" i="25"/>
  <c r="K188" i="37" l="1"/>
  <c r="N188" i="37"/>
  <c r="O187" i="25"/>
  <c r="M187" i="25"/>
  <c r="M188" i="37" l="1"/>
  <c r="O188" i="37"/>
  <c r="L188" i="25"/>
  <c r="L189" i="37" l="1"/>
  <c r="K188" i="25"/>
  <c r="N188" i="25"/>
  <c r="K189" i="37" l="1"/>
  <c r="N189" i="37"/>
  <c r="M188" i="25"/>
  <c r="O188" i="25"/>
  <c r="M189" i="37" l="1"/>
  <c r="O189" i="37"/>
  <c r="L189" i="25"/>
  <c r="L190" i="37" l="1"/>
  <c r="K189" i="25"/>
  <c r="N189" i="25"/>
  <c r="K190" i="37" l="1"/>
  <c r="N190" i="37"/>
  <c r="O189" i="25"/>
  <c r="M189" i="25"/>
  <c r="M190" i="37" l="1"/>
  <c r="O190" i="37"/>
  <c r="L190" i="25"/>
  <c r="L191" i="37" l="1"/>
  <c r="K190" i="25"/>
  <c r="N190" i="25"/>
  <c r="K191" i="37" l="1"/>
  <c r="N191" i="37"/>
  <c r="M190" i="25"/>
  <c r="O190" i="25"/>
  <c r="M191" i="37" l="1"/>
  <c r="O191" i="37"/>
  <c r="L191" i="25"/>
  <c r="L192" i="37" l="1"/>
  <c r="K191" i="25"/>
  <c r="N191" i="25"/>
  <c r="K192" i="37" l="1"/>
  <c r="N192" i="37"/>
  <c r="O191" i="25"/>
  <c r="M191" i="25"/>
  <c r="O192" i="37" l="1"/>
  <c r="M192" i="37"/>
  <c r="L192" i="25"/>
  <c r="L193" i="37" l="1"/>
  <c r="K192" i="25"/>
  <c r="N192" i="25"/>
  <c r="K193" i="37" l="1"/>
  <c r="N193" i="37"/>
  <c r="M192" i="25"/>
  <c r="O192" i="25"/>
  <c r="M193" i="37" l="1"/>
  <c r="O193" i="37"/>
  <c r="L193" i="25"/>
  <c r="L194" i="37" l="1"/>
  <c r="K193" i="25"/>
  <c r="N193" i="25"/>
  <c r="K194" i="37" l="1"/>
  <c r="N194" i="37"/>
  <c r="O193" i="25"/>
  <c r="M193" i="25"/>
  <c r="M194" i="37" l="1"/>
  <c r="O194" i="37"/>
  <c r="L194" i="25"/>
  <c r="L195" i="37" l="1"/>
  <c r="K194" i="25"/>
  <c r="N194" i="25"/>
  <c r="K195" i="37" l="1"/>
  <c r="N195" i="37"/>
  <c r="M194" i="25"/>
  <c r="O194" i="25"/>
  <c r="O195" i="37" l="1"/>
  <c r="M195" i="37"/>
  <c r="L195" i="25"/>
  <c r="L196" i="37" l="1"/>
  <c r="K195" i="25"/>
  <c r="N195" i="25"/>
  <c r="K196" i="37" l="1"/>
  <c r="N196" i="37"/>
  <c r="O195" i="25"/>
  <c r="M195" i="25"/>
  <c r="O196" i="37" l="1"/>
  <c r="M196" i="37"/>
  <c r="L196" i="25"/>
  <c r="L197" i="37" l="1"/>
  <c r="K196" i="25"/>
  <c r="N196" i="25"/>
  <c r="K197" i="37" l="1"/>
  <c r="N197" i="37"/>
  <c r="M196" i="25"/>
  <c r="O196" i="25"/>
  <c r="M197" i="37" l="1"/>
  <c r="O197" i="37"/>
  <c r="L197" i="25"/>
  <c r="L198" i="37" l="1"/>
  <c r="K197" i="25"/>
  <c r="N197" i="25"/>
  <c r="K198" i="37" l="1"/>
  <c r="N198" i="37"/>
  <c r="O197" i="25"/>
  <c r="M197" i="25"/>
  <c r="O198" i="37" l="1"/>
  <c r="M198" i="37"/>
  <c r="L198" i="25"/>
  <c r="L199" i="37" l="1"/>
  <c r="K198" i="25"/>
  <c r="N198" i="25"/>
  <c r="K199" i="37" l="1"/>
  <c r="N199" i="37"/>
  <c r="M198" i="25"/>
  <c r="O198" i="25"/>
  <c r="M199" i="37" l="1"/>
  <c r="O199" i="37"/>
  <c r="L199" i="25"/>
  <c r="L200" i="37" l="1"/>
  <c r="K199" i="25"/>
  <c r="N199" i="25"/>
  <c r="K200" i="37" l="1"/>
  <c r="N200" i="37"/>
  <c r="O199" i="25"/>
  <c r="M199" i="25"/>
  <c r="M200" i="37" l="1"/>
  <c r="O200" i="37"/>
  <c r="L200" i="25"/>
  <c r="L201" i="37" l="1"/>
  <c r="K200" i="25"/>
  <c r="N200" i="25"/>
  <c r="K201" i="37" l="1"/>
  <c r="N201" i="37"/>
  <c r="M200" i="25"/>
  <c r="O200" i="25"/>
  <c r="M201" i="37" l="1"/>
  <c r="O201" i="37"/>
  <c r="L201" i="25"/>
  <c r="L202" i="37" l="1"/>
  <c r="K201" i="25"/>
  <c r="N201" i="25"/>
  <c r="K202" i="37" l="1"/>
  <c r="N202" i="37"/>
  <c r="O201" i="25"/>
  <c r="M201" i="25"/>
  <c r="O202" i="37" l="1"/>
  <c r="M202" i="37"/>
  <c r="L202" i="25"/>
  <c r="L203" i="37" l="1"/>
  <c r="K202" i="25"/>
  <c r="N202" i="25"/>
  <c r="K203" i="37" l="1"/>
  <c r="N203" i="37"/>
  <c r="M202" i="25"/>
  <c r="O202" i="25"/>
  <c r="M203" i="37" l="1"/>
  <c r="O203" i="37"/>
  <c r="L203" i="25"/>
  <c r="L204" i="37" l="1"/>
  <c r="K203" i="25"/>
  <c r="N203" i="25"/>
  <c r="K204" i="37" l="1"/>
  <c r="N204" i="37"/>
  <c r="O203" i="25"/>
  <c r="M203" i="25"/>
  <c r="M204" i="37" l="1"/>
  <c r="O204" i="37"/>
  <c r="L204" i="25"/>
  <c r="L205" i="37" l="1"/>
  <c r="K204" i="25"/>
  <c r="N204" i="25"/>
  <c r="K205" i="37" l="1"/>
  <c r="N205" i="37"/>
  <c r="M204" i="25"/>
  <c r="O204" i="25"/>
  <c r="O205" i="37" l="1"/>
  <c r="M205" i="37"/>
  <c r="L205" i="25"/>
  <c r="L206" i="37" l="1"/>
  <c r="K205" i="25"/>
  <c r="N205" i="25"/>
  <c r="K206" i="37" l="1"/>
  <c r="N206" i="37"/>
  <c r="O205" i="25"/>
  <c r="M205" i="25"/>
  <c r="O206" i="37" l="1"/>
  <c r="M206" i="37"/>
  <c r="L206" i="25"/>
  <c r="L207" i="37" l="1"/>
  <c r="K206" i="25"/>
  <c r="N206" i="25"/>
  <c r="K207" i="37" l="1"/>
  <c r="N207" i="37"/>
  <c r="M206" i="25"/>
  <c r="O206" i="25"/>
  <c r="M207" i="37" l="1"/>
  <c r="O207" i="37"/>
  <c r="L207" i="25"/>
  <c r="L208" i="37" l="1"/>
  <c r="K207" i="25"/>
  <c r="N207" i="25"/>
  <c r="K208" i="37" l="1"/>
  <c r="N208" i="37"/>
  <c r="O207" i="25"/>
  <c r="M207" i="25"/>
  <c r="O208" i="37" l="1"/>
  <c r="M208" i="37"/>
  <c r="L208" i="25"/>
  <c r="L209" i="37" l="1"/>
  <c r="K208" i="25"/>
  <c r="N208" i="25"/>
  <c r="K209" i="37" l="1"/>
  <c r="N209" i="37"/>
  <c r="M208" i="25"/>
  <c r="O208" i="25"/>
  <c r="M209" i="37" l="1"/>
  <c r="O209" i="37"/>
  <c r="L209" i="25"/>
  <c r="L210" i="37" l="1"/>
  <c r="K209" i="25"/>
  <c r="N209" i="25"/>
  <c r="K210" i="37" l="1"/>
  <c r="N210" i="37"/>
  <c r="O209" i="25"/>
  <c r="M209" i="25"/>
  <c r="O210" i="37" l="1"/>
  <c r="M210" i="37"/>
  <c r="L210" i="25"/>
  <c r="L211" i="37" l="1"/>
  <c r="K210" i="25"/>
  <c r="N210" i="25"/>
  <c r="K211" i="37" l="1"/>
  <c r="N211" i="37"/>
  <c r="M210" i="25"/>
  <c r="O210" i="25"/>
  <c r="O211" i="37" l="1"/>
  <c r="M211" i="37"/>
  <c r="L211" i="25"/>
  <c r="L212" i="37" l="1"/>
  <c r="K211" i="25"/>
  <c r="N211" i="25"/>
  <c r="K212" i="37" l="1"/>
  <c r="N212" i="37"/>
  <c r="O211" i="25"/>
  <c r="M211" i="25"/>
  <c r="M212" i="37" l="1"/>
  <c r="O212" i="37"/>
  <c r="L212" i="25"/>
  <c r="L213" i="37" l="1"/>
  <c r="K212" i="25"/>
  <c r="N212" i="25"/>
  <c r="K213" i="37" l="1"/>
  <c r="N213" i="37"/>
  <c r="M212" i="25"/>
  <c r="O212" i="25"/>
  <c r="O213" i="37" l="1"/>
  <c r="M213" i="37"/>
  <c r="L213" i="25"/>
  <c r="L214" i="37" l="1"/>
  <c r="K213" i="25"/>
  <c r="N213" i="25"/>
  <c r="K214" i="37" l="1"/>
  <c r="N214" i="37"/>
  <c r="O213" i="25"/>
  <c r="M213" i="25"/>
  <c r="O214" i="37" l="1"/>
  <c r="M214" i="37"/>
  <c r="L214" i="25"/>
  <c r="L215" i="37" l="1"/>
  <c r="K214" i="25"/>
  <c r="N214" i="25"/>
  <c r="K215" i="37" l="1"/>
  <c r="N215" i="37"/>
  <c r="M214" i="25"/>
  <c r="O214" i="25"/>
  <c r="M215" i="37" l="1"/>
  <c r="O215" i="37"/>
  <c r="L215" i="25"/>
  <c r="L216" i="37" l="1"/>
  <c r="K215" i="25"/>
  <c r="N215" i="25"/>
  <c r="K216" i="37" l="1"/>
  <c r="N216" i="37"/>
  <c r="O215" i="25"/>
  <c r="M215" i="25"/>
  <c r="O216" i="37" l="1"/>
  <c r="M216" i="37"/>
  <c r="L216" i="25"/>
  <c r="L217" i="37" l="1"/>
  <c r="K216" i="25"/>
  <c r="N216" i="25"/>
  <c r="K217" i="37" l="1"/>
  <c r="N217" i="37"/>
  <c r="M216" i="25"/>
  <c r="O216" i="25"/>
  <c r="M217" i="37" l="1"/>
  <c r="O217" i="37"/>
  <c r="L217" i="25"/>
  <c r="L218" i="37" l="1"/>
  <c r="K217" i="25"/>
  <c r="N217" i="25"/>
  <c r="K218" i="37" l="1"/>
  <c r="N218" i="37"/>
  <c r="O217" i="25"/>
  <c r="M217" i="25"/>
  <c r="O218" i="37" l="1"/>
  <c r="M218" i="37"/>
  <c r="L218" i="25"/>
  <c r="L219" i="37" l="1"/>
  <c r="K218" i="25"/>
  <c r="N218" i="25"/>
  <c r="K219" i="37" l="1"/>
  <c r="N219" i="37"/>
  <c r="M218" i="25"/>
  <c r="O218" i="25"/>
  <c r="M219" i="37" l="1"/>
  <c r="O219" i="37"/>
  <c r="L219" i="25"/>
  <c r="L220" i="37" l="1"/>
  <c r="K219" i="25"/>
  <c r="N219" i="25"/>
  <c r="K220" i="37" l="1"/>
  <c r="N220" i="37"/>
  <c r="O219" i="25"/>
  <c r="M219" i="25"/>
  <c r="O220" i="37" l="1"/>
  <c r="M220" i="37"/>
  <c r="L220" i="25"/>
  <c r="L221" i="37" l="1"/>
  <c r="K220" i="25"/>
  <c r="N220" i="25"/>
  <c r="K221" i="37" l="1"/>
  <c r="N221" i="37"/>
  <c r="M220" i="25"/>
  <c r="O220" i="25"/>
  <c r="M221" i="37" l="1"/>
  <c r="O221" i="37"/>
  <c r="L221" i="25"/>
  <c r="L222" i="37" l="1"/>
  <c r="K221" i="25"/>
  <c r="N221" i="25"/>
  <c r="K222" i="37" l="1"/>
  <c r="N222" i="37"/>
  <c r="O221" i="25"/>
  <c r="M221" i="25"/>
  <c r="O222" i="37" l="1"/>
  <c r="M222" i="37"/>
  <c r="L222" i="25"/>
  <c r="L223" i="37" l="1"/>
  <c r="K222" i="25"/>
  <c r="N222" i="25"/>
  <c r="K223" i="37" l="1"/>
  <c r="N223" i="37"/>
  <c r="M222" i="25"/>
  <c r="O222" i="25"/>
  <c r="M223" i="37" l="1"/>
  <c r="O223" i="37"/>
  <c r="L223" i="25"/>
  <c r="L224" i="37" l="1"/>
  <c r="K223" i="25"/>
  <c r="N223" i="25"/>
  <c r="K224" i="37" l="1"/>
  <c r="N224" i="37"/>
  <c r="O223" i="25"/>
  <c r="M223" i="25"/>
  <c r="O224" i="37" l="1"/>
  <c r="M224" i="37"/>
  <c r="L224" i="25"/>
  <c r="L225" i="37" l="1"/>
  <c r="K224" i="25"/>
  <c r="N224" i="25"/>
  <c r="K225" i="37" l="1"/>
  <c r="N225" i="37"/>
  <c r="M224" i="25"/>
  <c r="O224" i="25"/>
  <c r="M225" i="37" l="1"/>
  <c r="O225" i="37"/>
  <c r="L225" i="25"/>
  <c r="L226" i="37" l="1"/>
  <c r="K225" i="25"/>
  <c r="N225" i="25"/>
  <c r="K226" i="37" l="1"/>
  <c r="N226" i="37"/>
  <c r="O225" i="25"/>
  <c r="M225" i="25"/>
  <c r="O226" i="37" l="1"/>
  <c r="M226" i="37"/>
  <c r="L226" i="25"/>
  <c r="L227" i="37" l="1"/>
  <c r="K226" i="25"/>
  <c r="N226" i="25"/>
  <c r="K227" i="37" l="1"/>
  <c r="N227" i="37"/>
  <c r="M226" i="25"/>
  <c r="O226" i="25"/>
  <c r="M227" i="37" l="1"/>
  <c r="O227" i="37"/>
  <c r="L227" i="25"/>
  <c r="L228" i="37" l="1"/>
  <c r="K227" i="25"/>
  <c r="N227" i="25"/>
  <c r="K228" i="37" l="1"/>
  <c r="N228" i="37"/>
  <c r="O227" i="25"/>
  <c r="M227" i="25"/>
  <c r="O228" i="37" l="1"/>
  <c r="M228" i="37"/>
  <c r="L228" i="25"/>
  <c r="L229" i="37" l="1"/>
  <c r="K228" i="25"/>
  <c r="N228" i="25"/>
  <c r="K229" i="37" l="1"/>
  <c r="N229" i="37"/>
  <c r="M228" i="25"/>
  <c r="O228" i="25"/>
  <c r="M229" i="37" l="1"/>
  <c r="O229" i="37"/>
  <c r="L229" i="25"/>
  <c r="L230" i="37" l="1"/>
  <c r="K229" i="25"/>
  <c r="N229" i="25"/>
  <c r="K230" i="37" l="1"/>
  <c r="N230" i="37"/>
  <c r="O229" i="25"/>
  <c r="M229" i="25"/>
  <c r="O230" i="37" l="1"/>
  <c r="M230" i="37"/>
  <c r="L230" i="25"/>
  <c r="L231" i="37" l="1"/>
  <c r="K230" i="25"/>
  <c r="N230" i="25"/>
  <c r="K231" i="37" l="1"/>
  <c r="N231" i="37"/>
  <c r="M230" i="25"/>
  <c r="O230" i="25"/>
  <c r="M231" i="37" l="1"/>
  <c r="O231" i="37"/>
  <c r="L231" i="25"/>
  <c r="L232" i="37" l="1"/>
  <c r="K231" i="25"/>
  <c r="N231" i="25"/>
  <c r="K232" i="37" l="1"/>
  <c r="N232" i="37"/>
  <c r="O231" i="25"/>
  <c r="M231" i="25"/>
  <c r="O232" i="37" l="1"/>
  <c r="M232" i="37"/>
  <c r="L232" i="25"/>
  <c r="L233" i="37" l="1"/>
  <c r="K232" i="25"/>
  <c r="N232" i="25"/>
  <c r="K233" i="37" l="1"/>
  <c r="N233" i="37"/>
  <c r="M232" i="25"/>
  <c r="O232" i="25"/>
  <c r="M233" i="37" l="1"/>
  <c r="O233" i="37"/>
  <c r="L233" i="25"/>
  <c r="L234" i="37" l="1"/>
  <c r="K233" i="25"/>
  <c r="N233" i="25"/>
  <c r="K234" i="37" l="1"/>
  <c r="N234" i="37"/>
  <c r="O233" i="25"/>
  <c r="M233" i="25"/>
  <c r="O234" i="37" l="1"/>
  <c r="M234" i="37"/>
  <c r="L234" i="25"/>
  <c r="L235" i="37" l="1"/>
  <c r="K234" i="25"/>
  <c r="N234" i="25"/>
  <c r="K235" i="37" l="1"/>
  <c r="N235" i="37"/>
  <c r="M234" i="25"/>
  <c r="O234" i="25"/>
  <c r="M235" i="37" l="1"/>
  <c r="O235" i="37"/>
  <c r="L235" i="25"/>
  <c r="L236" i="37" l="1"/>
  <c r="K235" i="25"/>
  <c r="N235" i="25"/>
  <c r="K236" i="37" l="1"/>
  <c r="N236" i="37"/>
  <c r="O235" i="25"/>
  <c r="M235" i="25"/>
  <c r="O236" i="37" l="1"/>
  <c r="M236" i="37"/>
  <c r="L236" i="25"/>
  <c r="L237" i="37" l="1"/>
  <c r="K236" i="25"/>
  <c r="N236" i="25"/>
  <c r="K237" i="37" l="1"/>
  <c r="N237" i="37"/>
  <c r="M236" i="25"/>
  <c r="O236" i="25"/>
  <c r="M237" i="37" l="1"/>
  <c r="O237" i="37"/>
  <c r="L237" i="25"/>
  <c r="L238" i="37" l="1"/>
  <c r="K237" i="25"/>
  <c r="N237" i="25"/>
  <c r="K238" i="37" l="1"/>
  <c r="N238" i="37"/>
  <c r="O237" i="25"/>
  <c r="M237" i="25"/>
  <c r="O238" i="37" l="1"/>
  <c r="M238" i="37"/>
  <c r="L238" i="25"/>
  <c r="L239" i="37" l="1"/>
  <c r="K238" i="25"/>
  <c r="N238" i="25"/>
  <c r="K239" i="37" l="1"/>
  <c r="N239" i="37"/>
  <c r="O238" i="25"/>
  <c r="M238" i="25"/>
  <c r="M239" i="37" l="1"/>
  <c r="O239" i="37"/>
  <c r="L239" i="25"/>
  <c r="L240" i="37" l="1"/>
  <c r="K239" i="25"/>
  <c r="N239" i="25"/>
  <c r="K240" i="37" l="1"/>
  <c r="N240" i="37"/>
  <c r="M239" i="25"/>
  <c r="O239" i="25"/>
  <c r="O240" i="37" l="1"/>
  <c r="M240" i="37"/>
  <c r="L240" i="25"/>
  <c r="L241" i="37" l="1"/>
  <c r="K240" i="25"/>
  <c r="N240" i="25"/>
  <c r="K241" i="37" l="1"/>
  <c r="N241" i="37"/>
  <c r="O240" i="25"/>
  <c r="M240" i="25"/>
  <c r="O241" i="37" l="1"/>
  <c r="M241" i="37"/>
  <c r="L241" i="25"/>
  <c r="L242" i="37" l="1"/>
  <c r="K241" i="25"/>
  <c r="N241" i="25"/>
  <c r="K242" i="37" l="1"/>
  <c r="N242" i="37"/>
  <c r="O241" i="25"/>
  <c r="M241" i="25"/>
  <c r="O242" i="37" l="1"/>
  <c r="M242" i="37"/>
  <c r="L242" i="25"/>
  <c r="L243" i="37" l="1"/>
  <c r="K242" i="25"/>
  <c r="N242" i="25"/>
  <c r="K243" i="37" l="1"/>
  <c r="N243" i="37"/>
  <c r="M242" i="25"/>
  <c r="O242" i="25"/>
  <c r="O243" i="37" l="1"/>
  <c r="M243" i="37"/>
  <c r="L243" i="25"/>
  <c r="L244" i="37" l="1"/>
  <c r="K243" i="25"/>
  <c r="N243" i="25"/>
  <c r="K244" i="37" l="1"/>
  <c r="N244" i="37"/>
  <c r="O243" i="25"/>
  <c r="M243" i="25"/>
  <c r="M244" i="37" l="1"/>
  <c r="O244" i="37"/>
  <c r="L244" i="25"/>
  <c r="L245" i="37" l="1"/>
  <c r="K244" i="25"/>
  <c r="N244" i="25"/>
  <c r="K245" i="37" l="1"/>
  <c r="N245" i="37"/>
  <c r="O244" i="25"/>
  <c r="M244" i="25"/>
  <c r="M245" i="37" l="1"/>
  <c r="O245" i="37"/>
  <c r="L245" i="25"/>
  <c r="L246" i="37" l="1"/>
  <c r="K245" i="25"/>
  <c r="N245" i="25"/>
  <c r="K246" i="37" l="1"/>
  <c r="N246" i="37"/>
  <c r="M245" i="25"/>
  <c r="O245" i="25"/>
  <c r="O246" i="37" l="1"/>
  <c r="M246" i="37"/>
  <c r="L246" i="25"/>
  <c r="L247" i="37" l="1"/>
  <c r="K246" i="25"/>
  <c r="N246" i="25"/>
  <c r="K247" i="37" l="1"/>
  <c r="N247" i="37"/>
  <c r="O246" i="25"/>
  <c r="M246" i="25"/>
  <c r="M247" i="37" l="1"/>
  <c r="O247" i="37"/>
  <c r="L247" i="25"/>
  <c r="L248" i="37" l="1"/>
  <c r="K247" i="25"/>
  <c r="N247" i="25"/>
  <c r="K248" i="37" l="1"/>
  <c r="N248" i="37"/>
  <c r="O247" i="25"/>
  <c r="M247" i="25"/>
  <c r="O248" i="37" l="1"/>
  <c r="M248" i="37"/>
  <c r="L248" i="25"/>
  <c r="L249" i="37" l="1"/>
  <c r="K248" i="25"/>
  <c r="N248" i="25"/>
  <c r="K249" i="37" l="1"/>
  <c r="N249" i="37"/>
  <c r="M248" i="25"/>
  <c r="O248" i="25"/>
  <c r="M249" i="37" l="1"/>
  <c r="O249" i="37"/>
  <c r="L249" i="25"/>
  <c r="K249" i="25" l="1"/>
  <c r="N249" i="25"/>
  <c r="O249" i="25" l="1"/>
  <c r="M249" i="25"/>
  <c r="M5" i="6" l="1"/>
  <c r="C31" i="5"/>
  <c r="C30" i="5"/>
  <c r="D10" i="6"/>
  <c r="M11" i="6" s="1"/>
  <c r="D11" i="6"/>
  <c r="C5" i="6"/>
  <c r="L5" i="6" s="1"/>
  <c r="C4" i="6"/>
  <c r="L4" i="6" s="1"/>
  <c r="J2" i="6"/>
  <c r="A2" i="6"/>
  <c r="F29" i="5" l="1"/>
  <c r="V9" i="5"/>
  <c r="AA20" i="5"/>
  <c r="AA21" i="5"/>
  <c r="C36" i="5" s="1"/>
  <c r="AA19" i="5"/>
  <c r="Z19" i="5"/>
  <c r="X20" i="5"/>
  <c r="Z20" i="5" s="1"/>
  <c r="Z22" i="5" s="1"/>
  <c r="X21" i="5"/>
  <c r="Z21" i="5" s="1"/>
  <c r="X19" i="5"/>
  <c r="N4" i="5"/>
  <c r="I9" i="5"/>
  <c r="I12" i="5"/>
  <c r="C44" i="1"/>
  <c r="C43" i="1"/>
  <c r="C42" i="1"/>
  <c r="C41" i="1"/>
  <c r="B44" i="1"/>
  <c r="B42" i="1"/>
  <c r="B43" i="1"/>
  <c r="B41" i="1"/>
  <c r="AE21" i="1"/>
  <c r="AT26" i="1"/>
  <c r="AT29" i="1"/>
  <c r="AT32" i="1"/>
  <c r="AT34" i="1"/>
  <c r="AT35" i="1"/>
  <c r="AT36" i="1"/>
  <c r="AS26" i="1"/>
  <c r="AS29" i="1"/>
  <c r="AS32" i="1"/>
  <c r="AS34" i="1"/>
  <c r="AS35" i="1"/>
  <c r="AS36" i="1"/>
  <c r="AR26" i="1"/>
  <c r="AR29" i="1"/>
  <c r="AR32" i="1"/>
  <c r="AR34" i="1"/>
  <c r="AR35" i="1"/>
  <c r="AR36" i="1"/>
  <c r="AR24" i="1"/>
  <c r="AQ26" i="1"/>
  <c r="AQ29" i="1"/>
  <c r="AQ32" i="1"/>
  <c r="AQ34" i="1"/>
  <c r="AQ35" i="1"/>
  <c r="AQ36" i="1"/>
  <c r="AQ24" i="1"/>
  <c r="AP26" i="1"/>
  <c r="AP29" i="1"/>
  <c r="AP32" i="1"/>
  <c r="AP34" i="1"/>
  <c r="AP35" i="1"/>
  <c r="AP36" i="1"/>
  <c r="AP24" i="1"/>
  <c r="AO26" i="1"/>
  <c r="AO29" i="1"/>
  <c r="AO32" i="1"/>
  <c r="AO34" i="1"/>
  <c r="AO35" i="1"/>
  <c r="AO36" i="1"/>
  <c r="AO24" i="1"/>
  <c r="AN26" i="1"/>
  <c r="AN29" i="1"/>
  <c r="AN32" i="1"/>
  <c r="AN34" i="1"/>
  <c r="AN35" i="1"/>
  <c r="AN36" i="1"/>
  <c r="AM26" i="1"/>
  <c r="AM29" i="1"/>
  <c r="AM32" i="1"/>
  <c r="AM34" i="1"/>
  <c r="AM35" i="1"/>
  <c r="AM36" i="1"/>
  <c r="AL26" i="1"/>
  <c r="AL29" i="1"/>
  <c r="AL32" i="1"/>
  <c r="AL34" i="1"/>
  <c r="AL35" i="1"/>
  <c r="AL36" i="1"/>
  <c r="AL24" i="1"/>
  <c r="AK26" i="1"/>
  <c r="AK29" i="1"/>
  <c r="AK32" i="1"/>
  <c r="AK34" i="1"/>
  <c r="AK35" i="1"/>
  <c r="AK36" i="1"/>
  <c r="AJ26" i="1"/>
  <c r="AJ29" i="1"/>
  <c r="AJ32" i="1"/>
  <c r="AJ34" i="1"/>
  <c r="AJ35" i="1"/>
  <c r="AJ36" i="1"/>
  <c r="AI26" i="1"/>
  <c r="AU26" i="1" s="1"/>
  <c r="AI29" i="1"/>
  <c r="AU29" i="1" s="1"/>
  <c r="AI32" i="1"/>
  <c r="AU32" i="1" s="1"/>
  <c r="AI34" i="1"/>
  <c r="AU34" i="1" s="1"/>
  <c r="AI35" i="1"/>
  <c r="AU35" i="1" s="1"/>
  <c r="AI36" i="1"/>
  <c r="AU36" i="1" s="1"/>
  <c r="AE25" i="1"/>
  <c r="AE26" i="1"/>
  <c r="AE27" i="1"/>
  <c r="AE28" i="1"/>
  <c r="AE29" i="1"/>
  <c r="AE30" i="1"/>
  <c r="AE31" i="1"/>
  <c r="AE32" i="1"/>
  <c r="AE35" i="1"/>
  <c r="AE36" i="1"/>
  <c r="AE24" i="1"/>
  <c r="T37" i="1"/>
  <c r="U37" i="1"/>
  <c r="V37" i="1"/>
  <c r="W37" i="1"/>
  <c r="X37" i="1"/>
  <c r="Y37" i="1"/>
  <c r="Z37" i="1"/>
  <c r="AA37" i="1"/>
  <c r="AB37" i="1"/>
  <c r="AC37" i="1"/>
  <c r="AD37" i="1"/>
  <c r="S34" i="1"/>
  <c r="AE34" i="1" s="1"/>
  <c r="S33" i="1"/>
  <c r="AE33" i="1" s="1"/>
  <c r="S25" i="1"/>
  <c r="S24" i="1"/>
  <c r="C24" i="1"/>
  <c r="O24" i="1" s="1"/>
  <c r="AU10" i="1"/>
  <c r="AU13" i="1"/>
  <c r="AU16" i="1"/>
  <c r="AU18" i="1"/>
  <c r="AU19" i="1"/>
  <c r="AU20" i="1"/>
  <c r="AI8" i="1"/>
  <c r="AI24" i="1" s="1"/>
  <c r="AU24" i="1" s="1"/>
  <c r="AJ8" i="1"/>
  <c r="AJ24" i="1" s="1"/>
  <c r="AK8" i="1"/>
  <c r="AK24" i="1" s="1"/>
  <c r="AL8" i="1"/>
  <c r="AM8" i="1"/>
  <c r="AM24" i="1" s="1"/>
  <c r="AN8" i="1"/>
  <c r="AN24" i="1" s="1"/>
  <c r="AO8" i="1"/>
  <c r="AP8" i="1"/>
  <c r="AQ8" i="1"/>
  <c r="AR8" i="1"/>
  <c r="AS8" i="1"/>
  <c r="AS24" i="1" s="1"/>
  <c r="AT8" i="1"/>
  <c r="AT24" i="1" s="1"/>
  <c r="AS20" i="3"/>
  <c r="AT20" i="3"/>
  <c r="AS19" i="3"/>
  <c r="AT19" i="3"/>
  <c r="AR20" i="3"/>
  <c r="AU20" i="3" s="1"/>
  <c r="AR19" i="3"/>
  <c r="I15" i="5" s="1"/>
  <c r="AS18" i="3"/>
  <c r="AT18" i="3"/>
  <c r="AR18" i="3"/>
  <c r="I14" i="5" s="1"/>
  <c r="AS16" i="3"/>
  <c r="AT16" i="3"/>
  <c r="AR16" i="3"/>
  <c r="AS13" i="3"/>
  <c r="AT13" i="3"/>
  <c r="AR13" i="3"/>
  <c r="AS10" i="3"/>
  <c r="AT10" i="3"/>
  <c r="AR10" i="3"/>
  <c r="I6" i="5" s="1"/>
  <c r="AN18" i="3"/>
  <c r="AM20" i="3"/>
  <c r="AN20" i="3"/>
  <c r="AL20" i="3"/>
  <c r="AM19" i="3"/>
  <c r="AN19" i="3"/>
  <c r="AL19" i="3"/>
  <c r="AU19" i="3" s="1"/>
  <c r="AM18" i="3"/>
  <c r="AL18" i="3"/>
  <c r="AJ16" i="3"/>
  <c r="AK16" i="3"/>
  <c r="AI16" i="3"/>
  <c r="AJ13" i="3"/>
  <c r="AK13" i="3"/>
  <c r="AI13" i="3"/>
  <c r="AU13" i="3" s="1"/>
  <c r="AJ10" i="3"/>
  <c r="AK10" i="3"/>
  <c r="AI10" i="3"/>
  <c r="AU10" i="3" s="1"/>
  <c r="AC20" i="3"/>
  <c r="AD20" i="3"/>
  <c r="AB20" i="3"/>
  <c r="AC19" i="3"/>
  <c r="AD19" i="3"/>
  <c r="AB19" i="3"/>
  <c r="AC18" i="3"/>
  <c r="AD18" i="3"/>
  <c r="AB18" i="3"/>
  <c r="AC16" i="3"/>
  <c r="AD16" i="3"/>
  <c r="AB16" i="3"/>
  <c r="AC13" i="3"/>
  <c r="AD13" i="3"/>
  <c r="AB13" i="3"/>
  <c r="AC10" i="3"/>
  <c r="AD10" i="3"/>
  <c r="AB10" i="3"/>
  <c r="X20" i="3"/>
  <c r="X19" i="3"/>
  <c r="W20" i="3"/>
  <c r="W19" i="3"/>
  <c r="W18" i="3"/>
  <c r="V19" i="3"/>
  <c r="AE19" i="3" s="1"/>
  <c r="V20" i="3"/>
  <c r="V18" i="3"/>
  <c r="X18" i="3"/>
  <c r="U16" i="3"/>
  <c r="T16" i="3"/>
  <c r="S16" i="3"/>
  <c r="U13" i="3"/>
  <c r="T13" i="3"/>
  <c r="S13" i="3"/>
  <c r="U10" i="3"/>
  <c r="T10" i="3"/>
  <c r="S10" i="3"/>
  <c r="W33" i="5"/>
  <c r="C10" i="6" l="1"/>
  <c r="AE37" i="1"/>
  <c r="S37" i="1"/>
  <c r="AU18" i="3"/>
  <c r="AU8" i="1"/>
  <c r="AU16" i="3"/>
  <c r="I16" i="5"/>
  <c r="AE20" i="3"/>
  <c r="AE18" i="3"/>
  <c r="AE16" i="3"/>
  <c r="AE13" i="3"/>
  <c r="AE10" i="3"/>
  <c r="F5" i="4"/>
  <c r="F6" i="4"/>
  <c r="F7" i="4"/>
  <c r="F8" i="4"/>
  <c r="F9" i="4"/>
  <c r="F10" i="4"/>
  <c r="F11" i="4"/>
  <c r="F12" i="4"/>
  <c r="F13" i="4"/>
  <c r="F14" i="4"/>
  <c r="F15" i="4"/>
  <c r="F16" i="4"/>
  <c r="F4" i="4"/>
  <c r="D5" i="4"/>
  <c r="D6" i="4"/>
  <c r="D7" i="4"/>
  <c r="D8" i="4"/>
  <c r="D9" i="4"/>
  <c r="D10" i="4"/>
  <c r="D11" i="4"/>
  <c r="D12" i="4"/>
  <c r="D13" i="4"/>
  <c r="D14" i="4"/>
  <c r="D15" i="4"/>
  <c r="D16" i="4"/>
  <c r="D4" i="4"/>
  <c r="E15" i="4"/>
  <c r="C17" i="23" s="1"/>
  <c r="E16" i="4"/>
  <c r="C18" i="23" s="1"/>
  <c r="E14" i="4"/>
  <c r="C16" i="23" s="1"/>
  <c r="E17" i="23" l="1"/>
  <c r="G17" i="23"/>
  <c r="I17" i="23" s="1"/>
  <c r="E16" i="23"/>
  <c r="G16" i="23"/>
  <c r="E18" i="23"/>
  <c r="G18" i="23"/>
  <c r="I18" i="23" s="1"/>
  <c r="C76" i="24"/>
  <c r="D76" i="24" s="1"/>
  <c r="B64" i="27" s="1"/>
  <c r="C65" i="27" s="1"/>
  <c r="C80" i="36"/>
  <c r="D80" i="36" s="1"/>
  <c r="B64" i="46" s="1"/>
  <c r="C65" i="46" s="1"/>
  <c r="L11" i="6"/>
  <c r="G14" i="4"/>
  <c r="G16" i="4"/>
  <c r="G15" i="4"/>
  <c r="J18" i="23" l="1"/>
  <c r="D16" i="34"/>
  <c r="L18" i="23"/>
  <c r="M18" i="23" s="1"/>
  <c r="H18" i="23"/>
  <c r="L16" i="23"/>
  <c r="M16" i="23" s="1"/>
  <c r="H16" i="23"/>
  <c r="J17" i="23"/>
  <c r="D15" i="34"/>
  <c r="I16" i="23"/>
  <c r="G19" i="23"/>
  <c r="L17" i="23"/>
  <c r="M17" i="23" s="1"/>
  <c r="H17" i="23"/>
  <c r="A24" i="3" a="1"/>
  <c r="A24" i="3" s="1"/>
  <c r="Q24" i="3" s="1"/>
  <c r="AG24" i="3" s="1"/>
  <c r="G23" i="1"/>
  <c r="D23" i="1"/>
  <c r="K32" i="3" l="1"/>
  <c r="I36" i="3"/>
  <c r="J26" i="3"/>
  <c r="Q29" i="3"/>
  <c r="H26" i="3"/>
  <c r="D35" i="3"/>
  <c r="G29" i="3"/>
  <c r="K12" i="32"/>
  <c r="E36" i="3"/>
  <c r="I26" i="3"/>
  <c r="K35" i="3"/>
  <c r="Q28" i="3"/>
  <c r="AG28" i="3" s="1"/>
  <c r="G32" i="3"/>
  <c r="Q27" i="3"/>
  <c r="AG27" i="3" s="1"/>
  <c r="F26" i="3"/>
  <c r="E35" i="3"/>
  <c r="Q25" i="3"/>
  <c r="AG25" i="3" s="1"/>
  <c r="K13" i="32"/>
  <c r="H29" i="3"/>
  <c r="E23" i="1"/>
  <c r="F23" i="1" s="1"/>
  <c r="F26" i="1" s="1"/>
  <c r="J16" i="23"/>
  <c r="D14" i="34"/>
  <c r="E34" i="3"/>
  <c r="Q31" i="3"/>
  <c r="AG31" i="3" s="1"/>
  <c r="J32" i="3"/>
  <c r="Q30" i="3"/>
  <c r="AG30" i="3" s="1"/>
  <c r="F32" i="3"/>
  <c r="C35" i="3"/>
  <c r="K29" i="3"/>
  <c r="K34" i="3"/>
  <c r="Q36" i="3"/>
  <c r="I34" i="3"/>
  <c r="Q34" i="3"/>
  <c r="D34" i="3"/>
  <c r="Q33" i="3"/>
  <c r="AG33" i="3" s="1"/>
  <c r="K36" i="3"/>
  <c r="F29" i="3"/>
  <c r="Q32" i="3"/>
  <c r="J36" i="3"/>
  <c r="K26" i="3"/>
  <c r="I32" i="3"/>
  <c r="H32" i="3"/>
  <c r="J35" i="3"/>
  <c r="G26" i="3"/>
  <c r="K14" i="32"/>
  <c r="C36" i="3"/>
  <c r="I35" i="3"/>
  <c r="Q26" i="3"/>
  <c r="C34" i="3"/>
  <c r="J29" i="3"/>
  <c r="D36" i="3"/>
  <c r="J34" i="3"/>
  <c r="I29" i="3"/>
  <c r="Q35" i="3"/>
  <c r="G6" i="1"/>
  <c r="M14" i="1"/>
  <c r="M13" i="1"/>
  <c r="M15" i="1"/>
  <c r="M16" i="1"/>
  <c r="M17" i="1"/>
  <c r="M18" i="1"/>
  <c r="M12" i="1"/>
  <c r="M10" i="1"/>
  <c r="M6" i="1"/>
  <c r="M7" i="1"/>
  <c r="M8" i="1"/>
  <c r="M9" i="1"/>
  <c r="M11" i="1"/>
  <c r="G7" i="1"/>
  <c r="G8" i="1"/>
  <c r="G9" i="1"/>
  <c r="G10" i="1"/>
  <c r="G11" i="1"/>
  <c r="G12" i="1"/>
  <c r="G13" i="1"/>
  <c r="G14" i="1"/>
  <c r="G15" i="1"/>
  <c r="G16" i="1"/>
  <c r="G17" i="1"/>
  <c r="G18" i="1"/>
  <c r="N13" i="1" l="1"/>
  <c r="C15" i="3" s="1"/>
  <c r="N11" i="1"/>
  <c r="G2" i="32"/>
  <c r="E20" i="32" s="1"/>
  <c r="F20" i="32" s="1"/>
  <c r="H4" i="4"/>
  <c r="I4" i="34"/>
  <c r="J4" i="5"/>
  <c r="N7" i="1"/>
  <c r="C9" i="3" s="1"/>
  <c r="N12" i="1"/>
  <c r="G7" i="32"/>
  <c r="E25" i="32" s="1"/>
  <c r="F25" i="32" s="1"/>
  <c r="I9" i="34"/>
  <c r="J9" i="5"/>
  <c r="H9" i="4"/>
  <c r="AG29" i="3"/>
  <c r="AD29" i="3"/>
  <c r="V29" i="3"/>
  <c r="Y29" i="3"/>
  <c r="Z29" i="3"/>
  <c r="AA29" i="3"/>
  <c r="AB29" i="3"/>
  <c r="AC29" i="3"/>
  <c r="U29" i="3"/>
  <c r="T29" i="3"/>
  <c r="S29" i="3"/>
  <c r="W29" i="3"/>
  <c r="X29" i="3"/>
  <c r="G6" i="32"/>
  <c r="E24" i="32" s="1"/>
  <c r="F24" i="32" s="1"/>
  <c r="I8" i="34"/>
  <c r="J8" i="5"/>
  <c r="H8" i="4"/>
  <c r="N17" i="1"/>
  <c r="G3" i="32"/>
  <c r="E21" i="32" s="1"/>
  <c r="F21" i="32" s="1"/>
  <c r="I5" i="34"/>
  <c r="J5" i="5"/>
  <c r="H5" i="4"/>
  <c r="S34" i="3"/>
  <c r="AG34" i="3"/>
  <c r="T34" i="3"/>
  <c r="W34" i="3"/>
  <c r="Y34" i="3"/>
  <c r="AB34" i="3"/>
  <c r="AC34" i="3"/>
  <c r="U34" i="3"/>
  <c r="AD34" i="3"/>
  <c r="V34" i="3"/>
  <c r="X34" i="3"/>
  <c r="Z34" i="3"/>
  <c r="AA34" i="3"/>
  <c r="G14" i="32"/>
  <c r="E32" i="32" s="1"/>
  <c r="F32" i="32" s="1"/>
  <c r="I16" i="34"/>
  <c r="J16" i="5"/>
  <c r="H16" i="4"/>
  <c r="I16" i="4" s="1"/>
  <c r="N9" i="1"/>
  <c r="AG35" i="3"/>
  <c r="U35" i="3"/>
  <c r="S35" i="3"/>
  <c r="X35" i="3"/>
  <c r="AD35" i="3"/>
  <c r="T35" i="3"/>
  <c r="V35" i="3"/>
  <c r="W35" i="3"/>
  <c r="Y35" i="3"/>
  <c r="AA35" i="3"/>
  <c r="Z35" i="3"/>
  <c r="AB35" i="3"/>
  <c r="AC35" i="3"/>
  <c r="G12" i="32"/>
  <c r="E30" i="32" s="1"/>
  <c r="F30" i="32" s="1"/>
  <c r="I14" i="34"/>
  <c r="J14" i="5"/>
  <c r="H14" i="4"/>
  <c r="I14" i="4" s="1"/>
  <c r="G10" i="32"/>
  <c r="H33" i="36"/>
  <c r="I12" i="34"/>
  <c r="H33" i="24"/>
  <c r="J12" i="5"/>
  <c r="H12" i="4"/>
  <c r="G9" i="32"/>
  <c r="H32" i="36"/>
  <c r="H32" i="24"/>
  <c r="I11" i="34"/>
  <c r="J11" i="5"/>
  <c r="H11" i="4"/>
  <c r="G8" i="32"/>
  <c r="H31" i="36"/>
  <c r="I10" i="34"/>
  <c r="H31" i="24"/>
  <c r="J10" i="5"/>
  <c r="H10" i="4"/>
  <c r="N18" i="1"/>
  <c r="F20" i="3" s="1"/>
  <c r="G5" i="32"/>
  <c r="E23" i="32" s="1"/>
  <c r="F23" i="32" s="1"/>
  <c r="I7" i="34"/>
  <c r="J7" i="5"/>
  <c r="H7" i="4"/>
  <c r="N16" i="1"/>
  <c r="F18" i="3" s="1"/>
  <c r="N14" i="1"/>
  <c r="G13" i="32"/>
  <c r="E31" i="32" s="1"/>
  <c r="F31" i="32" s="1"/>
  <c r="I15" i="34"/>
  <c r="J15" i="5"/>
  <c r="H15" i="4"/>
  <c r="I15" i="4" s="1"/>
  <c r="AG36" i="3"/>
  <c r="V36" i="3"/>
  <c r="Y36" i="3"/>
  <c r="Z36" i="3"/>
  <c r="AA36" i="3"/>
  <c r="AB36" i="3"/>
  <c r="AD36" i="3"/>
  <c r="T36" i="3"/>
  <c r="U36" i="3"/>
  <c r="W36" i="3"/>
  <c r="S36" i="3"/>
  <c r="X36" i="3"/>
  <c r="AC36" i="3"/>
  <c r="N8" i="1"/>
  <c r="C10" i="3" s="1"/>
  <c r="G11" i="32"/>
  <c r="E29" i="32" s="1"/>
  <c r="F29" i="32" s="1"/>
  <c r="I13" i="34"/>
  <c r="J13" i="5"/>
  <c r="H13" i="4"/>
  <c r="N6" i="1"/>
  <c r="C8" i="3" s="1"/>
  <c r="N10" i="1"/>
  <c r="C12" i="3" s="1"/>
  <c r="AG32" i="3"/>
  <c r="AA32" i="3"/>
  <c r="T32" i="3"/>
  <c r="Z32" i="3"/>
  <c r="AB32" i="3"/>
  <c r="AD32" i="3"/>
  <c r="U32" i="3"/>
  <c r="W32" i="3"/>
  <c r="X32" i="3"/>
  <c r="Y32" i="3"/>
  <c r="AC32" i="3"/>
  <c r="S32" i="3"/>
  <c r="V32" i="3"/>
  <c r="AG26" i="3"/>
  <c r="AC26" i="3"/>
  <c r="T26" i="3"/>
  <c r="V26" i="3"/>
  <c r="W26" i="3"/>
  <c r="Z26" i="3"/>
  <c r="AD26" i="3"/>
  <c r="U26" i="3"/>
  <c r="S26" i="3"/>
  <c r="AA26" i="3"/>
  <c r="AB26" i="3"/>
  <c r="X26" i="3"/>
  <c r="Y26" i="3"/>
  <c r="G4" i="32"/>
  <c r="E22" i="32" s="1"/>
  <c r="F22" i="32" s="1"/>
  <c r="I6" i="34"/>
  <c r="J6" i="5"/>
  <c r="H6" i="4"/>
  <c r="N15" i="1"/>
  <c r="AO32" i="3" l="1"/>
  <c r="AN32" i="3"/>
  <c r="AS32" i="3"/>
  <c r="AQ32" i="3"/>
  <c r="AP32" i="3"/>
  <c r="AL32" i="3"/>
  <c r="AM32" i="3"/>
  <c r="AJ32" i="3"/>
  <c r="AT32" i="3"/>
  <c r="AR32" i="3"/>
  <c r="AK32" i="3"/>
  <c r="AI32" i="3"/>
  <c r="AE32" i="3"/>
  <c r="O13" i="23"/>
  <c r="O13" i="41"/>
  <c r="O15" i="23"/>
  <c r="O15" i="41"/>
  <c r="O9" i="41"/>
  <c r="O9" i="23"/>
  <c r="AE35" i="3"/>
  <c r="C25" i="3"/>
  <c r="D9" i="3"/>
  <c r="AI34" i="3"/>
  <c r="AJ34" i="3"/>
  <c r="AP34" i="3"/>
  <c r="AO34" i="3"/>
  <c r="AK34" i="3"/>
  <c r="AQ34" i="3"/>
  <c r="AN34" i="3"/>
  <c r="AS34" i="3"/>
  <c r="AT34" i="3"/>
  <c r="AM34" i="3"/>
  <c r="AL34" i="3"/>
  <c r="AR34" i="3"/>
  <c r="O11" i="41"/>
  <c r="O11" i="23"/>
  <c r="K9" i="5"/>
  <c r="C24" i="3"/>
  <c r="D8" i="3"/>
  <c r="O16" i="23"/>
  <c r="P16" i="23" s="1"/>
  <c r="O16" i="41"/>
  <c r="K14" i="5"/>
  <c r="AO15" i="1"/>
  <c r="AO31" i="1" s="1"/>
  <c r="AN15" i="1"/>
  <c r="AN31" i="1" s="1"/>
  <c r="AQ15" i="1"/>
  <c r="AQ31" i="1" s="1"/>
  <c r="AJ15" i="1"/>
  <c r="AJ31" i="1" s="1"/>
  <c r="AK15" i="1"/>
  <c r="AK31" i="1" s="1"/>
  <c r="AS15" i="1"/>
  <c r="AS31" i="1" s="1"/>
  <c r="AT15" i="1"/>
  <c r="AT31" i="1" s="1"/>
  <c r="AL15" i="1"/>
  <c r="AL31" i="1" s="1"/>
  <c r="AI15" i="1"/>
  <c r="AP15" i="1"/>
  <c r="AP31" i="1" s="1"/>
  <c r="AM15" i="1"/>
  <c r="AM31" i="1" s="1"/>
  <c r="C17" i="3"/>
  <c r="AR15" i="1"/>
  <c r="AR31" i="1" s="1"/>
  <c r="F36" i="3"/>
  <c r="G20" i="3"/>
  <c r="E27" i="32"/>
  <c r="F27" i="32" s="1"/>
  <c r="J27" i="32"/>
  <c r="K27" i="32" s="1"/>
  <c r="AL36" i="3"/>
  <c r="AJ36" i="3"/>
  <c r="AO36" i="3"/>
  <c r="AM36" i="3"/>
  <c r="AI36" i="3"/>
  <c r="AQ36" i="3"/>
  <c r="AK36" i="3"/>
  <c r="AP36" i="3"/>
  <c r="AN36" i="3"/>
  <c r="AR36" i="3"/>
  <c r="AS36" i="3"/>
  <c r="AT36" i="3"/>
  <c r="AQ26" i="3"/>
  <c r="AP26" i="3"/>
  <c r="AL26" i="3"/>
  <c r="AO26" i="3"/>
  <c r="AM26" i="3"/>
  <c r="AN26" i="3"/>
  <c r="AJ26" i="3"/>
  <c r="AK26" i="3"/>
  <c r="AS26" i="3"/>
  <c r="AI26" i="3"/>
  <c r="AR26" i="3"/>
  <c r="AT26" i="3"/>
  <c r="AE29" i="3"/>
  <c r="C16" i="3"/>
  <c r="AM14" i="1"/>
  <c r="AM30" i="1" s="1"/>
  <c r="AT14" i="1"/>
  <c r="AT30" i="1" s="1"/>
  <c r="AJ14" i="1"/>
  <c r="AJ30" i="1" s="1"/>
  <c r="AN14" i="1"/>
  <c r="AN30" i="1" s="1"/>
  <c r="AR14" i="1"/>
  <c r="AR30" i="1" s="1"/>
  <c r="AI14" i="1"/>
  <c r="AO14" i="1"/>
  <c r="AO30" i="1" s="1"/>
  <c r="AP14" i="1"/>
  <c r="AP30" i="1" s="1"/>
  <c r="AK14" i="1"/>
  <c r="AK30" i="1" s="1"/>
  <c r="AS14" i="1"/>
  <c r="AS30" i="1" s="1"/>
  <c r="AQ14" i="1"/>
  <c r="AQ30" i="1" s="1"/>
  <c r="AL14" i="1"/>
  <c r="AL30" i="1" s="1"/>
  <c r="E28" i="32"/>
  <c r="F28" i="32" s="1"/>
  <c r="J28" i="32"/>
  <c r="K28" i="32" s="1"/>
  <c r="O6" i="41"/>
  <c r="O6" i="23"/>
  <c r="AJ35" i="3"/>
  <c r="AL35" i="3"/>
  <c r="AK35" i="3"/>
  <c r="AI35" i="3"/>
  <c r="AP35" i="3"/>
  <c r="AQ35" i="3"/>
  <c r="AM35" i="3"/>
  <c r="AO35" i="3"/>
  <c r="AN35" i="3"/>
  <c r="AS35" i="3"/>
  <c r="AT35" i="3"/>
  <c r="AR35" i="3"/>
  <c r="C26" i="3"/>
  <c r="D10" i="3"/>
  <c r="AI9" i="1"/>
  <c r="AM9" i="1"/>
  <c r="AN9" i="1"/>
  <c r="AS9" i="1"/>
  <c r="AJ9" i="1"/>
  <c r="AK9" i="1"/>
  <c r="AR9" i="1"/>
  <c r="AT9" i="1"/>
  <c r="AL9" i="1"/>
  <c r="C11" i="3"/>
  <c r="AQ9" i="1"/>
  <c r="AO9" i="1"/>
  <c r="AP9" i="1"/>
  <c r="O8" i="41"/>
  <c r="P8" i="41" s="1"/>
  <c r="O8" i="23"/>
  <c r="K6" i="5"/>
  <c r="O12" i="23"/>
  <c r="O12" i="41"/>
  <c r="O14" i="23"/>
  <c r="O14" i="41"/>
  <c r="K12" i="5"/>
  <c r="O18" i="41"/>
  <c r="O18" i="23"/>
  <c r="P18" i="23" s="1"/>
  <c r="K16" i="5"/>
  <c r="C13" i="3"/>
  <c r="AO11" i="1"/>
  <c r="AO27" i="1" s="1"/>
  <c r="AJ11" i="1"/>
  <c r="AJ27" i="1" s="1"/>
  <c r="AR11" i="1"/>
  <c r="AR27" i="1" s="1"/>
  <c r="AP11" i="1"/>
  <c r="AP27" i="1" s="1"/>
  <c r="AQ11" i="1"/>
  <c r="AQ27" i="1" s="1"/>
  <c r="AM11" i="1"/>
  <c r="AM27" i="1" s="1"/>
  <c r="AN11" i="1"/>
  <c r="AN27" i="1" s="1"/>
  <c r="AI11" i="1"/>
  <c r="AS11" i="1"/>
  <c r="AS27" i="1" s="1"/>
  <c r="AL11" i="1"/>
  <c r="AL27" i="1" s="1"/>
  <c r="AK11" i="1"/>
  <c r="AK27" i="1" s="1"/>
  <c r="AT11" i="1"/>
  <c r="AT27" i="1" s="1"/>
  <c r="AE34" i="3"/>
  <c r="D12" i="3"/>
  <c r="C28" i="3"/>
  <c r="E26" i="32"/>
  <c r="F26" i="32" s="1"/>
  <c r="J26" i="32"/>
  <c r="K26" i="32" s="1"/>
  <c r="G18" i="3"/>
  <c r="F34" i="3"/>
  <c r="O7" i="41"/>
  <c r="O7" i="23"/>
  <c r="AE26" i="3"/>
  <c r="C14" i="3"/>
  <c r="AO12" i="1"/>
  <c r="AO28" i="1" s="1"/>
  <c r="AS12" i="1"/>
  <c r="AS28" i="1" s="1"/>
  <c r="AI12" i="1"/>
  <c r="AJ12" i="1"/>
  <c r="AJ28" i="1" s="1"/>
  <c r="AM12" i="1"/>
  <c r="AM28" i="1" s="1"/>
  <c r="AN12" i="1"/>
  <c r="AN28" i="1" s="1"/>
  <c r="AL12" i="1"/>
  <c r="AL28" i="1" s="1"/>
  <c r="AP12" i="1"/>
  <c r="AP28" i="1" s="1"/>
  <c r="AR12" i="1"/>
  <c r="AR28" i="1" s="1"/>
  <c r="AK12" i="1"/>
  <c r="AK28" i="1" s="1"/>
  <c r="AT12" i="1"/>
  <c r="AT28" i="1" s="1"/>
  <c r="AQ12" i="1"/>
  <c r="AQ28" i="1" s="1"/>
  <c r="AN17" i="1"/>
  <c r="AN33" i="1" s="1"/>
  <c r="AR17" i="1"/>
  <c r="AR33" i="1" s="1"/>
  <c r="AT17" i="1"/>
  <c r="AT33" i="1" s="1"/>
  <c r="AL17" i="1"/>
  <c r="AL33" i="1" s="1"/>
  <c r="AI17" i="1"/>
  <c r="AO17" i="1"/>
  <c r="AO33" i="1" s="1"/>
  <c r="AP17" i="1"/>
  <c r="AP33" i="1" s="1"/>
  <c r="AJ17" i="1"/>
  <c r="AJ33" i="1" s="1"/>
  <c r="AK17" i="1"/>
  <c r="AK33" i="1" s="1"/>
  <c r="AM17" i="1"/>
  <c r="AM33" i="1" s="1"/>
  <c r="AQ17" i="1"/>
  <c r="AQ33" i="1" s="1"/>
  <c r="AS17" i="1"/>
  <c r="AS33" i="1" s="1"/>
  <c r="F19" i="3"/>
  <c r="O10" i="23"/>
  <c r="O10" i="41"/>
  <c r="AE36" i="3"/>
  <c r="O17" i="23"/>
  <c r="P17" i="23" s="1"/>
  <c r="O17" i="41"/>
  <c r="K15" i="5"/>
  <c r="AT29" i="3"/>
  <c r="AS29" i="3"/>
  <c r="AI29" i="3"/>
  <c r="AQ29" i="3"/>
  <c r="AM29" i="3"/>
  <c r="AK29" i="3"/>
  <c r="AP29" i="3"/>
  <c r="AO29" i="3"/>
  <c r="AN29" i="3"/>
  <c r="AJ29" i="3"/>
  <c r="AL29" i="3"/>
  <c r="AR29" i="3"/>
  <c r="D15" i="3"/>
  <c r="C31" i="3"/>
  <c r="AO21" i="1" l="1"/>
  <c r="AO25" i="1"/>
  <c r="AO37" i="1" s="1"/>
  <c r="AU29" i="3"/>
  <c r="M7" i="32" s="1"/>
  <c r="AQ25" i="1"/>
  <c r="AQ37" i="1" s="1"/>
  <c r="AQ21" i="1"/>
  <c r="D11" i="3"/>
  <c r="C27" i="3"/>
  <c r="C37" i="3" s="1"/>
  <c r="D31" i="3"/>
  <c r="E15" i="3"/>
  <c r="AU11" i="1"/>
  <c r="AI27" i="1"/>
  <c r="AU27" i="1" s="1"/>
  <c r="AL25" i="1"/>
  <c r="AL37" i="1" s="1"/>
  <c r="AL21" i="1"/>
  <c r="AU36" i="3"/>
  <c r="M14" i="32" s="1"/>
  <c r="H18" i="3"/>
  <c r="G34" i="3"/>
  <c r="AR21" i="1"/>
  <c r="AR25" i="1"/>
  <c r="AR37" i="1" s="1"/>
  <c r="AI31" i="1"/>
  <c r="AU31" i="1" s="1"/>
  <c r="AU15" i="1"/>
  <c r="D24" i="3"/>
  <c r="E8" i="3"/>
  <c r="AU17" i="1"/>
  <c r="AI33" i="1"/>
  <c r="AU33" i="1" s="1"/>
  <c r="AK25" i="1"/>
  <c r="AK37" i="1" s="1"/>
  <c r="AK21" i="1"/>
  <c r="D16" i="3"/>
  <c r="C32" i="3"/>
  <c r="AI28" i="1"/>
  <c r="AU28" i="1" s="1"/>
  <c r="AU12" i="1"/>
  <c r="AS25" i="1"/>
  <c r="AS37" i="1" s="1"/>
  <c r="AS21" i="1"/>
  <c r="AU32" i="3"/>
  <c r="M10" i="32" s="1"/>
  <c r="D28" i="3"/>
  <c r="E12" i="3"/>
  <c r="AN21" i="1"/>
  <c r="AN25" i="1"/>
  <c r="AN37" i="1" s="1"/>
  <c r="AU34" i="3"/>
  <c r="M12" i="32" s="1"/>
  <c r="F35" i="3"/>
  <c r="G19" i="3"/>
  <c r="AM25" i="1"/>
  <c r="AM37" i="1" s="1"/>
  <c r="AM21" i="1"/>
  <c r="AU35" i="3"/>
  <c r="M13" i="32" s="1"/>
  <c r="AU26" i="3"/>
  <c r="M4" i="32" s="1"/>
  <c r="G36" i="3"/>
  <c r="H20" i="3"/>
  <c r="C16" i="34" s="1"/>
  <c r="F16" i="34" s="1"/>
  <c r="D25" i="3"/>
  <c r="E9" i="3"/>
  <c r="C5" i="4"/>
  <c r="E5" i="4" s="1"/>
  <c r="C30" i="3"/>
  <c r="D14" i="3"/>
  <c r="C29" i="3"/>
  <c r="D13" i="3"/>
  <c r="AP21" i="1"/>
  <c r="AP25" i="1"/>
  <c r="AP37" i="1" s="1"/>
  <c r="AU9" i="1"/>
  <c r="AI21" i="1"/>
  <c r="D41" i="1" s="1"/>
  <c r="AI25" i="1"/>
  <c r="E10" i="3"/>
  <c r="D26" i="3"/>
  <c r="AI30" i="1"/>
  <c r="AU30" i="1" s="1"/>
  <c r="AU14" i="1"/>
  <c r="C21" i="3"/>
  <c r="C33" i="3"/>
  <c r="D17" i="3"/>
  <c r="AT25" i="1"/>
  <c r="AT37" i="1" s="1"/>
  <c r="AT21" i="1"/>
  <c r="AJ21" i="1"/>
  <c r="AJ25" i="1"/>
  <c r="AJ37" i="1" s="1"/>
  <c r="C18" i="41" l="1"/>
  <c r="B22" i="44"/>
  <c r="G22" i="44" s="1"/>
  <c r="H16" i="34"/>
  <c r="J16" i="34"/>
  <c r="AU21" i="1"/>
  <c r="D33" i="3"/>
  <c r="E17" i="3"/>
  <c r="D44" i="1"/>
  <c r="E28" i="3"/>
  <c r="F12" i="3"/>
  <c r="E13" i="3"/>
  <c r="D29" i="3"/>
  <c r="D30" i="3"/>
  <c r="E14" i="3"/>
  <c r="E16" i="3"/>
  <c r="D32" i="3"/>
  <c r="D42" i="1"/>
  <c r="D43" i="1"/>
  <c r="E24" i="3"/>
  <c r="C4" i="4"/>
  <c r="E4" i="4" s="1"/>
  <c r="F8" i="3"/>
  <c r="F15" i="3"/>
  <c r="E31" i="3"/>
  <c r="C11" i="4"/>
  <c r="E11" i="4" s="1"/>
  <c r="H19" i="3"/>
  <c r="G35" i="3"/>
  <c r="D21" i="3"/>
  <c r="D27" i="3"/>
  <c r="D37" i="3" s="1"/>
  <c r="E11" i="3"/>
  <c r="C15" i="34"/>
  <c r="F15" i="34" s="1"/>
  <c r="C7" i="23"/>
  <c r="G5" i="4"/>
  <c r="I5" i="4"/>
  <c r="C8" i="4"/>
  <c r="E8" i="4" s="1"/>
  <c r="L18" i="3"/>
  <c r="H34" i="3"/>
  <c r="C14" i="34"/>
  <c r="F14" i="34" s="1"/>
  <c r="E26" i="3"/>
  <c r="L10" i="3"/>
  <c r="C6" i="4"/>
  <c r="E6" i="4" s="1"/>
  <c r="E25" i="3"/>
  <c r="F9" i="3"/>
  <c r="C13" i="4"/>
  <c r="E13" i="4" s="1"/>
  <c r="I13" i="4" s="1"/>
  <c r="AI37" i="1"/>
  <c r="AU25" i="1"/>
  <c r="AU37" i="1" s="1"/>
  <c r="H36" i="3"/>
  <c r="L20" i="3"/>
  <c r="C15" i="23"/>
  <c r="F11" i="3" l="1"/>
  <c r="E27" i="3"/>
  <c r="G12" i="3"/>
  <c r="F28" i="3"/>
  <c r="F31" i="3"/>
  <c r="G15" i="3"/>
  <c r="F24" i="3"/>
  <c r="G8" i="3"/>
  <c r="E7" i="23"/>
  <c r="C17" i="41"/>
  <c r="B21" i="44"/>
  <c r="G21" i="44" s="1"/>
  <c r="H15" i="34"/>
  <c r="J15" i="34"/>
  <c r="I6" i="4"/>
  <c r="C8" i="23"/>
  <c r="G6" i="4"/>
  <c r="M10" i="3"/>
  <c r="L26" i="3"/>
  <c r="C12" i="4"/>
  <c r="E12" i="4" s="1"/>
  <c r="L16" i="3"/>
  <c r="E32" i="3"/>
  <c r="C10" i="23"/>
  <c r="I8" i="4"/>
  <c r="G8" i="4"/>
  <c r="F25" i="3"/>
  <c r="G9" i="3"/>
  <c r="F17" i="3"/>
  <c r="E33" i="3"/>
  <c r="E21" i="3"/>
  <c r="B41" i="3" s="1"/>
  <c r="F14" i="3"/>
  <c r="E30" i="3"/>
  <c r="C10" i="4"/>
  <c r="E10" i="4" s="1"/>
  <c r="I4" i="4"/>
  <c r="G4" i="4"/>
  <c r="C6" i="23"/>
  <c r="E6" i="23" s="1"/>
  <c r="C7" i="4"/>
  <c r="E7" i="4" s="1"/>
  <c r="B20" i="44"/>
  <c r="G20" i="44" s="1"/>
  <c r="C16" i="41"/>
  <c r="J14" i="34"/>
  <c r="H14" i="34"/>
  <c r="H35" i="3"/>
  <c r="L19" i="3"/>
  <c r="G13" i="4"/>
  <c r="M20" i="3"/>
  <c r="L36" i="3"/>
  <c r="I11" i="4"/>
  <c r="C13" i="23"/>
  <c r="G11" i="4"/>
  <c r="L34" i="3"/>
  <c r="M18" i="3"/>
  <c r="C9" i="4"/>
  <c r="E9" i="4" s="1"/>
  <c r="L13" i="3"/>
  <c r="E29" i="3"/>
  <c r="E18" i="41"/>
  <c r="G18" i="41"/>
  <c r="I18" i="41"/>
  <c r="J18" i="41" s="1"/>
  <c r="E15" i="23"/>
  <c r="I15" i="23"/>
  <c r="L6" i="23"/>
  <c r="C8" i="34" l="1"/>
  <c r="M13" i="3"/>
  <c r="L29" i="3"/>
  <c r="C11" i="23"/>
  <c r="I9" i="4"/>
  <c r="G9" i="4"/>
  <c r="E8" i="23"/>
  <c r="I8" i="23"/>
  <c r="I22" i="4"/>
  <c r="I23" i="4" s="1"/>
  <c r="N18" i="3"/>
  <c r="M34" i="3"/>
  <c r="H12" i="3"/>
  <c r="G28" i="3"/>
  <c r="J15" i="23"/>
  <c r="D13" i="34"/>
  <c r="G10" i="4"/>
  <c r="I10" i="4"/>
  <c r="C12" i="23"/>
  <c r="E17" i="41"/>
  <c r="G17" i="41"/>
  <c r="E37" i="3"/>
  <c r="G24" i="3"/>
  <c r="H8" i="3"/>
  <c r="F21" i="3"/>
  <c r="F33" i="3"/>
  <c r="G17" i="3"/>
  <c r="H9" i="3"/>
  <c r="G25" i="3"/>
  <c r="C9" i="23"/>
  <c r="I7" i="4"/>
  <c r="G7" i="4"/>
  <c r="I6" i="23"/>
  <c r="H6" i="23"/>
  <c r="E10" i="23"/>
  <c r="I10" i="23"/>
  <c r="P18" i="41"/>
  <c r="H18" i="41"/>
  <c r="L18" i="41"/>
  <c r="M18" i="41" s="1"/>
  <c r="M16" i="3"/>
  <c r="L32" i="3"/>
  <c r="P7" i="23"/>
  <c r="H7" i="23"/>
  <c r="L7" i="23"/>
  <c r="M7" i="23" s="1"/>
  <c r="G11" i="3"/>
  <c r="F27" i="3"/>
  <c r="N10" i="3"/>
  <c r="M26" i="3"/>
  <c r="E16" i="41"/>
  <c r="G16" i="41"/>
  <c r="H15" i="3"/>
  <c r="C11" i="34" s="1"/>
  <c r="G31" i="3"/>
  <c r="E13" i="23"/>
  <c r="I13" i="23"/>
  <c r="N20" i="3"/>
  <c r="M36" i="3"/>
  <c r="P6" i="23"/>
  <c r="M19" i="3"/>
  <c r="L35" i="3"/>
  <c r="G14" i="3"/>
  <c r="F30" i="3"/>
  <c r="G12" i="4"/>
  <c r="G22" i="4" s="1"/>
  <c r="G28" i="4" s="1"/>
  <c r="C3" i="6" s="1"/>
  <c r="C14" i="23"/>
  <c r="E14" i="23" s="1"/>
  <c r="I12" i="4"/>
  <c r="I7" i="23"/>
  <c r="O6" i="4"/>
  <c r="P6" i="4" s="1"/>
  <c r="O4" i="4"/>
  <c r="P4" i="4" s="1"/>
  <c r="I24" i="4"/>
  <c r="M6" i="23"/>
  <c r="H15" i="23"/>
  <c r="L15" i="23"/>
  <c r="M15" i="23" s="1"/>
  <c r="P15" i="23"/>
  <c r="O13" i="3" l="1"/>
  <c r="L3" i="6"/>
  <c r="C2" i="6"/>
  <c r="B80" i="27"/>
  <c r="C81" i="27" s="1"/>
  <c r="J8" i="23"/>
  <c r="D6" i="34"/>
  <c r="F6" i="34" s="1"/>
  <c r="I9" i="23"/>
  <c r="C19" i="23"/>
  <c r="E9" i="23"/>
  <c r="P8" i="23"/>
  <c r="L8" i="23"/>
  <c r="M8" i="23" s="1"/>
  <c r="H8" i="23"/>
  <c r="G19" i="41"/>
  <c r="H16" i="41"/>
  <c r="L16" i="41"/>
  <c r="M16" i="41" s="1"/>
  <c r="P16" i="41"/>
  <c r="I9" i="3"/>
  <c r="H25" i="3"/>
  <c r="E11" i="23"/>
  <c r="N19" i="3"/>
  <c r="N35" i="3" s="1"/>
  <c r="M35" i="3"/>
  <c r="H24" i="3"/>
  <c r="I8" i="3"/>
  <c r="I12" i="3"/>
  <c r="H28" i="3"/>
  <c r="J13" i="23"/>
  <c r="D11" i="34"/>
  <c r="F11" i="34" s="1"/>
  <c r="K2" i="32"/>
  <c r="N16" i="3"/>
  <c r="N32" i="3" s="1"/>
  <c r="M32" i="3"/>
  <c r="O32" i="3" s="1"/>
  <c r="O16" i="3"/>
  <c r="H14" i="3"/>
  <c r="G30" i="3"/>
  <c r="K11" i="32"/>
  <c r="O26" i="3"/>
  <c r="G33" i="3"/>
  <c r="H17" i="3"/>
  <c r="N26" i="3"/>
  <c r="O10" i="3"/>
  <c r="F37" i="3"/>
  <c r="C13" i="34"/>
  <c r="F13" i="34" s="1"/>
  <c r="J10" i="23"/>
  <c r="D8" i="34"/>
  <c r="F8" i="34" s="1"/>
  <c r="O19" i="3"/>
  <c r="P10" i="23"/>
  <c r="H10" i="23"/>
  <c r="L10" i="23"/>
  <c r="M10" i="23" s="1"/>
  <c r="J7" i="23"/>
  <c r="D5" i="34"/>
  <c r="G32" i="24"/>
  <c r="I32" i="24" s="1"/>
  <c r="P13" i="23"/>
  <c r="L13" i="23"/>
  <c r="M13" i="23" s="1"/>
  <c r="H13" i="23"/>
  <c r="K3" i="32"/>
  <c r="J6" i="23"/>
  <c r="D4" i="34"/>
  <c r="N34" i="3"/>
  <c r="O34" i="3" s="1"/>
  <c r="O18" i="3"/>
  <c r="C5" i="34"/>
  <c r="I15" i="3"/>
  <c r="H31" i="3"/>
  <c r="I16" i="41"/>
  <c r="J16" i="41" s="1"/>
  <c r="H17" i="41"/>
  <c r="P17" i="41"/>
  <c r="L17" i="41"/>
  <c r="M17" i="41" s="1"/>
  <c r="E12" i="23"/>
  <c r="I12" i="23"/>
  <c r="L14" i="32"/>
  <c r="C41" i="51"/>
  <c r="G21" i="3"/>
  <c r="B42" i="3" s="1"/>
  <c r="G27" i="3"/>
  <c r="G37" i="3" s="1"/>
  <c r="H11" i="3"/>
  <c r="N13" i="3"/>
  <c r="N29" i="3" s="1"/>
  <c r="M29" i="3"/>
  <c r="O29" i="3" s="1"/>
  <c r="N36" i="3"/>
  <c r="O36" i="3" s="1"/>
  <c r="O20" i="3"/>
  <c r="I14" i="23"/>
  <c r="G33" i="24"/>
  <c r="I33" i="24" s="1"/>
  <c r="L14" i="23"/>
  <c r="M14" i="23" s="1"/>
  <c r="P14" i="23"/>
  <c r="H14" i="23"/>
  <c r="I17" i="41"/>
  <c r="J17" i="41" s="1"/>
  <c r="C4" i="34"/>
  <c r="I25" i="4"/>
  <c r="I26" i="4" s="1"/>
  <c r="C10" i="41" l="1"/>
  <c r="B14" i="44"/>
  <c r="G14" i="44" s="1"/>
  <c r="J8" i="34"/>
  <c r="H8" i="34"/>
  <c r="B17" i="44"/>
  <c r="G17" i="44" s="1"/>
  <c r="C13" i="41"/>
  <c r="H11" i="34"/>
  <c r="J11" i="34"/>
  <c r="B19" i="44"/>
  <c r="G19" i="44" s="1"/>
  <c r="C15" i="41"/>
  <c r="H13" i="34"/>
  <c r="J13" i="34"/>
  <c r="B90" i="46"/>
  <c r="C91" i="46" s="1"/>
  <c r="L2" i="6"/>
  <c r="B90" i="27"/>
  <c r="C91" i="27" s="1"/>
  <c r="K10" i="32"/>
  <c r="J9" i="23"/>
  <c r="D7" i="34"/>
  <c r="B12" i="44"/>
  <c r="G12" i="44" s="1"/>
  <c r="J6" i="34"/>
  <c r="J14" i="23"/>
  <c r="D12" i="34"/>
  <c r="F12" i="34" s="1"/>
  <c r="I14" i="3"/>
  <c r="H30" i="3"/>
  <c r="H21" i="3"/>
  <c r="C31" i="51"/>
  <c r="K4" i="32"/>
  <c r="K6" i="32"/>
  <c r="L12" i="32"/>
  <c r="C39" i="51"/>
  <c r="K9" i="32"/>
  <c r="L13" i="32"/>
  <c r="C40" i="51"/>
  <c r="I11" i="3"/>
  <c r="H27" i="3"/>
  <c r="H37" i="3" s="1"/>
  <c r="O35" i="3"/>
  <c r="J9" i="3"/>
  <c r="I25" i="3"/>
  <c r="J12" i="3"/>
  <c r="I28" i="3"/>
  <c r="J15" i="3"/>
  <c r="I31" i="3"/>
  <c r="F4" i="34"/>
  <c r="F5" i="34"/>
  <c r="I17" i="3"/>
  <c r="H33" i="3"/>
  <c r="P11" i="23"/>
  <c r="H11" i="23"/>
  <c r="L11" i="23"/>
  <c r="M11" i="23" s="1"/>
  <c r="C7" i="34"/>
  <c r="F7" i="34" s="1"/>
  <c r="J12" i="23"/>
  <c r="D10" i="34"/>
  <c r="G31" i="24"/>
  <c r="I31" i="24" s="1"/>
  <c r="I34" i="24" s="1"/>
  <c r="P12" i="23"/>
  <c r="H12" i="23"/>
  <c r="L12" i="23"/>
  <c r="M12" i="23" s="1"/>
  <c r="I24" i="3"/>
  <c r="J8" i="3"/>
  <c r="E19" i="23"/>
  <c r="B3" i="24" s="1"/>
  <c r="I11" i="23"/>
  <c r="I19" i="23" s="1"/>
  <c r="L9" i="23"/>
  <c r="H9" i="23"/>
  <c r="P9" i="23"/>
  <c r="C10" i="34"/>
  <c r="O5" i="4"/>
  <c r="P5" i="4" s="1"/>
  <c r="Q4" i="4" s="1"/>
  <c r="O7" i="4"/>
  <c r="P7" i="4" s="1"/>
  <c r="Q6" i="4" s="1"/>
  <c r="E13" i="41" l="1"/>
  <c r="I13" i="41"/>
  <c r="J13" i="41" s="1"/>
  <c r="B18" i="44"/>
  <c r="G18" i="44" s="1"/>
  <c r="C14" i="41"/>
  <c r="J12" i="34"/>
  <c r="H12" i="34"/>
  <c r="I35" i="24"/>
  <c r="I36" i="24"/>
  <c r="J39" i="24" s="1"/>
  <c r="E15" i="41"/>
  <c r="I15" i="41"/>
  <c r="J15" i="41" s="1"/>
  <c r="F10" i="34"/>
  <c r="K12" i="3"/>
  <c r="J28" i="3"/>
  <c r="K5" i="32"/>
  <c r="H19" i="23"/>
  <c r="B5" i="24" s="1"/>
  <c r="K9" i="3"/>
  <c r="J25" i="3"/>
  <c r="K15" i="3"/>
  <c r="J31" i="3"/>
  <c r="M9" i="23"/>
  <c r="M19" i="23" s="1"/>
  <c r="L19" i="23"/>
  <c r="K7" i="32"/>
  <c r="H16" i="24"/>
  <c r="H15" i="24"/>
  <c r="I15" i="24" s="1"/>
  <c r="G69" i="24"/>
  <c r="G70" i="24" s="1"/>
  <c r="B36" i="27" s="1"/>
  <c r="H14" i="24"/>
  <c r="J24" i="3"/>
  <c r="K8" i="3"/>
  <c r="P19" i="23"/>
  <c r="B4" i="24" s="1"/>
  <c r="H17" i="24" s="1"/>
  <c r="B13" i="44"/>
  <c r="G13" i="44" s="1"/>
  <c r="C9" i="41"/>
  <c r="J7" i="34"/>
  <c r="H7" i="34"/>
  <c r="J11" i="23"/>
  <c r="J19" i="23" s="1"/>
  <c r="D9" i="34"/>
  <c r="F9" i="34" s="1"/>
  <c r="J17" i="3"/>
  <c r="I33" i="3"/>
  <c r="C7" i="41"/>
  <c r="B11" i="44"/>
  <c r="G11" i="44" s="1"/>
  <c r="H5" i="34"/>
  <c r="J5" i="34"/>
  <c r="E10" i="41"/>
  <c r="I10" i="41"/>
  <c r="J10" i="41" s="1"/>
  <c r="I27" i="3"/>
  <c r="I37" i="3" s="1"/>
  <c r="J11" i="3"/>
  <c r="K8" i="32"/>
  <c r="B10" i="44"/>
  <c r="G10" i="44" s="1"/>
  <c r="C6" i="41"/>
  <c r="J4" i="34"/>
  <c r="H4" i="34"/>
  <c r="I30" i="3"/>
  <c r="J14" i="3"/>
  <c r="I21" i="3"/>
  <c r="G29" i="4"/>
  <c r="G30" i="4" s="1"/>
  <c r="D3" i="6" s="1"/>
  <c r="D2" i="6" s="1"/>
  <c r="H10" i="41" l="1"/>
  <c r="L10" i="41"/>
  <c r="M10" i="41" s="1"/>
  <c r="P10" i="41"/>
  <c r="L15" i="3"/>
  <c r="K31" i="3"/>
  <c r="K24" i="3"/>
  <c r="L8" i="3"/>
  <c r="J22" i="34"/>
  <c r="C12" i="41"/>
  <c r="B16" i="44"/>
  <c r="G16" i="44" s="1"/>
  <c r="H10" i="34"/>
  <c r="H22" i="34" s="1"/>
  <c r="H28" i="34" s="1"/>
  <c r="J10" i="34"/>
  <c r="D46" i="24"/>
  <c r="I17" i="24"/>
  <c r="J21" i="3"/>
  <c r="J33" i="3"/>
  <c r="K17" i="3"/>
  <c r="J27" i="3"/>
  <c r="J37" i="3" s="1"/>
  <c r="K11" i="3"/>
  <c r="E9" i="41"/>
  <c r="I9" i="41"/>
  <c r="J9" i="41" s="1"/>
  <c r="J30" i="3"/>
  <c r="K14" i="3"/>
  <c r="L9" i="3"/>
  <c r="K25" i="3"/>
  <c r="G77" i="24"/>
  <c r="F54" i="24"/>
  <c r="G55" i="24" s="1"/>
  <c r="I16" i="24"/>
  <c r="C6" i="27"/>
  <c r="C11" i="41"/>
  <c r="E11" i="41" s="1"/>
  <c r="B15" i="44"/>
  <c r="G15" i="44" s="1"/>
  <c r="G24" i="44" s="1"/>
  <c r="B12" i="36" s="1"/>
  <c r="B80" i="46" s="1"/>
  <c r="C81" i="46" s="1"/>
  <c r="H9" i="34"/>
  <c r="J9" i="34"/>
  <c r="G32" i="36"/>
  <c r="I32" i="36" s="1"/>
  <c r="L13" i="41"/>
  <c r="M13" i="41" s="1"/>
  <c r="P13" i="41"/>
  <c r="H13" i="41"/>
  <c r="P15" i="41"/>
  <c r="L15" i="41"/>
  <c r="M15" i="41" s="1"/>
  <c r="H15" i="41"/>
  <c r="J38" i="24"/>
  <c r="J40" i="24" s="1"/>
  <c r="J35" i="24"/>
  <c r="E7" i="41"/>
  <c r="I7" i="41"/>
  <c r="J7" i="41" s="1"/>
  <c r="D49" i="24"/>
  <c r="G62" i="24"/>
  <c r="G63" i="24" s="1"/>
  <c r="B31" i="24"/>
  <c r="B32" i="24" s="1"/>
  <c r="B33" i="24" s="1"/>
  <c r="I14" i="24"/>
  <c r="E14" i="41"/>
  <c r="I14" i="41"/>
  <c r="J14" i="41" s="1"/>
  <c r="E6" i="41"/>
  <c r="I6" i="41"/>
  <c r="B11" i="36"/>
  <c r="G80" i="46" s="1"/>
  <c r="H81" i="46" s="1"/>
  <c r="B14" i="24"/>
  <c r="L12" i="3"/>
  <c r="K28" i="3"/>
  <c r="B86" i="46"/>
  <c r="C87" i="46" s="1"/>
  <c r="T3" i="37"/>
  <c r="M3" i="6"/>
  <c r="T3" i="25"/>
  <c r="B86" i="27"/>
  <c r="C87" i="27" s="1"/>
  <c r="M2" i="6"/>
  <c r="B23" i="27" l="1"/>
  <c r="J41" i="24"/>
  <c r="G25" i="44"/>
  <c r="I11" i="41"/>
  <c r="J11" i="41" s="1"/>
  <c r="H11" i="41"/>
  <c r="P11" i="41"/>
  <c r="L11" i="41"/>
  <c r="M11" i="41" s="1"/>
  <c r="C19" i="41"/>
  <c r="E12" i="41"/>
  <c r="E19" i="41" s="1"/>
  <c r="B3" i="36" s="1"/>
  <c r="I12" i="41"/>
  <c r="J12" i="41" s="1"/>
  <c r="H6" i="41"/>
  <c r="L6" i="41"/>
  <c r="P6" i="41"/>
  <c r="C5" i="27"/>
  <c r="C4" i="27"/>
  <c r="B3" i="27"/>
  <c r="C9" i="27" s="1"/>
  <c r="B8" i="27" s="1"/>
  <c r="G33" i="36"/>
  <c r="I33" i="36" s="1"/>
  <c r="H14" i="41"/>
  <c r="P14" i="41"/>
  <c r="L14" i="41"/>
  <c r="M14" i="41" s="1"/>
  <c r="B29" i="27"/>
  <c r="G78" i="24"/>
  <c r="J23" i="34"/>
  <c r="L28" i="3"/>
  <c r="M12" i="3"/>
  <c r="M9" i="3"/>
  <c r="L25" i="3"/>
  <c r="L11" i="32"/>
  <c r="C38" i="51"/>
  <c r="L9" i="41"/>
  <c r="M9" i="41" s="1"/>
  <c r="H9" i="41"/>
  <c r="P9" i="41"/>
  <c r="B34" i="24"/>
  <c r="B19" i="27"/>
  <c r="L6" i="32"/>
  <c r="C33" i="51"/>
  <c r="J6" i="41"/>
  <c r="K27" i="3"/>
  <c r="K37" i="3" s="1"/>
  <c r="L11" i="3"/>
  <c r="L21" i="3" s="1"/>
  <c r="L24" i="3"/>
  <c r="M8" i="3"/>
  <c r="L9" i="32"/>
  <c r="C36" i="51"/>
  <c r="G56" i="24"/>
  <c r="B25" i="27"/>
  <c r="K21" i="3"/>
  <c r="B43" i="3" s="1"/>
  <c r="K33" i="3"/>
  <c r="L17" i="3"/>
  <c r="M15" i="3"/>
  <c r="L31" i="3"/>
  <c r="G64" i="24"/>
  <c r="B26" i="27"/>
  <c r="G80" i="27"/>
  <c r="B82" i="27"/>
  <c r="C83" i="27" s="1"/>
  <c r="P7" i="41"/>
  <c r="L7" i="41"/>
  <c r="M7" i="41" s="1"/>
  <c r="H7" i="41"/>
  <c r="L14" i="3"/>
  <c r="K30" i="3"/>
  <c r="T6" i="37"/>
  <c r="T10" i="37"/>
  <c r="V10" i="37" s="1"/>
  <c r="T10" i="25"/>
  <c r="V10" i="25" s="1"/>
  <c r="T6" i="25"/>
  <c r="H16" i="36" l="1"/>
  <c r="D8" i="51" s="1"/>
  <c r="G73" i="36"/>
  <c r="G74" i="36" s="1"/>
  <c r="H15" i="36"/>
  <c r="H14" i="36"/>
  <c r="N9" i="3"/>
  <c r="M25" i="3"/>
  <c r="M17" i="3"/>
  <c r="L33" i="3"/>
  <c r="L3" i="32"/>
  <c r="C30" i="51"/>
  <c r="N12" i="3"/>
  <c r="M28" i="3"/>
  <c r="G27" i="44"/>
  <c r="B11" i="46"/>
  <c r="G26" i="44"/>
  <c r="G28" i="44" s="1"/>
  <c r="L10" i="32"/>
  <c r="C37" i="51"/>
  <c r="J24" i="34"/>
  <c r="J25" i="34" s="1"/>
  <c r="J26" i="34" s="1"/>
  <c r="P6" i="34"/>
  <c r="P4" i="34"/>
  <c r="Q4" i="34" s="1"/>
  <c r="L2" i="32"/>
  <c r="C29" i="51"/>
  <c r="M31" i="3"/>
  <c r="N15" i="3"/>
  <c r="L27" i="3"/>
  <c r="M11" i="3"/>
  <c r="G31" i="36"/>
  <c r="I31" i="36" s="1"/>
  <c r="I34" i="36" s="1"/>
  <c r="L12" i="41"/>
  <c r="M12" i="41" s="1"/>
  <c r="M19" i="41" s="1"/>
  <c r="H12" i="41"/>
  <c r="P12" i="41"/>
  <c r="P19" i="41" s="1"/>
  <c r="B4" i="36" s="1"/>
  <c r="H17" i="36" s="1"/>
  <c r="I19" i="41"/>
  <c r="J19" i="41"/>
  <c r="B14" i="36" s="1"/>
  <c r="B82" i="46" s="1"/>
  <c r="M14" i="3"/>
  <c r="L30" i="3"/>
  <c r="L7" i="32"/>
  <c r="C34" i="51"/>
  <c r="O9" i="3"/>
  <c r="M24" i="3"/>
  <c r="N8" i="3"/>
  <c r="L5" i="32"/>
  <c r="C32" i="51"/>
  <c r="M6" i="41"/>
  <c r="S10" i="37"/>
  <c r="AA12" i="37"/>
  <c r="S10" i="25"/>
  <c r="AA12" i="25"/>
  <c r="D9" i="51" l="1"/>
  <c r="I17" i="36"/>
  <c r="C9" i="51" s="1"/>
  <c r="D46" i="36"/>
  <c r="I35" i="36"/>
  <c r="I36" i="36" s="1"/>
  <c r="J39" i="36" s="1"/>
  <c r="P5" i="34"/>
  <c r="Q5" i="34" s="1"/>
  <c r="R4" i="34" s="1"/>
  <c r="P7" i="34"/>
  <c r="N11" i="3"/>
  <c r="M27" i="3"/>
  <c r="M37" i="3" s="1"/>
  <c r="D6" i="51"/>
  <c r="B31" i="36"/>
  <c r="B32" i="36" s="1"/>
  <c r="B33" i="36" s="1"/>
  <c r="I14" i="36"/>
  <c r="G62" i="36"/>
  <c r="G63" i="36" s="1"/>
  <c r="L8" i="32"/>
  <c r="C35" i="51"/>
  <c r="L37" i="3"/>
  <c r="AS9" i="3"/>
  <c r="AS25" i="3" s="1"/>
  <c r="AA9" i="3"/>
  <c r="AA25" i="3" s="1"/>
  <c r="T9" i="3"/>
  <c r="T25" i="3" s="1"/>
  <c r="AB9" i="3"/>
  <c r="AB25" i="3" s="1"/>
  <c r="V9" i="3"/>
  <c r="V25" i="3" s="1"/>
  <c r="AP9" i="3"/>
  <c r="AP25" i="3" s="1"/>
  <c r="AQ9" i="3"/>
  <c r="AQ25" i="3" s="1"/>
  <c r="AC9" i="3"/>
  <c r="AC25" i="3" s="1"/>
  <c r="AJ9" i="3"/>
  <c r="AJ25" i="3" s="1"/>
  <c r="AT9" i="3"/>
  <c r="AT25" i="3" s="1"/>
  <c r="AI9" i="3"/>
  <c r="S9" i="3"/>
  <c r="AN9" i="3"/>
  <c r="AN25" i="3" s="1"/>
  <c r="AK9" i="3"/>
  <c r="AK25" i="3" s="1"/>
  <c r="W9" i="3"/>
  <c r="W25" i="3" s="1"/>
  <c r="X9" i="3"/>
  <c r="X25" i="3" s="1"/>
  <c r="AR9" i="3"/>
  <c r="AD9" i="3"/>
  <c r="AD25" i="3" s="1"/>
  <c r="N25" i="3"/>
  <c r="O25" i="3" s="1"/>
  <c r="U9" i="3"/>
  <c r="U25" i="3" s="1"/>
  <c r="AM9" i="3"/>
  <c r="AM25" i="3" s="1"/>
  <c r="AL9" i="3"/>
  <c r="AL25" i="3" s="1"/>
  <c r="AO9" i="3"/>
  <c r="AO25" i="3" s="1"/>
  <c r="Y9" i="3"/>
  <c r="Y25" i="3" s="1"/>
  <c r="Z9" i="3"/>
  <c r="Z25" i="3" s="1"/>
  <c r="M21" i="3"/>
  <c r="M30" i="3"/>
  <c r="N14" i="3"/>
  <c r="AS15" i="3"/>
  <c r="AS31" i="3" s="1"/>
  <c r="AA15" i="3"/>
  <c r="AA31" i="3" s="1"/>
  <c r="Y15" i="3"/>
  <c r="Y31" i="3" s="1"/>
  <c r="AJ15" i="3"/>
  <c r="AJ31" i="3" s="1"/>
  <c r="AB15" i="3"/>
  <c r="AB31" i="3" s="1"/>
  <c r="S15" i="3"/>
  <c r="AT15" i="3"/>
  <c r="AT31" i="3" s="1"/>
  <c r="AC15" i="3"/>
  <c r="AC31" i="3" s="1"/>
  <c r="AL15" i="3"/>
  <c r="AL31" i="3" s="1"/>
  <c r="N31" i="3"/>
  <c r="O31" i="3" s="1"/>
  <c r="V15" i="3"/>
  <c r="V31" i="3" s="1"/>
  <c r="W15" i="3"/>
  <c r="W31" i="3" s="1"/>
  <c r="AI15" i="3"/>
  <c r="AD15" i="3"/>
  <c r="AD31" i="3" s="1"/>
  <c r="AQ15" i="3"/>
  <c r="AQ31" i="3" s="1"/>
  <c r="AN15" i="3"/>
  <c r="AN31" i="3" s="1"/>
  <c r="Z15" i="3"/>
  <c r="Z31" i="3" s="1"/>
  <c r="AK15" i="3"/>
  <c r="AK31" i="3" s="1"/>
  <c r="AM15" i="3"/>
  <c r="AM31" i="3" s="1"/>
  <c r="T15" i="3"/>
  <c r="T31" i="3" s="1"/>
  <c r="U15" i="3"/>
  <c r="U31" i="3" s="1"/>
  <c r="AO15" i="3"/>
  <c r="AO31" i="3" s="1"/>
  <c r="AP15" i="3"/>
  <c r="AP31" i="3" s="1"/>
  <c r="X15" i="3"/>
  <c r="X31" i="3" s="1"/>
  <c r="AR15" i="3"/>
  <c r="D7" i="51"/>
  <c r="D49" i="36"/>
  <c r="I15" i="36"/>
  <c r="C7" i="51" s="1"/>
  <c r="Q6" i="34"/>
  <c r="B16" i="43"/>
  <c r="E16" i="43" s="1"/>
  <c r="O11" i="3"/>
  <c r="L19" i="41"/>
  <c r="G82" i="46"/>
  <c r="H83" i="46" s="1"/>
  <c r="C83" i="46"/>
  <c r="O15" i="3"/>
  <c r="C18" i="51"/>
  <c r="B36" i="46"/>
  <c r="AK12" i="3"/>
  <c r="AK28" i="3" s="1"/>
  <c r="Y12" i="3"/>
  <c r="Y28" i="3" s="1"/>
  <c r="AM12" i="3"/>
  <c r="AM28" i="3" s="1"/>
  <c r="AP12" i="3"/>
  <c r="AP28" i="3" s="1"/>
  <c r="AB12" i="3"/>
  <c r="AB28" i="3" s="1"/>
  <c r="Z12" i="3"/>
  <c r="Z28" i="3" s="1"/>
  <c r="AN12" i="3"/>
  <c r="AN28" i="3" s="1"/>
  <c r="AQ12" i="3"/>
  <c r="AQ28" i="3" s="1"/>
  <c r="V12" i="3"/>
  <c r="V28" i="3" s="1"/>
  <c r="AR12" i="3"/>
  <c r="W12" i="3"/>
  <c r="W28" i="3" s="1"/>
  <c r="AL12" i="3"/>
  <c r="AL28" i="3" s="1"/>
  <c r="AC12" i="3"/>
  <c r="AC28" i="3" s="1"/>
  <c r="AD12" i="3"/>
  <c r="AD28" i="3" s="1"/>
  <c r="AJ12" i="3"/>
  <c r="AJ28" i="3" s="1"/>
  <c r="T12" i="3"/>
  <c r="T28" i="3" s="1"/>
  <c r="AS12" i="3"/>
  <c r="AS28" i="3" s="1"/>
  <c r="AT12" i="3"/>
  <c r="AT28" i="3" s="1"/>
  <c r="X12" i="3"/>
  <c r="X28" i="3" s="1"/>
  <c r="AI12" i="3"/>
  <c r="U12" i="3"/>
  <c r="U28" i="3" s="1"/>
  <c r="AA12" i="3"/>
  <c r="AA28" i="3" s="1"/>
  <c r="S12" i="3"/>
  <c r="AO12" i="3"/>
  <c r="AO28" i="3" s="1"/>
  <c r="O12" i="3"/>
  <c r="N28" i="3"/>
  <c r="O28" i="3" s="1"/>
  <c r="H19" i="41"/>
  <c r="B5" i="36" s="1"/>
  <c r="X8" i="3"/>
  <c r="AC8" i="3"/>
  <c r="AC24" i="3" s="1"/>
  <c r="AB8" i="3"/>
  <c r="AB24" i="3" s="1"/>
  <c r="S8" i="3"/>
  <c r="Y8" i="3"/>
  <c r="Y24" i="3" s="1"/>
  <c r="V8" i="3"/>
  <c r="V24" i="3" s="1"/>
  <c r="W8" i="3"/>
  <c r="W24" i="3" s="1"/>
  <c r="N24" i="3"/>
  <c r="O24" i="3" s="1"/>
  <c r="AA8" i="3"/>
  <c r="AA24" i="3" s="1"/>
  <c r="Z8" i="3"/>
  <c r="Z24" i="3" s="1"/>
  <c r="AD8" i="3"/>
  <c r="O8" i="3"/>
  <c r="T8" i="3"/>
  <c r="T24" i="3" s="1"/>
  <c r="U8" i="3"/>
  <c r="U24" i="3" s="1"/>
  <c r="N17" i="3"/>
  <c r="O17" i="3" s="1"/>
  <c r="M33" i="3"/>
  <c r="AC12" i="37"/>
  <c r="AE12" i="37"/>
  <c r="U10" i="37"/>
  <c r="W10" i="37"/>
  <c r="U10" i="25"/>
  <c r="W10" i="25"/>
  <c r="AE12" i="25"/>
  <c r="AC12" i="25"/>
  <c r="Y37" i="3" l="1"/>
  <c r="B44" i="3"/>
  <c r="S25" i="3"/>
  <c r="AE25" i="3" s="1"/>
  <c r="AE9" i="3"/>
  <c r="S24" i="3"/>
  <c r="AE8" i="3"/>
  <c r="I11" i="5"/>
  <c r="K11" i="5" s="1"/>
  <c r="AR31" i="3"/>
  <c r="AP11" i="3"/>
  <c r="AP27" i="3" s="1"/>
  <c r="AB11" i="3"/>
  <c r="AB27" i="3" s="1"/>
  <c r="AB37" i="3" s="1"/>
  <c r="AQ11" i="3"/>
  <c r="AQ27" i="3" s="1"/>
  <c r="S11" i="3"/>
  <c r="Z11" i="3"/>
  <c r="U11" i="3"/>
  <c r="AK11" i="3"/>
  <c r="AK27" i="3" s="1"/>
  <c r="AT11" i="3"/>
  <c r="AT27" i="3" s="1"/>
  <c r="AC11" i="3"/>
  <c r="AC27" i="3" s="1"/>
  <c r="AC37" i="3" s="1"/>
  <c r="AR11" i="3"/>
  <c r="AD11" i="3"/>
  <c r="AD27" i="3" s="1"/>
  <c r="AO11" i="3"/>
  <c r="AO27" i="3" s="1"/>
  <c r="X11" i="3"/>
  <c r="X27" i="3" s="1"/>
  <c r="AS11" i="3"/>
  <c r="AS27" i="3" s="1"/>
  <c r="AL11" i="3"/>
  <c r="AL27" i="3" s="1"/>
  <c r="AM11" i="3"/>
  <c r="AM27" i="3" s="1"/>
  <c r="AN11" i="3"/>
  <c r="AN27" i="3" s="1"/>
  <c r="T11" i="3"/>
  <c r="Y11" i="3"/>
  <c r="Y27" i="3" s="1"/>
  <c r="AA11" i="3"/>
  <c r="AJ11" i="3"/>
  <c r="AJ27" i="3" s="1"/>
  <c r="V11" i="3"/>
  <c r="V27" i="3" s="1"/>
  <c r="V37" i="3" s="1"/>
  <c r="W11" i="3"/>
  <c r="W27" i="3" s="1"/>
  <c r="W37" i="3" s="1"/>
  <c r="AI11" i="3"/>
  <c r="N27" i="3"/>
  <c r="H29" i="34"/>
  <c r="AE12" i="3"/>
  <c r="S28" i="3"/>
  <c r="AE28" i="3" s="1"/>
  <c r="G64" i="36"/>
  <c r="B26" i="46"/>
  <c r="X24" i="3"/>
  <c r="AI8" i="3"/>
  <c r="AD24" i="3"/>
  <c r="AQ8" i="3"/>
  <c r="AJ8" i="3"/>
  <c r="AT8" i="3"/>
  <c r="AL8" i="3"/>
  <c r="AM8" i="3"/>
  <c r="AN8" i="3"/>
  <c r="AS8" i="3"/>
  <c r="AK8" i="3"/>
  <c r="AO8" i="3"/>
  <c r="AP8" i="3"/>
  <c r="AR8" i="3"/>
  <c r="AR28" i="3"/>
  <c r="I8" i="5"/>
  <c r="K8" i="5" s="1"/>
  <c r="C6" i="51"/>
  <c r="N21" i="3"/>
  <c r="J38" i="36"/>
  <c r="J40" i="36" s="1"/>
  <c r="J35" i="36"/>
  <c r="S31" i="3"/>
  <c r="AE31" i="3" s="1"/>
  <c r="AE15" i="3"/>
  <c r="AI17" i="3"/>
  <c r="Y17" i="3"/>
  <c r="Y33" i="3" s="1"/>
  <c r="S17" i="3"/>
  <c r="AD17" i="3"/>
  <c r="AD33" i="3" s="1"/>
  <c r="AO17" i="3"/>
  <c r="AO33" i="3" s="1"/>
  <c r="AQ17" i="3"/>
  <c r="AQ33" i="3" s="1"/>
  <c r="V17" i="3"/>
  <c r="V33" i="3" s="1"/>
  <c r="N33" i="3"/>
  <c r="O33" i="3" s="1"/>
  <c r="AJ17" i="3"/>
  <c r="AJ33" i="3" s="1"/>
  <c r="AC17" i="3"/>
  <c r="AC33" i="3" s="1"/>
  <c r="AN17" i="3"/>
  <c r="AN33" i="3" s="1"/>
  <c r="AS17" i="3"/>
  <c r="AS33" i="3" s="1"/>
  <c r="AR17" i="3"/>
  <c r="Z17" i="3"/>
  <c r="Z33" i="3" s="1"/>
  <c r="T17" i="3"/>
  <c r="T33" i="3" s="1"/>
  <c r="U17" i="3"/>
  <c r="U33" i="3" s="1"/>
  <c r="X17" i="3"/>
  <c r="X33" i="3" s="1"/>
  <c r="AA17" i="3"/>
  <c r="AA33" i="3" s="1"/>
  <c r="AL17" i="3"/>
  <c r="AL33" i="3" s="1"/>
  <c r="W17" i="3"/>
  <c r="W33" i="3" s="1"/>
  <c r="AT17" i="3"/>
  <c r="AT33" i="3" s="1"/>
  <c r="AM17" i="3"/>
  <c r="AM33" i="3" s="1"/>
  <c r="AK17" i="3"/>
  <c r="AK33" i="3" s="1"/>
  <c r="AB17" i="3"/>
  <c r="AB33" i="3" s="1"/>
  <c r="AP17" i="3"/>
  <c r="AP33" i="3" s="1"/>
  <c r="AI31" i="3"/>
  <c r="AU15" i="3"/>
  <c r="AR25" i="3"/>
  <c r="I5" i="5"/>
  <c r="K5" i="5" s="1"/>
  <c r="AQ14" i="3"/>
  <c r="AQ30" i="3" s="1"/>
  <c r="T14" i="3"/>
  <c r="T30" i="3" s="1"/>
  <c r="V14" i="3"/>
  <c r="V30" i="3" s="1"/>
  <c r="AN14" i="3"/>
  <c r="AN30" i="3" s="1"/>
  <c r="X14" i="3"/>
  <c r="X30" i="3" s="1"/>
  <c r="AK14" i="3"/>
  <c r="AK30" i="3" s="1"/>
  <c r="AT14" i="3"/>
  <c r="AT30" i="3" s="1"/>
  <c r="AI14" i="3"/>
  <c r="AM14" i="3"/>
  <c r="AM30" i="3" s="1"/>
  <c r="U14" i="3"/>
  <c r="U30" i="3" s="1"/>
  <c r="AR14" i="3"/>
  <c r="W14" i="3"/>
  <c r="W30" i="3" s="1"/>
  <c r="Y14" i="3"/>
  <c r="Y30" i="3" s="1"/>
  <c r="AJ14" i="3"/>
  <c r="AJ30" i="3" s="1"/>
  <c r="S14" i="3"/>
  <c r="AP14" i="3"/>
  <c r="AP30" i="3" s="1"/>
  <c r="Z14" i="3"/>
  <c r="Z30" i="3" s="1"/>
  <c r="AO14" i="3"/>
  <c r="AO30" i="3" s="1"/>
  <c r="AL14" i="3"/>
  <c r="AL30" i="3" s="1"/>
  <c r="AS14" i="3"/>
  <c r="AS30" i="3" s="1"/>
  <c r="N30" i="3"/>
  <c r="O30" i="3" s="1"/>
  <c r="AA14" i="3"/>
  <c r="AA30" i="3" s="1"/>
  <c r="AB14" i="3"/>
  <c r="AB30" i="3" s="1"/>
  <c r="AC14" i="3"/>
  <c r="AC30" i="3" s="1"/>
  <c r="AD14" i="3"/>
  <c r="AD30" i="3" s="1"/>
  <c r="O14" i="3"/>
  <c r="O21" i="3" s="1"/>
  <c r="Q7" i="34"/>
  <c r="R6" i="34" s="1"/>
  <c r="B17" i="43"/>
  <c r="E17" i="43" s="1"/>
  <c r="E26" i="43" s="1"/>
  <c r="C6" i="46"/>
  <c r="I16" i="36"/>
  <c r="C8" i="51" s="1"/>
  <c r="G81" i="36"/>
  <c r="AU9" i="3"/>
  <c r="AI25" i="3"/>
  <c r="D10" i="51"/>
  <c r="C14" i="51" s="1"/>
  <c r="AD21" i="3"/>
  <c r="AU12" i="3"/>
  <c r="AI28" i="3"/>
  <c r="B34" i="36"/>
  <c r="B19" i="46"/>
  <c r="T11" i="37"/>
  <c r="AB13" i="37"/>
  <c r="T11" i="25"/>
  <c r="AB13" i="25"/>
  <c r="C15" i="51" l="1"/>
  <c r="B23" i="46"/>
  <c r="J41" i="36"/>
  <c r="AT24" i="3"/>
  <c r="AT37" i="3" s="1"/>
  <c r="AT21" i="3"/>
  <c r="AP21" i="3"/>
  <c r="AP24" i="3"/>
  <c r="AP37" i="3" s="1"/>
  <c r="AE24" i="3"/>
  <c r="AJ24" i="3"/>
  <c r="AJ37" i="3" s="1"/>
  <c r="AJ21" i="3"/>
  <c r="AU25" i="3"/>
  <c r="M3" i="32" s="1"/>
  <c r="AD37" i="3"/>
  <c r="AR24" i="3"/>
  <c r="AR21" i="3"/>
  <c r="I4" i="5"/>
  <c r="K4" i="5" s="1"/>
  <c r="C10" i="51"/>
  <c r="X21" i="3"/>
  <c r="AA27" i="3"/>
  <c r="AA37" i="3" s="1"/>
  <c r="AA21" i="3"/>
  <c r="V21" i="3"/>
  <c r="B13" i="36"/>
  <c r="H30" i="34"/>
  <c r="I10" i="5"/>
  <c r="K10" i="5" s="1"/>
  <c r="AR30" i="3"/>
  <c r="O27" i="3"/>
  <c r="O37" i="3" s="1"/>
  <c r="N37" i="3"/>
  <c r="C5" i="46"/>
  <c r="C4" i="46"/>
  <c r="B3" i="46"/>
  <c r="C9" i="46" s="1"/>
  <c r="B8" i="46" s="1"/>
  <c r="AC21" i="3"/>
  <c r="T27" i="3"/>
  <c r="T37" i="3" s="1"/>
  <c r="T21" i="3"/>
  <c r="S30" i="3"/>
  <c r="AE30" i="3" s="1"/>
  <c r="AE14" i="3"/>
  <c r="AN21" i="3"/>
  <c r="AN24" i="3"/>
  <c r="AN37" i="3" s="1"/>
  <c r="Z27" i="3"/>
  <c r="Z37" i="3" s="1"/>
  <c r="Z21" i="3"/>
  <c r="AE17" i="3"/>
  <c r="S33" i="3"/>
  <c r="AE33" i="3" s="1"/>
  <c r="AI27" i="3"/>
  <c r="AU27" i="3" s="1"/>
  <c r="M5" i="32" s="1"/>
  <c r="AU11" i="3"/>
  <c r="AU31" i="3"/>
  <c r="M9" i="32" s="1"/>
  <c r="I13" i="5"/>
  <c r="K13" i="5" s="1"/>
  <c r="AR33" i="3"/>
  <c r="AU8" i="3"/>
  <c r="AI21" i="3"/>
  <c r="D41" i="3" s="1"/>
  <c r="AI24" i="3"/>
  <c r="I7" i="5"/>
  <c r="K7" i="5" s="1"/>
  <c r="AR27" i="3"/>
  <c r="G82" i="36"/>
  <c r="B29" i="46"/>
  <c r="C17" i="51"/>
  <c r="X37" i="3"/>
  <c r="S21" i="3"/>
  <c r="E27" i="43"/>
  <c r="E28" i="43" s="1"/>
  <c r="B12" i="46"/>
  <c r="U27" i="3"/>
  <c r="U37" i="3" s="1"/>
  <c r="U21" i="3"/>
  <c r="AM24" i="3"/>
  <c r="AM37" i="3" s="1"/>
  <c r="AM21" i="3"/>
  <c r="S27" i="3"/>
  <c r="AE11" i="3"/>
  <c r="AB21" i="3"/>
  <c r="AQ24" i="3"/>
  <c r="AQ37" i="3" s="1"/>
  <c r="AQ21" i="3"/>
  <c r="AI30" i="3"/>
  <c r="AU14" i="3"/>
  <c r="AI33" i="3"/>
  <c r="AU33" i="3" s="1"/>
  <c r="M11" i="32" s="1"/>
  <c r="AU17" i="3"/>
  <c r="Y21" i="3"/>
  <c r="C43" i="3" s="1"/>
  <c r="W21" i="3"/>
  <c r="AO24" i="3"/>
  <c r="AO37" i="3" s="1"/>
  <c r="AO21" i="3"/>
  <c r="AK24" i="3"/>
  <c r="AK37" i="3" s="1"/>
  <c r="AK21" i="3"/>
  <c r="AS24" i="3"/>
  <c r="AS37" i="3" s="1"/>
  <c r="AS21" i="3"/>
  <c r="AU28" i="3"/>
  <c r="M6" i="32" s="1"/>
  <c r="AL21" i="3"/>
  <c r="AL24" i="3"/>
  <c r="AL37" i="3" s="1"/>
  <c r="AD13" i="37"/>
  <c r="AA13" i="37"/>
  <c r="V11" i="37"/>
  <c r="S11" i="37"/>
  <c r="S11" i="25"/>
  <c r="V11" i="25"/>
  <c r="AD13" i="25"/>
  <c r="AA13" i="25"/>
  <c r="AI37" i="3" l="1"/>
  <c r="AU24" i="3"/>
  <c r="C42" i="3"/>
  <c r="AU30" i="3"/>
  <c r="M8" i="32" s="1"/>
  <c r="C11" i="51"/>
  <c r="C13" i="51"/>
  <c r="C12" i="51"/>
  <c r="AE21" i="3"/>
  <c r="K17" i="5"/>
  <c r="AU21" i="3"/>
  <c r="B14" i="46"/>
  <c r="C15" i="46" s="1"/>
  <c r="B13" i="46"/>
  <c r="S37" i="3"/>
  <c r="C41" i="3"/>
  <c r="C44" i="3"/>
  <c r="D43" i="3"/>
  <c r="AE27" i="3"/>
  <c r="AE37" i="3" s="1"/>
  <c r="I20" i="51" s="1"/>
  <c r="D44" i="3"/>
  <c r="N3" i="5" s="1"/>
  <c r="D42" i="3"/>
  <c r="L17" i="51"/>
  <c r="H20" i="51"/>
  <c r="AR37" i="3"/>
  <c r="AC13" i="37"/>
  <c r="AE13" i="37"/>
  <c r="W11" i="37"/>
  <c r="U11" i="37"/>
  <c r="W11" i="25"/>
  <c r="U11" i="25"/>
  <c r="AE13" i="25"/>
  <c r="AC13" i="25"/>
  <c r="K19" i="5" l="1"/>
  <c r="K21" i="5" s="1"/>
  <c r="V7" i="5"/>
  <c r="V8" i="5"/>
  <c r="V17" i="5"/>
  <c r="N5" i="5"/>
  <c r="C16" i="46"/>
  <c r="AU37" i="3"/>
  <c r="M2" i="32"/>
  <c r="T12" i="37"/>
  <c r="AB14" i="37"/>
  <c r="AB14" i="25"/>
  <c r="T12" i="25"/>
  <c r="C33" i="5" l="1"/>
  <c r="K23" i="5"/>
  <c r="C34" i="5"/>
  <c r="D44" i="24"/>
  <c r="D44" i="36"/>
  <c r="N7" i="5"/>
  <c r="N9" i="5" s="1"/>
  <c r="E4" i="5" s="1"/>
  <c r="C29" i="5"/>
  <c r="C7" i="6" s="1"/>
  <c r="V24" i="5"/>
  <c r="Z23" i="5"/>
  <c r="W34" i="5"/>
  <c r="W35" i="5" s="1"/>
  <c r="W36" i="5" s="1"/>
  <c r="V11" i="5"/>
  <c r="AA14" i="37"/>
  <c r="AD14" i="37"/>
  <c r="S12" i="37"/>
  <c r="V12" i="37"/>
  <c r="S12" i="25"/>
  <c r="V12" i="25"/>
  <c r="AA14" i="25"/>
  <c r="AD14" i="25"/>
  <c r="C37" i="5" l="1"/>
  <c r="V12" i="5"/>
  <c r="C74" i="24"/>
  <c r="D74" i="24" s="1"/>
  <c r="B60" i="27" s="1"/>
  <c r="C61" i="27" s="1"/>
  <c r="C78" i="36"/>
  <c r="D78" i="36" s="1"/>
  <c r="B60" i="46" s="1"/>
  <c r="C61" i="46" s="1"/>
  <c r="L8" i="6"/>
  <c r="C35" i="5"/>
  <c r="C9" i="6" s="1"/>
  <c r="W39" i="5"/>
  <c r="E6" i="5" s="1"/>
  <c r="E3" i="5"/>
  <c r="K25" i="5"/>
  <c r="U12" i="37"/>
  <c r="W12" i="37"/>
  <c r="AC14" i="37"/>
  <c r="AE14" i="37"/>
  <c r="AC14" i="25"/>
  <c r="AE14" i="25"/>
  <c r="U12" i="25"/>
  <c r="W12" i="25"/>
  <c r="C81" i="36" l="1"/>
  <c r="D81" i="36" s="1"/>
  <c r="B66" i="46" s="1"/>
  <c r="C67" i="46" s="1"/>
  <c r="C77" i="24"/>
  <c r="D77" i="24" s="1"/>
  <c r="B66" i="27" s="1"/>
  <c r="C67" i="27" s="1"/>
  <c r="L10" i="6"/>
  <c r="V13" i="5"/>
  <c r="V14" i="5" s="1"/>
  <c r="E5" i="5" s="1"/>
  <c r="E8" i="5" s="1"/>
  <c r="C32" i="5"/>
  <c r="D45" i="24"/>
  <c r="D45" i="36"/>
  <c r="C11" i="6"/>
  <c r="D56" i="36" s="1"/>
  <c r="AB15" i="37"/>
  <c r="T13" i="37"/>
  <c r="T13" i="25"/>
  <c r="AB15" i="25"/>
  <c r="D43" i="24" l="1"/>
  <c r="B6" i="36"/>
  <c r="D43" i="36"/>
  <c r="B25" i="5"/>
  <c r="C6" i="6" s="1"/>
  <c r="B24" i="5"/>
  <c r="D24" i="5"/>
  <c r="D25" i="5"/>
  <c r="L7" i="6" s="1"/>
  <c r="W10" i="5"/>
  <c r="B6" i="24"/>
  <c r="D57" i="36"/>
  <c r="C8" i="6"/>
  <c r="D57" i="24"/>
  <c r="C79" i="36"/>
  <c r="D79" i="36" s="1"/>
  <c r="B62" i="46" s="1"/>
  <c r="C63" i="46" s="1"/>
  <c r="C75" i="24"/>
  <c r="D75" i="24" s="1"/>
  <c r="B62" i="27" s="1"/>
  <c r="C63" i="27" s="1"/>
  <c r="D4" i="6" a="1"/>
  <c r="D4" i="6" s="1"/>
  <c r="L12" i="6"/>
  <c r="D56" i="24"/>
  <c r="S13" i="37"/>
  <c r="V13" i="37"/>
  <c r="AA15" i="37"/>
  <c r="AD15" i="37"/>
  <c r="AA15" i="25"/>
  <c r="AD15" i="25"/>
  <c r="S13" i="25"/>
  <c r="V13" i="25"/>
  <c r="G46" i="24" l="1"/>
  <c r="G47" i="24" s="1"/>
  <c r="H18" i="24"/>
  <c r="L6" i="6"/>
  <c r="D23" i="5"/>
  <c r="D3" i="37"/>
  <c r="D3" i="25"/>
  <c r="M4" i="6"/>
  <c r="M14" i="6" s="1"/>
  <c r="D13" i="6"/>
  <c r="C82" i="36"/>
  <c r="D82" i="36" s="1"/>
  <c r="B68" i="46" s="1"/>
  <c r="C69" i="46" s="1"/>
  <c r="D48" i="36"/>
  <c r="C16" i="51" s="1"/>
  <c r="C19" i="51" s="1"/>
  <c r="L9" i="6"/>
  <c r="C78" i="24"/>
  <c r="D78" i="24" s="1"/>
  <c r="B68" i="27" s="1"/>
  <c r="C69" i="27" s="1"/>
  <c r="D48" i="24"/>
  <c r="D50" i="24" s="1"/>
  <c r="H18" i="36"/>
  <c r="G46" i="36"/>
  <c r="G47" i="36" s="1"/>
  <c r="D55" i="24"/>
  <c r="D58" i="24" s="1"/>
  <c r="D59" i="24" s="1"/>
  <c r="B35" i="27" s="1"/>
  <c r="C37" i="27" s="1"/>
  <c r="C72" i="24"/>
  <c r="D72" i="24" s="1"/>
  <c r="B56" i="27" s="1"/>
  <c r="C57" i="27" s="1"/>
  <c r="C76" i="36"/>
  <c r="D76" i="36" s="1"/>
  <c r="B56" i="46" s="1"/>
  <c r="C57" i="46" s="1"/>
  <c r="D55" i="36"/>
  <c r="D58" i="36" s="1"/>
  <c r="D59" i="36" s="1"/>
  <c r="B35" i="46" s="1"/>
  <c r="C37" i="46" s="1"/>
  <c r="C13" i="6"/>
  <c r="D15" i="6" s="1"/>
  <c r="AC15" i="37"/>
  <c r="AE15" i="37"/>
  <c r="W13" i="37"/>
  <c r="U13" i="37"/>
  <c r="W13" i="25"/>
  <c r="U13" i="25"/>
  <c r="AE15" i="25"/>
  <c r="AC15" i="25"/>
  <c r="D50" i="36" l="1"/>
  <c r="H8" i="51"/>
  <c r="H11" i="51" s="1"/>
  <c r="G23" i="51" s="1"/>
  <c r="H6" i="51"/>
  <c r="D6" i="25"/>
  <c r="D10" i="25"/>
  <c r="F10" i="25" s="1"/>
  <c r="D6" i="37"/>
  <c r="D10" i="37"/>
  <c r="F10" i="37" s="1"/>
  <c r="I18" i="36"/>
  <c r="I19" i="36" s="1"/>
  <c r="H19" i="36"/>
  <c r="I22" i="36" s="1"/>
  <c r="D64" i="36"/>
  <c r="C70" i="24"/>
  <c r="D64" i="24"/>
  <c r="C74" i="36"/>
  <c r="L14" i="6"/>
  <c r="M16" i="6" s="1"/>
  <c r="B21" i="27"/>
  <c r="D51" i="24"/>
  <c r="I18" i="24"/>
  <c r="I19" i="24" s="1"/>
  <c r="H19" i="24"/>
  <c r="I22" i="24" s="1"/>
  <c r="G48" i="36"/>
  <c r="B24" i="46"/>
  <c r="B24" i="27"/>
  <c r="G48" i="24"/>
  <c r="T14" i="37"/>
  <c r="AB16" i="37"/>
  <c r="AB16" i="25"/>
  <c r="T14" i="25"/>
  <c r="C53" i="37" l="1"/>
  <c r="C39" i="37"/>
  <c r="C38" i="37"/>
  <c r="C10" i="37"/>
  <c r="C37" i="37"/>
  <c r="H7" i="51"/>
  <c r="D65" i="36"/>
  <c r="B22" i="46"/>
  <c r="C6" i="38"/>
  <c r="I24" i="36"/>
  <c r="I23" i="36"/>
  <c r="I21" i="36"/>
  <c r="C8" i="38" s="1"/>
  <c r="G30" i="38" s="1"/>
  <c r="H17" i="38" s="1"/>
  <c r="I20" i="36"/>
  <c r="C7" i="38" s="1"/>
  <c r="H16" i="38" s="1"/>
  <c r="B31" i="27"/>
  <c r="C32" i="27" s="1"/>
  <c r="I23" i="24"/>
  <c r="C6" i="26"/>
  <c r="I20" i="24"/>
  <c r="C7" i="26" s="1"/>
  <c r="I21" i="24"/>
  <c r="C8" i="26" s="1"/>
  <c r="G30" i="26" s="1"/>
  <c r="H17" i="26" s="1"/>
  <c r="I24" i="24"/>
  <c r="C53" i="25"/>
  <c r="C38" i="25"/>
  <c r="C37" i="25"/>
  <c r="C39" i="25"/>
  <c r="C10" i="25"/>
  <c r="B22" i="27"/>
  <c r="B30" i="27" s="1"/>
  <c r="D65" i="24"/>
  <c r="D51" i="36"/>
  <c r="B21" i="46"/>
  <c r="AA16" i="37"/>
  <c r="AD16" i="37"/>
  <c r="S14" i="37"/>
  <c r="V14" i="37"/>
  <c r="S14" i="25"/>
  <c r="V14" i="25"/>
  <c r="AA16" i="25"/>
  <c r="AD16" i="25"/>
  <c r="E10" i="37" l="1"/>
  <c r="G10" i="37"/>
  <c r="G29" i="38"/>
  <c r="C9" i="38"/>
  <c r="G31" i="38" s="1"/>
  <c r="H18" i="38" s="1"/>
  <c r="H35" i="38" s="1"/>
  <c r="G10" i="25"/>
  <c r="D11" i="25" s="1"/>
  <c r="E10" i="25"/>
  <c r="H9" i="51"/>
  <c r="I7" i="51"/>
  <c r="G20" i="51" s="1"/>
  <c r="B31" i="46"/>
  <c r="C32" i="46" s="1"/>
  <c r="B30" i="46"/>
  <c r="H16" i="26"/>
  <c r="C9" i="26"/>
  <c r="G31" i="26" s="1"/>
  <c r="H18" i="26" s="1"/>
  <c r="G29" i="26"/>
  <c r="W14" i="37"/>
  <c r="U14" i="37"/>
  <c r="AC16" i="37"/>
  <c r="AE16" i="37"/>
  <c r="AC16" i="25"/>
  <c r="AE16" i="25"/>
  <c r="U14" i="25"/>
  <c r="W14" i="25"/>
  <c r="H35" i="26" l="1"/>
  <c r="G21" i="51"/>
  <c r="F11" i="25"/>
  <c r="C11" i="25"/>
  <c r="G11" i="25" s="1"/>
  <c r="D12" i="25" s="1"/>
  <c r="G16" i="38"/>
  <c r="G35" i="38" s="1"/>
  <c r="D11" i="37"/>
  <c r="G16" i="26"/>
  <c r="G35" i="26" s="1"/>
  <c r="AB17" i="37"/>
  <c r="T15" i="37"/>
  <c r="T15" i="25"/>
  <c r="AB17" i="25"/>
  <c r="F11" i="37" l="1"/>
  <c r="C11" i="37"/>
  <c r="E11" i="25"/>
  <c r="S15" i="37"/>
  <c r="V15" i="37"/>
  <c r="AA17" i="37"/>
  <c r="AD17" i="37"/>
  <c r="C12" i="25"/>
  <c r="B41" i="27"/>
  <c r="F12" i="25"/>
  <c r="AA17" i="25"/>
  <c r="AD17" i="25"/>
  <c r="S15" i="25"/>
  <c r="V15" i="25"/>
  <c r="G11" i="37" l="1"/>
  <c r="E11" i="37"/>
  <c r="AE17" i="37"/>
  <c r="AC17" i="37"/>
  <c r="U15" i="37"/>
  <c r="W15" i="37"/>
  <c r="W15" i="25"/>
  <c r="U15" i="25"/>
  <c r="AC17" i="25"/>
  <c r="AE17" i="25"/>
  <c r="B40" i="27"/>
  <c r="C42" i="27" s="1"/>
  <c r="G12" i="25"/>
  <c r="E12" i="25"/>
  <c r="D12" i="37" l="1"/>
  <c r="AB18" i="37"/>
  <c r="T16" i="37"/>
  <c r="D13" i="25"/>
  <c r="AB18" i="25"/>
  <c r="T16" i="25"/>
  <c r="C12" i="37" l="1"/>
  <c r="F12" i="37"/>
  <c r="S16" i="37"/>
  <c r="V16" i="37"/>
  <c r="AA18" i="37"/>
  <c r="AD18" i="37"/>
  <c r="S16" i="25"/>
  <c r="V16" i="25"/>
  <c r="AA18" i="25"/>
  <c r="AD18" i="25"/>
  <c r="C13" i="25"/>
  <c r="F13" i="25"/>
  <c r="E12" i="37" l="1"/>
  <c r="G12" i="37"/>
  <c r="AC18" i="37"/>
  <c r="AE18" i="37"/>
  <c r="W16" i="37"/>
  <c r="U16" i="37"/>
  <c r="E13" i="25"/>
  <c r="G13" i="25"/>
  <c r="AE18" i="25"/>
  <c r="AC18" i="25"/>
  <c r="U16" i="25"/>
  <c r="W16" i="25"/>
  <c r="D13" i="37" l="1"/>
  <c r="T17" i="37"/>
  <c r="AB19" i="37"/>
  <c r="T17" i="25"/>
  <c r="AB19" i="25"/>
  <c r="D14" i="25"/>
  <c r="C13" i="37" l="1"/>
  <c r="F13" i="37"/>
  <c r="AA19" i="37"/>
  <c r="AD19" i="37"/>
  <c r="S17" i="37"/>
  <c r="V17" i="37"/>
  <c r="C14" i="25"/>
  <c r="F14" i="25"/>
  <c r="AA19" i="25"/>
  <c r="AD19" i="25"/>
  <c r="S17" i="25"/>
  <c r="V17" i="25"/>
  <c r="E13" i="37" l="1"/>
  <c r="G13" i="37"/>
  <c r="W17" i="37"/>
  <c r="U17" i="37"/>
  <c r="AE19" i="37"/>
  <c r="AC19" i="37"/>
  <c r="U17" i="25"/>
  <c r="W17" i="25"/>
  <c r="AC19" i="25"/>
  <c r="AE19" i="25"/>
  <c r="E14" i="25"/>
  <c r="G14" i="25"/>
  <c r="D14" i="37" l="1"/>
  <c r="AB20" i="37"/>
  <c r="T18" i="37"/>
  <c r="D15" i="25"/>
  <c r="AB20" i="25"/>
  <c r="T18" i="25"/>
  <c r="C14" i="37" l="1"/>
  <c r="F14" i="37"/>
  <c r="S18" i="37"/>
  <c r="V18" i="37"/>
  <c r="AA20" i="37"/>
  <c r="AD20" i="37"/>
  <c r="S18" i="25"/>
  <c r="V18" i="25"/>
  <c r="AA20" i="25"/>
  <c r="AD20" i="25"/>
  <c r="C15" i="25"/>
  <c r="F15" i="25"/>
  <c r="E14" i="37" l="1"/>
  <c r="G14" i="37"/>
  <c r="AC20" i="37"/>
  <c r="AE20" i="37"/>
  <c r="U18" i="37"/>
  <c r="W18" i="37"/>
  <c r="G15" i="25"/>
  <c r="E15" i="25"/>
  <c r="AE20" i="25"/>
  <c r="AC20" i="25"/>
  <c r="W18" i="25"/>
  <c r="U18" i="25"/>
  <c r="D15" i="37" l="1"/>
  <c r="AB21" i="37"/>
  <c r="T19" i="37"/>
  <c r="T19" i="25"/>
  <c r="AB21" i="25"/>
  <c r="D16" i="25"/>
  <c r="C15" i="37" l="1"/>
  <c r="B41" i="46"/>
  <c r="F15" i="37"/>
  <c r="S19" i="37"/>
  <c r="V19" i="37"/>
  <c r="AA21" i="37"/>
  <c r="AD21" i="37"/>
  <c r="C16" i="25"/>
  <c r="F16" i="25"/>
  <c r="AA21" i="25"/>
  <c r="AD21" i="25"/>
  <c r="S19" i="25"/>
  <c r="V19" i="25"/>
  <c r="B40" i="46" l="1"/>
  <c r="C42" i="46" s="1"/>
  <c r="E15" i="37"/>
  <c r="G15" i="37"/>
  <c r="AE21" i="37"/>
  <c r="AC21" i="37"/>
  <c r="W19" i="37"/>
  <c r="U19" i="37"/>
  <c r="U19" i="25"/>
  <c r="W19" i="25"/>
  <c r="AC21" i="25"/>
  <c r="AE21" i="25"/>
  <c r="E16" i="25"/>
  <c r="G16" i="25"/>
  <c r="D16" i="37" l="1"/>
  <c r="T20" i="37"/>
  <c r="AB22" i="37"/>
  <c r="D17" i="25"/>
  <c r="AB22" i="25"/>
  <c r="T20" i="25"/>
  <c r="C16" i="37" l="1"/>
  <c r="F16" i="37"/>
  <c r="AA22" i="37"/>
  <c r="AD22" i="37"/>
  <c r="S20" i="37"/>
  <c r="V20" i="37"/>
  <c r="S20" i="25"/>
  <c r="V20" i="25"/>
  <c r="AA22" i="25"/>
  <c r="AD22" i="25"/>
  <c r="C17" i="25"/>
  <c r="F17" i="25"/>
  <c r="G16" i="37" l="1"/>
  <c r="E16" i="37"/>
  <c r="U20" i="37"/>
  <c r="W20" i="37"/>
  <c r="AC22" i="37"/>
  <c r="AE22" i="37"/>
  <c r="AE22" i="25"/>
  <c r="AC22" i="25"/>
  <c r="G17" i="25"/>
  <c r="E17" i="25"/>
  <c r="W20" i="25"/>
  <c r="U20" i="25"/>
  <c r="D17" i="37" l="1"/>
  <c r="AB23" i="37"/>
  <c r="T21" i="37"/>
  <c r="T21" i="25"/>
  <c r="D18" i="25"/>
  <c r="AB23" i="25"/>
  <c r="C17" i="37" l="1"/>
  <c r="F17" i="37"/>
  <c r="S21" i="37"/>
  <c r="V21" i="37"/>
  <c r="AA23" i="37"/>
  <c r="AD23" i="37"/>
  <c r="C18" i="25"/>
  <c r="F18" i="25"/>
  <c r="AA23" i="25"/>
  <c r="AD23" i="25"/>
  <c r="S21" i="25"/>
  <c r="V21" i="25"/>
  <c r="E17" i="37" l="1"/>
  <c r="G17" i="37"/>
  <c r="AE23" i="37"/>
  <c r="AC23" i="37"/>
  <c r="U21" i="37"/>
  <c r="W21" i="37"/>
  <c r="W21" i="25"/>
  <c r="U21" i="25"/>
  <c r="AC23" i="25"/>
  <c r="AE23" i="25"/>
  <c r="G18" i="25"/>
  <c r="E18" i="25"/>
  <c r="D18" i="37" l="1"/>
  <c r="T22" i="37"/>
  <c r="AB24" i="37"/>
  <c r="D19" i="25"/>
  <c r="AB24" i="25"/>
  <c r="T22" i="25"/>
  <c r="C18" i="37" l="1"/>
  <c r="F18" i="37"/>
  <c r="AA24" i="37"/>
  <c r="AD24" i="37"/>
  <c r="S22" i="37"/>
  <c r="V22" i="37"/>
  <c r="S22" i="25"/>
  <c r="V22" i="25"/>
  <c r="AA24" i="25"/>
  <c r="AD24" i="25"/>
  <c r="C19" i="25"/>
  <c r="F19" i="25"/>
  <c r="G18" i="37" l="1"/>
  <c r="E18" i="37"/>
  <c r="W22" i="37"/>
  <c r="U22" i="37"/>
  <c r="AE24" i="37"/>
  <c r="AC24" i="37"/>
  <c r="AE24" i="25"/>
  <c r="AC24" i="25"/>
  <c r="E19" i="25"/>
  <c r="G19" i="25"/>
  <c r="U22" i="25"/>
  <c r="W22" i="25"/>
  <c r="D19" i="37" l="1"/>
  <c r="AB25" i="37"/>
  <c r="T23" i="37"/>
  <c r="T23" i="25"/>
  <c r="D20" i="25"/>
  <c r="AB25" i="25"/>
  <c r="C19" i="37" l="1"/>
  <c r="F19" i="37"/>
  <c r="S23" i="37"/>
  <c r="V23" i="37"/>
  <c r="AA25" i="37"/>
  <c r="AD25" i="37"/>
  <c r="C20" i="25"/>
  <c r="F20" i="25"/>
  <c r="AA25" i="25"/>
  <c r="AD25" i="25"/>
  <c r="S23" i="25"/>
  <c r="V23" i="25"/>
  <c r="E19" i="37" l="1"/>
  <c r="G19" i="37"/>
  <c r="AC25" i="37"/>
  <c r="AE25" i="37"/>
  <c r="U23" i="37"/>
  <c r="W23" i="37"/>
  <c r="U23" i="25"/>
  <c r="W23" i="25"/>
  <c r="AC25" i="25"/>
  <c r="AE25" i="25"/>
  <c r="G20" i="25"/>
  <c r="E20" i="25"/>
  <c r="D20" i="37" l="1"/>
  <c r="T24" i="37"/>
  <c r="AB26" i="37"/>
  <c r="D21" i="25"/>
  <c r="AB26" i="25"/>
  <c r="T24" i="25"/>
  <c r="C20" i="37" l="1"/>
  <c r="F20" i="37"/>
  <c r="AA26" i="37"/>
  <c r="AD26" i="37"/>
  <c r="S24" i="37"/>
  <c r="V24" i="37"/>
  <c r="C21" i="25"/>
  <c r="F21" i="25"/>
  <c r="AA26" i="25"/>
  <c r="AD26" i="25"/>
  <c r="S24" i="25"/>
  <c r="V24" i="25"/>
  <c r="E20" i="37" l="1"/>
  <c r="G20" i="37"/>
  <c r="U24" i="37"/>
  <c r="W24" i="37"/>
  <c r="AE26" i="37"/>
  <c r="AC26" i="37"/>
  <c r="W24" i="25"/>
  <c r="U24" i="25"/>
  <c r="AE26" i="25"/>
  <c r="AC26" i="25"/>
  <c r="G21" i="25"/>
  <c r="E21" i="25"/>
  <c r="D21" i="37" l="1"/>
  <c r="AB27" i="37"/>
  <c r="T25" i="37"/>
  <c r="D22" i="25"/>
  <c r="AB27" i="25"/>
  <c r="T25" i="25"/>
  <c r="C21" i="37" l="1"/>
  <c r="F21" i="37"/>
  <c r="S25" i="37"/>
  <c r="V25" i="37"/>
  <c r="AA27" i="37"/>
  <c r="AD27" i="37"/>
  <c r="S25" i="25"/>
  <c r="V25" i="25"/>
  <c r="C22" i="25"/>
  <c r="F22" i="25"/>
  <c r="AA27" i="25"/>
  <c r="AD27" i="25"/>
  <c r="G21" i="37" l="1"/>
  <c r="E21" i="37"/>
  <c r="AC27" i="37"/>
  <c r="AE27" i="37"/>
  <c r="U25" i="37"/>
  <c r="W25" i="37"/>
  <c r="W25" i="25"/>
  <c r="U25" i="25"/>
  <c r="AC27" i="25"/>
  <c r="AE27" i="25"/>
  <c r="G22" i="25"/>
  <c r="E22" i="25"/>
  <c r="D22" i="37" l="1"/>
  <c r="T26" i="37"/>
  <c r="AB28" i="37"/>
  <c r="D23" i="25"/>
  <c r="T26" i="25"/>
  <c r="AB28" i="25"/>
  <c r="C22" i="37" l="1"/>
  <c r="F22" i="37"/>
  <c r="AA28" i="37"/>
  <c r="AD28" i="37"/>
  <c r="S26" i="37"/>
  <c r="V26" i="37"/>
  <c r="C23" i="25"/>
  <c r="F23" i="25"/>
  <c r="S26" i="25"/>
  <c r="V26" i="25"/>
  <c r="AA28" i="25"/>
  <c r="AD28" i="25"/>
  <c r="E22" i="37" l="1"/>
  <c r="G22" i="37"/>
  <c r="U26" i="37"/>
  <c r="W26" i="37"/>
  <c r="AE28" i="37"/>
  <c r="AC28" i="37"/>
  <c r="G23" i="25"/>
  <c r="E23" i="25"/>
  <c r="AE28" i="25"/>
  <c r="AC28" i="25"/>
  <c r="W26" i="25"/>
  <c r="U26" i="25"/>
  <c r="D23" i="37" l="1"/>
  <c r="AB29" i="37"/>
  <c r="T27" i="37"/>
  <c r="T27" i="25"/>
  <c r="AB29" i="25"/>
  <c r="D24" i="25"/>
  <c r="C23" i="37" l="1"/>
  <c r="F23" i="37"/>
  <c r="S27" i="37"/>
  <c r="V27" i="37"/>
  <c r="AA29" i="37"/>
  <c r="AD29" i="37"/>
  <c r="S27" i="25"/>
  <c r="V27" i="25"/>
  <c r="C24" i="25"/>
  <c r="F24" i="25"/>
  <c r="AA29" i="25"/>
  <c r="AD29" i="25"/>
  <c r="E23" i="37" l="1"/>
  <c r="G23" i="37"/>
  <c r="AC29" i="37"/>
  <c r="AE29" i="37"/>
  <c r="W27" i="37"/>
  <c r="U27" i="37"/>
  <c r="AE29" i="25"/>
  <c r="AC29" i="25"/>
  <c r="E24" i="25"/>
  <c r="G24" i="25"/>
  <c r="W27" i="25"/>
  <c r="U27" i="25"/>
  <c r="D24" i="37" l="1"/>
  <c r="T28" i="37"/>
  <c r="AB30" i="37"/>
  <c r="D25" i="25"/>
  <c r="T28" i="25"/>
  <c r="AB30" i="25"/>
  <c r="C24" i="37" l="1"/>
  <c r="F24" i="37"/>
  <c r="AA30" i="37"/>
  <c r="AD30" i="37"/>
  <c r="S28" i="37"/>
  <c r="V28" i="37"/>
  <c r="AA30" i="25"/>
  <c r="AD30" i="25"/>
  <c r="S28" i="25"/>
  <c r="V28" i="25"/>
  <c r="C25" i="25"/>
  <c r="F25" i="25"/>
  <c r="G24" i="37" l="1"/>
  <c r="E24" i="37"/>
  <c r="W28" i="37"/>
  <c r="U28" i="37"/>
  <c r="AE30" i="37"/>
  <c r="AC30" i="37"/>
  <c r="G25" i="25"/>
  <c r="E25" i="25"/>
  <c r="U28" i="25"/>
  <c r="W28" i="25"/>
  <c r="AC30" i="25"/>
  <c r="AE30" i="25"/>
  <c r="D25" i="37" l="1"/>
  <c r="AB31" i="37"/>
  <c r="T29" i="37"/>
  <c r="D26" i="25"/>
  <c r="AB31" i="25"/>
  <c r="T29" i="25"/>
  <c r="C25" i="37" l="1"/>
  <c r="F25" i="37"/>
  <c r="S29" i="37"/>
  <c r="V29" i="37"/>
  <c r="AA31" i="37"/>
  <c r="AD31" i="37"/>
  <c r="S29" i="25"/>
  <c r="V29" i="25"/>
  <c r="AA31" i="25"/>
  <c r="AD31" i="25"/>
  <c r="C26" i="25"/>
  <c r="F26" i="25"/>
  <c r="E25" i="37" l="1"/>
  <c r="G25" i="37"/>
  <c r="AC31" i="37"/>
  <c r="AE31" i="37"/>
  <c r="U29" i="37"/>
  <c r="W29" i="37"/>
  <c r="E26" i="25"/>
  <c r="G26" i="25"/>
  <c r="AC31" i="25"/>
  <c r="AE31" i="25"/>
  <c r="W29" i="25"/>
  <c r="U29" i="25"/>
  <c r="D26" i="37" l="1"/>
  <c r="T30" i="37"/>
  <c r="AB32" i="37"/>
  <c r="T30" i="25"/>
  <c r="AB32" i="25"/>
  <c r="D27" i="25"/>
  <c r="C26" i="37" l="1"/>
  <c r="F26" i="37"/>
  <c r="AA32" i="37"/>
  <c r="AD32" i="37"/>
  <c r="S30" i="37"/>
  <c r="V30" i="37"/>
  <c r="C27" i="25"/>
  <c r="F27" i="25"/>
  <c r="AA32" i="25"/>
  <c r="AD32" i="25"/>
  <c r="S30" i="25"/>
  <c r="V30" i="25"/>
  <c r="E26" i="37" l="1"/>
  <c r="G26" i="37"/>
  <c r="W30" i="37"/>
  <c r="U30" i="37"/>
  <c r="AC32" i="37"/>
  <c r="AE32" i="37"/>
  <c r="U30" i="25"/>
  <c r="W30" i="25"/>
  <c r="AE32" i="25"/>
  <c r="AC32" i="25"/>
  <c r="G27" i="25"/>
  <c r="E27" i="25"/>
  <c r="D27" i="37" l="1"/>
  <c r="T31" i="37"/>
  <c r="AB33" i="37"/>
  <c r="D28" i="25"/>
  <c r="AB33" i="25"/>
  <c r="T31" i="25"/>
  <c r="C27" i="37" l="1"/>
  <c r="F27" i="37"/>
  <c r="S31" i="37"/>
  <c r="V31" i="37"/>
  <c r="AA33" i="37"/>
  <c r="AD33" i="37"/>
  <c r="C28" i="25"/>
  <c r="F28" i="25"/>
  <c r="AA33" i="25"/>
  <c r="AD33" i="25"/>
  <c r="S31" i="25"/>
  <c r="V31" i="25"/>
  <c r="G27" i="37" l="1"/>
  <c r="E27" i="37"/>
  <c r="AC33" i="37"/>
  <c r="AE33" i="37"/>
  <c r="U31" i="37"/>
  <c r="W31" i="37"/>
  <c r="AC33" i="25"/>
  <c r="AE33" i="25"/>
  <c r="W31" i="25"/>
  <c r="U31" i="25"/>
  <c r="G28" i="25"/>
  <c r="E28" i="25"/>
  <c r="D28" i="37" l="1"/>
  <c r="T32" i="37"/>
  <c r="AB34" i="37"/>
  <c r="D29" i="25"/>
  <c r="T32" i="25"/>
  <c r="AB34" i="25"/>
  <c r="C28" i="37" l="1"/>
  <c r="F28" i="37"/>
  <c r="AA34" i="37"/>
  <c r="AD34" i="37"/>
  <c r="S32" i="37"/>
  <c r="V32" i="37"/>
  <c r="AA34" i="25"/>
  <c r="AD34" i="25"/>
  <c r="S32" i="25"/>
  <c r="V32" i="25"/>
  <c r="C29" i="25"/>
  <c r="F29" i="25"/>
  <c r="E28" i="37" l="1"/>
  <c r="G28" i="37"/>
  <c r="U32" i="37"/>
  <c r="W32" i="37"/>
  <c r="AC34" i="37"/>
  <c r="AE34" i="37"/>
  <c r="E29" i="25"/>
  <c r="G29" i="25"/>
  <c r="U32" i="25"/>
  <c r="W32" i="25"/>
  <c r="AE34" i="25"/>
  <c r="AC34" i="25"/>
  <c r="D29" i="37" l="1"/>
  <c r="AB35" i="37"/>
  <c r="T33" i="37"/>
  <c r="AB35" i="25"/>
  <c r="D30" i="25"/>
  <c r="T33" i="25"/>
  <c r="C29" i="37" l="1"/>
  <c r="F29" i="37"/>
  <c r="S33" i="37"/>
  <c r="V33" i="37"/>
  <c r="AA35" i="37"/>
  <c r="AD35" i="37"/>
  <c r="S33" i="25"/>
  <c r="V33" i="25"/>
  <c r="C30" i="25"/>
  <c r="F30" i="25"/>
  <c r="AA35" i="25"/>
  <c r="AD35" i="25"/>
  <c r="G29" i="37" l="1"/>
  <c r="E29" i="37"/>
  <c r="AE35" i="37"/>
  <c r="AC35" i="37"/>
  <c r="W33" i="37"/>
  <c r="U33" i="37"/>
  <c r="AE35" i="25"/>
  <c r="AC35" i="25"/>
  <c r="G30" i="25"/>
  <c r="E30" i="25"/>
  <c r="U33" i="25"/>
  <c r="W33" i="25"/>
  <c r="D30" i="37" l="1"/>
  <c r="T34" i="37"/>
  <c r="AB36" i="37"/>
  <c r="T34" i="25"/>
  <c r="D31" i="25"/>
  <c r="AB36" i="25"/>
  <c r="C30" i="37" l="1"/>
  <c r="F30" i="37"/>
  <c r="AA36" i="37"/>
  <c r="AD36" i="37"/>
  <c r="S34" i="37"/>
  <c r="V34" i="37"/>
  <c r="AA36" i="25"/>
  <c r="AD36" i="25"/>
  <c r="C31" i="25"/>
  <c r="F31" i="25"/>
  <c r="S34" i="25"/>
  <c r="V34" i="25"/>
  <c r="E30" i="37" l="1"/>
  <c r="G30" i="37"/>
  <c r="U34" i="37"/>
  <c r="W34" i="37"/>
  <c r="AC36" i="37"/>
  <c r="AE36" i="37"/>
  <c r="U34" i="25"/>
  <c r="W34" i="25"/>
  <c r="E31" i="25"/>
  <c r="G31" i="25"/>
  <c r="AC36" i="25"/>
  <c r="AE36" i="25"/>
  <c r="D31" i="37" l="1"/>
  <c r="AB37" i="37"/>
  <c r="T35" i="37"/>
  <c r="AB37" i="25"/>
  <c r="D32" i="25"/>
  <c r="T35" i="25"/>
  <c r="C31" i="37" l="1"/>
  <c r="F31" i="37"/>
  <c r="S35" i="37"/>
  <c r="V35" i="37"/>
  <c r="AA37" i="37"/>
  <c r="AD37" i="37"/>
  <c r="S35" i="25"/>
  <c r="V35" i="25"/>
  <c r="C32" i="25"/>
  <c r="F32" i="25"/>
  <c r="AA37" i="25"/>
  <c r="AD37" i="25"/>
  <c r="E31" i="37" l="1"/>
  <c r="G31" i="37"/>
  <c r="AE37" i="37"/>
  <c r="AC37" i="37"/>
  <c r="W35" i="37"/>
  <c r="U35" i="37"/>
  <c r="AE37" i="25"/>
  <c r="AC37" i="25"/>
  <c r="G32" i="25"/>
  <c r="E32" i="25"/>
  <c r="W35" i="25"/>
  <c r="U35" i="25"/>
  <c r="D32" i="37" l="1"/>
  <c r="T36" i="37"/>
  <c r="AB38" i="37"/>
  <c r="T36" i="25"/>
  <c r="D33" i="25"/>
  <c r="AB38" i="25"/>
  <c r="C32" i="37" l="1"/>
  <c r="F32" i="37"/>
  <c r="AA38" i="37"/>
  <c r="AD38" i="37"/>
  <c r="S36" i="37"/>
  <c r="V36" i="37"/>
  <c r="S36" i="25"/>
  <c r="V36" i="25"/>
  <c r="AA38" i="25"/>
  <c r="AD38" i="25"/>
  <c r="C33" i="25"/>
  <c r="F33" i="25"/>
  <c r="E32" i="37" l="1"/>
  <c r="G32" i="37"/>
  <c r="W36" i="37"/>
  <c r="U36" i="37"/>
  <c r="AC38" i="37"/>
  <c r="AE38" i="37"/>
  <c r="E33" i="25"/>
  <c r="G33" i="25"/>
  <c r="AC38" i="25"/>
  <c r="AE38" i="25"/>
  <c r="U36" i="25"/>
  <c r="W36" i="25"/>
  <c r="D33" i="37" l="1"/>
  <c r="AB39" i="37"/>
  <c r="T37" i="37"/>
  <c r="T37" i="25"/>
  <c r="AB39" i="25"/>
  <c r="D34" i="25"/>
  <c r="C33" i="37" l="1"/>
  <c r="F33" i="37"/>
  <c r="S37" i="37"/>
  <c r="V37" i="37"/>
  <c r="AA39" i="37"/>
  <c r="AD39" i="37"/>
  <c r="C34" i="25"/>
  <c r="F34" i="25"/>
  <c r="AA39" i="25"/>
  <c r="AD39" i="25"/>
  <c r="S37" i="25"/>
  <c r="V37" i="25"/>
  <c r="E33" i="37" l="1"/>
  <c r="G33" i="37"/>
  <c r="AE39" i="37"/>
  <c r="AC39" i="37"/>
  <c r="U37" i="37"/>
  <c r="W37" i="37"/>
  <c r="AE39" i="25"/>
  <c r="AC39" i="25"/>
  <c r="W37" i="25"/>
  <c r="U37" i="25"/>
  <c r="G34" i="25"/>
  <c r="E34" i="25"/>
  <c r="D34" i="37" l="1"/>
  <c r="T38" i="37"/>
  <c r="AB40" i="37"/>
  <c r="D35" i="25"/>
  <c r="T38" i="25"/>
  <c r="AB40" i="25"/>
  <c r="C34" i="37" l="1"/>
  <c r="F34" i="37"/>
  <c r="AA40" i="37"/>
  <c r="AD40" i="37"/>
  <c r="S38" i="37"/>
  <c r="V38" i="37"/>
  <c r="AA40" i="25"/>
  <c r="AD40" i="25"/>
  <c r="S38" i="25"/>
  <c r="V38" i="25"/>
  <c r="C35" i="25"/>
  <c r="F35" i="25"/>
  <c r="E34" i="37" l="1"/>
  <c r="G34" i="37"/>
  <c r="U38" i="37"/>
  <c r="W38" i="37"/>
  <c r="AC40" i="37"/>
  <c r="AE40" i="37"/>
  <c r="G35" i="25"/>
  <c r="E35" i="25"/>
  <c r="U38" i="25"/>
  <c r="W38" i="25"/>
  <c r="AC40" i="25"/>
  <c r="AE40" i="25"/>
  <c r="D35" i="37" l="1"/>
  <c r="AB41" i="37"/>
  <c r="T39" i="37"/>
  <c r="T39" i="25"/>
  <c r="D36" i="25"/>
  <c r="AB41" i="25"/>
  <c r="C35" i="37" l="1"/>
  <c r="F35" i="37"/>
  <c r="S39" i="37"/>
  <c r="V39" i="37"/>
  <c r="AA41" i="37"/>
  <c r="AD41" i="37"/>
  <c r="AA41" i="25"/>
  <c r="AD41" i="25"/>
  <c r="C36" i="25"/>
  <c r="F36" i="25"/>
  <c r="F37" i="25" s="1"/>
  <c r="F38" i="25" s="1"/>
  <c r="F39" i="25" s="1"/>
  <c r="S39" i="25"/>
  <c r="V39" i="25"/>
  <c r="E35" i="37" l="1"/>
  <c r="G35" i="37"/>
  <c r="AC41" i="37"/>
  <c r="AE41" i="37"/>
  <c r="W39" i="37"/>
  <c r="U39" i="37"/>
  <c r="W39" i="25"/>
  <c r="U39" i="25"/>
  <c r="E36" i="25"/>
  <c r="E37" i="25" s="1"/>
  <c r="E38" i="25" s="1"/>
  <c r="E39" i="25" s="1"/>
  <c r="G36" i="25"/>
  <c r="G37" i="25" s="1"/>
  <c r="G38" i="25" s="1"/>
  <c r="G39" i="25" s="1"/>
  <c r="AC41" i="25"/>
  <c r="AE41" i="25"/>
  <c r="D36" i="37" l="1"/>
  <c r="AB42" i="37"/>
  <c r="T40" i="37"/>
  <c r="AB42" i="25"/>
  <c r="D40" i="25"/>
  <c r="T40" i="25"/>
  <c r="C36" i="37" l="1"/>
  <c r="F36" i="37"/>
  <c r="F37" i="37" s="1"/>
  <c r="F38" i="37" s="1"/>
  <c r="F39" i="37" s="1"/>
  <c r="S40" i="37"/>
  <c r="V40" i="37"/>
  <c r="AA42" i="37"/>
  <c r="AD42" i="37"/>
  <c r="S40" i="25"/>
  <c r="V40" i="25"/>
  <c r="C40" i="25"/>
  <c r="F40" i="25"/>
  <c r="AA42" i="25"/>
  <c r="AD42" i="25"/>
  <c r="G36" i="37" l="1"/>
  <c r="G37" i="37" s="1"/>
  <c r="G38" i="37" s="1"/>
  <c r="G39" i="37" s="1"/>
  <c r="E36" i="37"/>
  <c r="E37" i="37" s="1"/>
  <c r="E38" i="37" s="1"/>
  <c r="E39" i="37" s="1"/>
  <c r="AC42" i="37"/>
  <c r="AE42" i="37"/>
  <c r="U40" i="37"/>
  <c r="W40" i="37"/>
  <c r="AE42" i="25"/>
  <c r="AC42" i="25"/>
  <c r="G40" i="25"/>
  <c r="E40" i="25"/>
  <c r="U40" i="25"/>
  <c r="W40" i="25"/>
  <c r="D40" i="37" l="1"/>
  <c r="T41" i="37"/>
  <c r="AB43" i="37"/>
  <c r="T41" i="25"/>
  <c r="D41" i="25"/>
  <c r="AB43" i="25"/>
  <c r="C40" i="37" l="1"/>
  <c r="F40" i="37"/>
  <c r="AA43" i="37"/>
  <c r="AD43" i="37"/>
  <c r="S41" i="37"/>
  <c r="V41" i="37"/>
  <c r="AA43" i="25"/>
  <c r="AD43" i="25"/>
  <c r="C41" i="25"/>
  <c r="F41" i="25"/>
  <c r="S41" i="25"/>
  <c r="V41" i="25"/>
  <c r="E40" i="37" l="1"/>
  <c r="G40" i="37"/>
  <c r="U41" i="37"/>
  <c r="W41" i="37"/>
  <c r="AE43" i="37"/>
  <c r="AC43" i="37"/>
  <c r="W41" i="25"/>
  <c r="U41" i="25"/>
  <c r="G41" i="25"/>
  <c r="E41" i="25"/>
  <c r="AC43" i="25"/>
  <c r="AE43" i="25"/>
  <c r="D41" i="37" l="1"/>
  <c r="T42" i="37"/>
  <c r="AB44" i="37"/>
  <c r="T42" i="25"/>
  <c r="AB44" i="25"/>
  <c r="D42" i="25"/>
  <c r="C41" i="37" l="1"/>
  <c r="F41" i="37"/>
  <c r="S42" i="37"/>
  <c r="V42" i="37"/>
  <c r="AA44" i="37"/>
  <c r="AD44" i="37"/>
  <c r="C42" i="25"/>
  <c r="F42" i="25"/>
  <c r="AA44" i="25"/>
  <c r="AD44" i="25"/>
  <c r="S42" i="25"/>
  <c r="V42" i="25"/>
  <c r="E41" i="37" l="1"/>
  <c r="G41" i="37"/>
  <c r="AC44" i="37"/>
  <c r="AE44" i="37"/>
  <c r="W42" i="37"/>
  <c r="U42" i="37"/>
  <c r="U42" i="25"/>
  <c r="W42" i="25"/>
  <c r="AC44" i="25"/>
  <c r="AE44" i="25"/>
  <c r="E42" i="25"/>
  <c r="G42" i="25"/>
  <c r="D42" i="37" l="1"/>
  <c r="T43" i="37"/>
  <c r="AB45" i="37"/>
  <c r="AB45" i="25"/>
  <c r="D43" i="25"/>
  <c r="T43" i="25"/>
  <c r="C42" i="37" l="1"/>
  <c r="F42" i="37"/>
  <c r="AA45" i="37"/>
  <c r="AD45" i="37"/>
  <c r="S43" i="37"/>
  <c r="V43" i="37"/>
  <c r="S43" i="25"/>
  <c r="V43" i="25"/>
  <c r="C43" i="25"/>
  <c r="F43" i="25"/>
  <c r="AA45" i="25"/>
  <c r="AD45" i="25"/>
  <c r="E42" i="37" l="1"/>
  <c r="G42" i="37"/>
  <c r="U43" i="37"/>
  <c r="W43" i="37"/>
  <c r="AE45" i="37"/>
  <c r="AC45" i="37"/>
  <c r="E43" i="25"/>
  <c r="G43" i="25"/>
  <c r="AC45" i="25"/>
  <c r="AE45" i="25"/>
  <c r="W43" i="25"/>
  <c r="U43" i="25"/>
  <c r="D43" i="37" l="1"/>
  <c r="AB46" i="37"/>
  <c r="T44" i="37"/>
  <c r="AB46" i="25"/>
  <c r="D44" i="25"/>
  <c r="T44" i="25"/>
  <c r="C43" i="37" l="1"/>
  <c r="F43" i="37"/>
  <c r="S44" i="37"/>
  <c r="V44" i="37"/>
  <c r="AA46" i="37"/>
  <c r="AD46" i="37"/>
  <c r="S44" i="25"/>
  <c r="V44" i="25"/>
  <c r="C44" i="25"/>
  <c r="F44" i="25"/>
  <c r="AA46" i="25"/>
  <c r="AD46" i="25"/>
  <c r="E43" i="37" l="1"/>
  <c r="G43" i="37"/>
  <c r="AC46" i="37"/>
  <c r="AE46" i="37"/>
  <c r="W44" i="37"/>
  <c r="U44" i="37"/>
  <c r="AE46" i="25"/>
  <c r="AC46" i="25"/>
  <c r="G44" i="25"/>
  <c r="E44" i="25"/>
  <c r="U44" i="25"/>
  <c r="W44" i="25"/>
  <c r="D44" i="37" l="1"/>
  <c r="T45" i="37"/>
  <c r="AB47" i="37"/>
  <c r="D45" i="25"/>
  <c r="AB47" i="25"/>
  <c r="T45" i="25"/>
  <c r="C44" i="37" l="1"/>
  <c r="F44" i="37"/>
  <c r="S45" i="37"/>
  <c r="V45" i="37"/>
  <c r="AA47" i="37"/>
  <c r="AD47" i="37"/>
  <c r="S45" i="25"/>
  <c r="V45" i="25"/>
  <c r="AA47" i="25"/>
  <c r="AD47" i="25"/>
  <c r="C45" i="25"/>
  <c r="F45" i="25"/>
  <c r="E44" i="37" l="1"/>
  <c r="G44" i="37"/>
  <c r="AE47" i="37"/>
  <c r="AC47" i="37"/>
  <c r="U45" i="37"/>
  <c r="W45" i="37"/>
  <c r="G45" i="25"/>
  <c r="E45" i="25"/>
  <c r="AC47" i="25"/>
  <c r="AE47" i="25"/>
  <c r="U45" i="25"/>
  <c r="W45" i="25"/>
  <c r="D45" i="37" l="1"/>
  <c r="T46" i="37"/>
  <c r="AB48" i="37"/>
  <c r="T46" i="25"/>
  <c r="AB48" i="25"/>
  <c r="D46" i="25"/>
  <c r="C45" i="37" l="1"/>
  <c r="F45" i="37"/>
  <c r="AA48" i="37"/>
  <c r="AD48" i="37"/>
  <c r="S46" i="37"/>
  <c r="V46" i="37"/>
  <c r="AA48" i="25"/>
  <c r="AD48" i="25"/>
  <c r="C46" i="25"/>
  <c r="F46" i="25"/>
  <c r="S46" i="25"/>
  <c r="V46" i="25"/>
  <c r="G45" i="37" l="1"/>
  <c r="E45" i="37"/>
  <c r="U46" i="37"/>
  <c r="W46" i="37"/>
  <c r="AC48" i="37"/>
  <c r="AE48" i="37"/>
  <c r="W46" i="25"/>
  <c r="U46" i="25"/>
  <c r="E46" i="25"/>
  <c r="G46" i="25"/>
  <c r="AE48" i="25"/>
  <c r="AC48" i="25"/>
  <c r="D46" i="37" l="1"/>
  <c r="AB49" i="37"/>
  <c r="T47" i="37"/>
  <c r="AB49" i="25"/>
  <c r="D47" i="25"/>
  <c r="T47" i="25"/>
  <c r="C46" i="37" l="1"/>
  <c r="F46" i="37"/>
  <c r="S47" i="37"/>
  <c r="V47" i="37"/>
  <c r="AA49" i="37"/>
  <c r="AD49" i="37"/>
  <c r="S47" i="25"/>
  <c r="V47" i="25"/>
  <c r="C47" i="25"/>
  <c r="F47" i="25"/>
  <c r="AA49" i="25"/>
  <c r="AD49" i="25"/>
  <c r="E46" i="37" l="1"/>
  <c r="G46" i="37"/>
  <c r="AE49" i="37"/>
  <c r="AC49" i="37"/>
  <c r="W47" i="37"/>
  <c r="U47" i="37"/>
  <c r="AE49" i="25"/>
  <c r="AC49" i="25"/>
  <c r="E47" i="25"/>
  <c r="G47" i="25"/>
  <c r="U47" i="25"/>
  <c r="W47" i="25"/>
  <c r="D47" i="37" l="1"/>
  <c r="T48" i="37"/>
  <c r="AB50" i="37"/>
  <c r="T48" i="25"/>
  <c r="D48" i="25"/>
  <c r="AB50" i="25"/>
  <c r="C47" i="37" l="1"/>
  <c r="F47" i="37"/>
  <c r="AA50" i="37"/>
  <c r="AD50" i="37"/>
  <c r="S48" i="37"/>
  <c r="V48" i="37"/>
  <c r="AA50" i="25"/>
  <c r="AD50" i="25"/>
  <c r="C48" i="25"/>
  <c r="F48" i="25"/>
  <c r="S48" i="25"/>
  <c r="V48" i="25"/>
  <c r="E47" i="37" l="1"/>
  <c r="G47" i="37"/>
  <c r="U48" i="37"/>
  <c r="W48" i="37"/>
  <c r="AC50" i="37"/>
  <c r="AE50" i="37"/>
  <c r="W48" i="25"/>
  <c r="U48" i="25"/>
  <c r="G48" i="25"/>
  <c r="E48" i="25"/>
  <c r="AC50" i="25"/>
  <c r="AE50" i="25"/>
  <c r="D48" i="37" l="1"/>
  <c r="AB51" i="37"/>
  <c r="T49" i="37"/>
  <c r="AB51" i="25"/>
  <c r="D49" i="25"/>
  <c r="T49" i="25"/>
  <c r="C48" i="37" l="1"/>
  <c r="F48" i="37"/>
  <c r="S49" i="37"/>
  <c r="V49" i="37"/>
  <c r="AA51" i="37"/>
  <c r="AD51" i="37"/>
  <c r="S49" i="25"/>
  <c r="V49" i="25"/>
  <c r="C49" i="25"/>
  <c r="F49" i="25"/>
  <c r="AA51" i="25"/>
  <c r="AD51" i="25"/>
  <c r="E48" i="37" l="1"/>
  <c r="G48" i="37"/>
  <c r="AE51" i="37"/>
  <c r="AC51" i="37"/>
  <c r="W49" i="37"/>
  <c r="U49" i="37"/>
  <c r="AE51" i="25"/>
  <c r="AC51" i="25"/>
  <c r="E49" i="25"/>
  <c r="G49" i="25"/>
  <c r="U49" i="25"/>
  <c r="W49" i="25"/>
  <c r="D49" i="37" l="1"/>
  <c r="T50" i="37"/>
  <c r="AB52" i="37"/>
  <c r="AB52" i="25"/>
  <c r="T50" i="25"/>
  <c r="D50" i="25"/>
  <c r="C49" i="37" l="1"/>
  <c r="F49" i="37"/>
  <c r="S50" i="37"/>
  <c r="V50" i="37"/>
  <c r="AA52" i="37"/>
  <c r="AD52" i="37"/>
  <c r="C50" i="25"/>
  <c r="F50" i="25"/>
  <c r="S50" i="25"/>
  <c r="V50" i="25"/>
  <c r="AA52" i="25"/>
  <c r="AD52" i="25"/>
  <c r="E49" i="37" l="1"/>
  <c r="G49" i="37"/>
  <c r="AC52" i="37"/>
  <c r="AE52" i="37"/>
  <c r="U50" i="37"/>
  <c r="W50" i="37"/>
  <c r="AE52" i="25"/>
  <c r="AC52" i="25"/>
  <c r="U50" i="25"/>
  <c r="W50" i="25"/>
  <c r="E50" i="25"/>
  <c r="G50" i="25"/>
  <c r="D50" i="37" l="1"/>
  <c r="T51" i="37"/>
  <c r="AB53" i="37"/>
  <c r="D51" i="25"/>
  <c r="T51" i="25"/>
  <c r="AB53" i="25"/>
  <c r="C50" i="37" l="1"/>
  <c r="F50" i="37"/>
  <c r="AA53" i="37"/>
  <c r="AD53" i="37"/>
  <c r="S51" i="37"/>
  <c r="V51" i="37"/>
  <c r="AA53" i="25"/>
  <c r="AD53" i="25"/>
  <c r="S51" i="25"/>
  <c r="V51" i="25"/>
  <c r="C51" i="25"/>
  <c r="F51" i="25"/>
  <c r="E50" i="37" l="1"/>
  <c r="G50" i="37"/>
  <c r="W51" i="37"/>
  <c r="U51" i="37"/>
  <c r="AE53" i="37"/>
  <c r="AC53" i="37"/>
  <c r="E51" i="25"/>
  <c r="G51" i="25"/>
  <c r="W51" i="25"/>
  <c r="U51" i="25"/>
  <c r="AC53" i="25"/>
  <c r="AE53" i="25"/>
  <c r="D51" i="37" l="1"/>
  <c r="AB54" i="37"/>
  <c r="T52" i="37"/>
  <c r="AB54" i="25"/>
  <c r="T52" i="25"/>
  <c r="D52" i="25"/>
  <c r="C51" i="37" l="1"/>
  <c r="F51" i="37"/>
  <c r="S52" i="37"/>
  <c r="V52" i="37"/>
  <c r="AA54" i="37"/>
  <c r="AD54" i="37"/>
  <c r="C52" i="25"/>
  <c r="F52" i="25"/>
  <c r="F53" i="25" s="1"/>
  <c r="S52" i="25"/>
  <c r="V52" i="25"/>
  <c r="AA54" i="25"/>
  <c r="AD54" i="25"/>
  <c r="E51" i="37" l="1"/>
  <c r="G51" i="37"/>
  <c r="AE54" i="37"/>
  <c r="AC54" i="37"/>
  <c r="W52" i="37"/>
  <c r="U52" i="37"/>
  <c r="AE54" i="25"/>
  <c r="AC54" i="25"/>
  <c r="U52" i="25"/>
  <c r="W52" i="25"/>
  <c r="G52" i="25"/>
  <c r="G53" i="25" s="1"/>
  <c r="E52" i="25"/>
  <c r="E53" i="25" s="1"/>
  <c r="D52" i="37" l="1"/>
  <c r="T53" i="37"/>
  <c r="AB55" i="37"/>
  <c r="D54" i="25"/>
  <c r="T53" i="25"/>
  <c r="AB55" i="25"/>
  <c r="C52" i="37" l="1"/>
  <c r="F52" i="37"/>
  <c r="F53" i="37" s="1"/>
  <c r="S53" i="37"/>
  <c r="V53" i="37"/>
  <c r="AA55" i="37"/>
  <c r="AD55" i="37"/>
  <c r="AA55" i="25"/>
  <c r="AD55" i="25"/>
  <c r="S53" i="25"/>
  <c r="V53" i="25"/>
  <c r="C54" i="25"/>
  <c r="F54" i="25"/>
  <c r="G52" i="37" l="1"/>
  <c r="G53" i="37" s="1"/>
  <c r="E52" i="37"/>
  <c r="E53" i="37" s="1"/>
  <c r="AE55" i="37"/>
  <c r="AC55" i="37"/>
  <c r="U53" i="37"/>
  <c r="W53" i="37"/>
  <c r="E54" i="25"/>
  <c r="G54" i="25"/>
  <c r="W53" i="25"/>
  <c r="U53" i="25"/>
  <c r="AC55" i="25"/>
  <c r="AE55" i="25"/>
  <c r="D54" i="37" l="1"/>
  <c r="T54" i="37"/>
  <c r="AB56" i="37"/>
  <c r="T54" i="25"/>
  <c r="D55" i="25"/>
  <c r="AB56" i="25"/>
  <c r="C54" i="37" l="1"/>
  <c r="F54" i="37"/>
  <c r="AA56" i="37"/>
  <c r="AD56" i="37"/>
  <c r="S54" i="37"/>
  <c r="V54" i="37"/>
  <c r="AA56" i="25"/>
  <c r="AD56" i="25"/>
  <c r="C55" i="25"/>
  <c r="F55" i="25"/>
  <c r="S54" i="25"/>
  <c r="V54" i="25"/>
  <c r="E54" i="37" l="1"/>
  <c r="G54" i="37"/>
  <c r="U54" i="37"/>
  <c r="W54" i="37"/>
  <c r="AC56" i="37"/>
  <c r="AE56" i="37"/>
  <c r="U54" i="25"/>
  <c r="W54" i="25"/>
  <c r="G55" i="25"/>
  <c r="E55" i="25"/>
  <c r="AC56" i="25"/>
  <c r="AE56" i="25"/>
  <c r="D55" i="37" l="1"/>
  <c r="AB57" i="37"/>
  <c r="T55" i="37"/>
  <c r="AB57" i="25"/>
  <c r="D56" i="25"/>
  <c r="T55" i="25"/>
  <c r="C55" i="37" l="1"/>
  <c r="F55" i="37"/>
  <c r="S55" i="37"/>
  <c r="V55" i="37"/>
  <c r="AA57" i="37"/>
  <c r="AD57" i="37"/>
  <c r="S55" i="25"/>
  <c r="V55" i="25"/>
  <c r="C56" i="25"/>
  <c r="F56" i="25"/>
  <c r="AA57" i="25"/>
  <c r="AD57" i="25"/>
  <c r="E55" i="37" l="1"/>
  <c r="G55" i="37"/>
  <c r="AC57" i="37"/>
  <c r="AE57" i="37"/>
  <c r="W55" i="37"/>
  <c r="U55" i="37"/>
  <c r="G56" i="25"/>
  <c r="E56" i="25"/>
  <c r="AE57" i="25"/>
  <c r="AC57" i="25"/>
  <c r="U55" i="25"/>
  <c r="W55" i="25"/>
  <c r="D56" i="37" l="1"/>
  <c r="T56" i="37"/>
  <c r="AB58" i="37"/>
  <c r="T56" i="25"/>
  <c r="AB58" i="25"/>
  <c r="D57" i="25"/>
  <c r="C56" i="37" l="1"/>
  <c r="F56" i="37"/>
  <c r="AA58" i="37"/>
  <c r="AD58" i="37"/>
  <c r="S56" i="37"/>
  <c r="V56" i="37"/>
  <c r="C57" i="25"/>
  <c r="F57" i="25"/>
  <c r="AA58" i="25"/>
  <c r="AD58" i="25"/>
  <c r="S56" i="25"/>
  <c r="V56" i="25"/>
  <c r="E56" i="37" l="1"/>
  <c r="G56" i="37"/>
  <c r="U56" i="37"/>
  <c r="W56" i="37"/>
  <c r="AC58" i="37"/>
  <c r="AE58" i="37"/>
  <c r="W56" i="25"/>
  <c r="U56" i="25"/>
  <c r="AC58" i="25"/>
  <c r="AE58" i="25"/>
  <c r="E57" i="25"/>
  <c r="G57" i="25"/>
  <c r="D57" i="37" l="1"/>
  <c r="AB59" i="37"/>
  <c r="T57" i="37"/>
  <c r="D58" i="25"/>
  <c r="AB59" i="25"/>
  <c r="T57" i="25"/>
  <c r="C57" i="37" l="1"/>
  <c r="F57" i="37"/>
  <c r="S57" i="37"/>
  <c r="V57" i="37"/>
  <c r="AA59" i="37"/>
  <c r="AD59" i="37"/>
  <c r="AA59" i="25"/>
  <c r="AD59" i="25"/>
  <c r="S57" i="25"/>
  <c r="V57" i="25"/>
  <c r="C58" i="25"/>
  <c r="F58" i="25"/>
  <c r="G57" i="37" l="1"/>
  <c r="E57" i="37"/>
  <c r="AE59" i="37"/>
  <c r="AC59" i="37"/>
  <c r="W57" i="37"/>
  <c r="U57" i="37"/>
  <c r="G58" i="25"/>
  <c r="E58" i="25"/>
  <c r="U57" i="25"/>
  <c r="W57" i="25"/>
  <c r="AC59" i="25"/>
  <c r="AE59" i="25"/>
  <c r="D58" i="37" l="1"/>
  <c r="T58" i="37"/>
  <c r="AB60" i="37"/>
  <c r="AB60" i="25"/>
  <c r="T58" i="25"/>
  <c r="D59" i="25"/>
  <c r="C58" i="37" l="1"/>
  <c r="F58" i="37"/>
  <c r="AA60" i="37"/>
  <c r="AD60" i="37"/>
  <c r="S58" i="37"/>
  <c r="V58" i="37"/>
  <c r="C59" i="25"/>
  <c r="F59" i="25"/>
  <c r="S58" i="25"/>
  <c r="V58" i="25"/>
  <c r="AA60" i="25"/>
  <c r="AD60" i="25"/>
  <c r="E58" i="37" l="1"/>
  <c r="G58" i="37"/>
  <c r="U58" i="37"/>
  <c r="W58" i="37"/>
  <c r="AC60" i="37"/>
  <c r="AE60" i="37"/>
  <c r="AC60" i="25"/>
  <c r="AE60" i="25"/>
  <c r="U58" i="25"/>
  <c r="W58" i="25"/>
  <c r="E59" i="25"/>
  <c r="G59" i="25"/>
  <c r="D59" i="37" l="1"/>
  <c r="AB61" i="37"/>
  <c r="T59" i="37"/>
  <c r="D60" i="25"/>
  <c r="T59" i="25"/>
  <c r="AB61" i="25"/>
  <c r="C59" i="37" l="1"/>
  <c r="F59" i="37"/>
  <c r="S59" i="37"/>
  <c r="V59" i="37"/>
  <c r="AA61" i="37"/>
  <c r="AD61" i="37"/>
  <c r="S59" i="25"/>
  <c r="V59" i="25"/>
  <c r="AA61" i="25"/>
  <c r="AD61" i="25"/>
  <c r="C60" i="25"/>
  <c r="F60" i="25"/>
  <c r="G59" i="37" l="1"/>
  <c r="E59" i="37"/>
  <c r="AE61" i="37"/>
  <c r="AC61" i="37"/>
  <c r="U59" i="37"/>
  <c r="W59" i="37"/>
  <c r="W59" i="25"/>
  <c r="U59" i="25"/>
  <c r="G60" i="25"/>
  <c r="E60" i="25"/>
  <c r="AC61" i="25"/>
  <c r="AE61" i="25"/>
  <c r="D60" i="37" l="1"/>
  <c r="T60" i="37"/>
  <c r="AB62" i="37"/>
  <c r="T60" i="25"/>
  <c r="AB62" i="25"/>
  <c r="D61" i="25"/>
  <c r="C60" i="37" l="1"/>
  <c r="F60" i="37"/>
  <c r="AA62" i="37"/>
  <c r="AD62" i="37"/>
  <c r="S60" i="37"/>
  <c r="V60" i="37"/>
  <c r="S60" i="25"/>
  <c r="V60" i="25"/>
  <c r="C61" i="25"/>
  <c r="F61" i="25"/>
  <c r="AA62" i="25"/>
  <c r="AD62" i="25"/>
  <c r="E60" i="37" l="1"/>
  <c r="G60" i="37"/>
  <c r="W60" i="37"/>
  <c r="U60" i="37"/>
  <c r="AC62" i="37"/>
  <c r="AE62" i="37"/>
  <c r="U60" i="25"/>
  <c r="W60" i="25"/>
  <c r="AE62" i="25"/>
  <c r="AC62" i="25"/>
  <c r="E61" i="25"/>
  <c r="G61" i="25"/>
  <c r="D61" i="37" l="1"/>
  <c r="T61" i="37"/>
  <c r="AB63" i="37"/>
  <c r="D62" i="25"/>
  <c r="AB63" i="25"/>
  <c r="T61" i="25"/>
  <c r="C61" i="37" l="1"/>
  <c r="F61" i="37"/>
  <c r="AA63" i="37"/>
  <c r="AD63" i="37"/>
  <c r="S61" i="37"/>
  <c r="V61" i="37"/>
  <c r="C62" i="25"/>
  <c r="F62" i="25"/>
  <c r="S61" i="25"/>
  <c r="V61" i="25"/>
  <c r="AA63" i="25"/>
  <c r="AD63" i="25"/>
  <c r="E61" i="37" l="1"/>
  <c r="G61" i="37"/>
  <c r="U61" i="37"/>
  <c r="W61" i="37"/>
  <c r="AC63" i="37"/>
  <c r="AE63" i="37"/>
  <c r="G62" i="25"/>
  <c r="E62" i="25"/>
  <c r="AC63" i="25"/>
  <c r="AE63" i="25"/>
  <c r="W61" i="25"/>
  <c r="U61" i="25"/>
  <c r="D62" i="37" l="1"/>
  <c r="AB64" i="37"/>
  <c r="T62" i="37"/>
  <c r="D63" i="25"/>
  <c r="T62" i="25"/>
  <c r="AB64" i="25"/>
  <c r="C62" i="37" l="1"/>
  <c r="F62" i="37"/>
  <c r="S62" i="37"/>
  <c r="V62" i="37"/>
  <c r="AA64" i="37"/>
  <c r="AD64" i="37"/>
  <c r="C63" i="25"/>
  <c r="F63" i="25"/>
  <c r="AA64" i="25"/>
  <c r="AD64" i="25"/>
  <c r="S62" i="25"/>
  <c r="V62" i="25"/>
  <c r="E62" i="37" l="1"/>
  <c r="G62" i="37"/>
  <c r="AE64" i="37"/>
  <c r="AC64" i="37"/>
  <c r="W62" i="37"/>
  <c r="U62" i="37"/>
  <c r="E63" i="25"/>
  <c r="G63" i="25"/>
  <c r="U62" i="25"/>
  <c r="W62" i="25"/>
  <c r="AE64" i="25"/>
  <c r="AC64" i="25"/>
  <c r="D63" i="37" l="1"/>
  <c r="T63" i="37"/>
  <c r="AB65" i="37"/>
  <c r="AB65" i="25"/>
  <c r="T63" i="25"/>
  <c r="D64" i="25"/>
  <c r="C63" i="37" l="1"/>
  <c r="F63" i="37"/>
  <c r="AA65" i="37"/>
  <c r="AD65" i="37"/>
  <c r="S63" i="37"/>
  <c r="V63" i="37"/>
  <c r="C64" i="25"/>
  <c r="F64" i="25"/>
  <c r="S63" i="25"/>
  <c r="V63" i="25"/>
  <c r="AA65" i="25"/>
  <c r="AD65" i="25"/>
  <c r="E63" i="37" l="1"/>
  <c r="G63" i="37"/>
  <c r="U63" i="37"/>
  <c r="W63" i="37"/>
  <c r="AC65" i="37"/>
  <c r="AE65" i="37"/>
  <c r="AE65" i="25"/>
  <c r="AC65" i="25"/>
  <c r="W63" i="25"/>
  <c r="U63" i="25"/>
  <c r="G64" i="25"/>
  <c r="E64" i="25"/>
  <c r="D64" i="37" l="1"/>
  <c r="T64" i="37"/>
  <c r="AB66" i="37"/>
  <c r="D65" i="25"/>
  <c r="T64" i="25"/>
  <c r="AB66" i="25"/>
  <c r="C64" i="37" l="1"/>
  <c r="F64" i="37"/>
  <c r="AA66" i="37"/>
  <c r="AD66" i="37"/>
  <c r="S64" i="37"/>
  <c r="V64" i="37"/>
  <c r="C65" i="25"/>
  <c r="F65" i="25"/>
  <c r="AA66" i="25"/>
  <c r="AD66" i="25"/>
  <c r="S64" i="25"/>
  <c r="V64" i="25"/>
  <c r="E64" i="37" l="1"/>
  <c r="G64" i="37"/>
  <c r="U64" i="37"/>
  <c r="W64" i="37"/>
  <c r="AC66" i="37"/>
  <c r="AE66" i="37"/>
  <c r="U64" i="25"/>
  <c r="W64" i="25"/>
  <c r="AC66" i="25"/>
  <c r="AE66" i="25"/>
  <c r="E65" i="25"/>
  <c r="G65" i="25"/>
  <c r="D65" i="37" l="1"/>
  <c r="AB67" i="37"/>
  <c r="T65" i="37"/>
  <c r="D66" i="25"/>
  <c r="AB67" i="25"/>
  <c r="T65" i="25"/>
  <c r="C65" i="37" l="1"/>
  <c r="F65" i="37"/>
  <c r="S65" i="37"/>
  <c r="V65" i="37"/>
  <c r="AA67" i="37"/>
  <c r="AD67" i="37"/>
  <c r="S65" i="25"/>
  <c r="V65" i="25"/>
  <c r="AA67" i="25"/>
  <c r="AD67" i="25"/>
  <c r="C66" i="25"/>
  <c r="F66" i="25"/>
  <c r="G65" i="37" l="1"/>
  <c r="E65" i="37"/>
  <c r="AC67" i="37"/>
  <c r="AE67" i="37"/>
  <c r="W65" i="37"/>
  <c r="U65" i="37"/>
  <c r="U65" i="25"/>
  <c r="W65" i="25"/>
  <c r="G66" i="25"/>
  <c r="E66" i="25"/>
  <c r="AC67" i="25"/>
  <c r="AE67" i="25"/>
  <c r="D66" i="37" l="1"/>
  <c r="AB68" i="37"/>
  <c r="T66" i="37"/>
  <c r="AB68" i="25"/>
  <c r="D67" i="25"/>
  <c r="T66" i="25"/>
  <c r="C66" i="37" l="1"/>
  <c r="F66" i="37"/>
  <c r="AA68" i="37"/>
  <c r="AD68" i="37"/>
  <c r="S66" i="37"/>
  <c r="V66" i="37"/>
  <c r="S66" i="25"/>
  <c r="V66" i="25"/>
  <c r="C67" i="25"/>
  <c r="F67" i="25"/>
  <c r="AA68" i="25"/>
  <c r="AD68" i="25"/>
  <c r="E66" i="37" l="1"/>
  <c r="G66" i="37"/>
  <c r="U66" i="37"/>
  <c r="W66" i="37"/>
  <c r="AE68" i="37"/>
  <c r="AC68" i="37"/>
  <c r="E67" i="25"/>
  <c r="G67" i="25"/>
  <c r="AE68" i="25"/>
  <c r="AC68" i="25"/>
  <c r="W66" i="25"/>
  <c r="U66" i="25"/>
  <c r="D67" i="37" l="1"/>
  <c r="T67" i="37"/>
  <c r="AB69" i="37"/>
  <c r="T67" i="25"/>
  <c r="AB69" i="25"/>
  <c r="D68" i="25"/>
  <c r="C67" i="37" l="1"/>
  <c r="F67" i="37"/>
  <c r="AA69" i="37"/>
  <c r="AD69" i="37"/>
  <c r="S67" i="37"/>
  <c r="V67" i="37"/>
  <c r="AA69" i="25"/>
  <c r="AD69" i="25"/>
  <c r="S67" i="25"/>
  <c r="V67" i="25"/>
  <c r="C68" i="25"/>
  <c r="F68" i="25"/>
  <c r="E67" i="37" l="1"/>
  <c r="G67" i="37"/>
  <c r="W67" i="37"/>
  <c r="U67" i="37"/>
  <c r="AE69" i="37"/>
  <c r="AC69" i="37"/>
  <c r="G68" i="25"/>
  <c r="E68" i="25"/>
  <c r="U67" i="25"/>
  <c r="W67" i="25"/>
  <c r="AC69" i="25"/>
  <c r="AE69" i="25"/>
  <c r="D68" i="37" l="1"/>
  <c r="AB70" i="37"/>
  <c r="T68" i="37"/>
  <c r="AB70" i="25"/>
  <c r="T68" i="25"/>
  <c r="D69" i="25"/>
  <c r="C68" i="37" l="1"/>
  <c r="F68" i="37"/>
  <c r="S68" i="37"/>
  <c r="V68" i="37"/>
  <c r="AA70" i="37"/>
  <c r="AD70" i="37"/>
  <c r="C69" i="25"/>
  <c r="F69" i="25"/>
  <c r="S68" i="25"/>
  <c r="V68" i="25"/>
  <c r="AA70" i="25"/>
  <c r="AD70" i="25"/>
  <c r="E68" i="37" l="1"/>
  <c r="G68" i="37"/>
  <c r="AC70" i="37"/>
  <c r="AE70" i="37"/>
  <c r="W68" i="37"/>
  <c r="U68" i="37"/>
  <c r="G69" i="25"/>
  <c r="E69" i="25"/>
  <c r="AE70" i="25"/>
  <c r="AC70" i="25"/>
  <c r="W68" i="25"/>
  <c r="U68" i="25"/>
  <c r="D69" i="37" l="1"/>
  <c r="AB71" i="37"/>
  <c r="T69" i="37"/>
  <c r="T69" i="25"/>
  <c r="AB71" i="25"/>
  <c r="D70" i="25"/>
  <c r="C69" i="37" l="1"/>
  <c r="F69" i="37"/>
  <c r="S69" i="37"/>
  <c r="V69" i="37"/>
  <c r="AA71" i="37"/>
  <c r="AD71" i="37"/>
  <c r="C70" i="25"/>
  <c r="F70" i="25"/>
  <c r="AA71" i="25"/>
  <c r="AD71" i="25"/>
  <c r="S69" i="25"/>
  <c r="V69" i="25"/>
  <c r="E69" i="37" l="1"/>
  <c r="G69" i="37"/>
  <c r="AE71" i="37"/>
  <c r="AC71" i="37"/>
  <c r="U69" i="37"/>
  <c r="W69" i="37"/>
  <c r="U69" i="25"/>
  <c r="W69" i="25"/>
  <c r="AC71" i="25"/>
  <c r="AE71" i="25"/>
  <c r="E70" i="25"/>
  <c r="G70" i="25"/>
  <c r="D70" i="37" l="1"/>
  <c r="T70" i="37"/>
  <c r="AB72" i="37"/>
  <c r="AB72" i="25"/>
  <c r="T70" i="25"/>
  <c r="D71" i="25"/>
  <c r="C70" i="37" l="1"/>
  <c r="F70" i="37"/>
  <c r="AA72" i="37"/>
  <c r="AD72" i="37"/>
  <c r="S70" i="37"/>
  <c r="V70" i="37"/>
  <c r="C71" i="25"/>
  <c r="F71" i="25"/>
  <c r="S70" i="25"/>
  <c r="V70" i="25"/>
  <c r="AA72" i="25"/>
  <c r="AD72" i="25"/>
  <c r="E70" i="37" l="1"/>
  <c r="G70" i="37"/>
  <c r="W70" i="37"/>
  <c r="U70" i="37"/>
  <c r="AC72" i="37"/>
  <c r="AE72" i="37"/>
  <c r="W70" i="25"/>
  <c r="U70" i="25"/>
  <c r="AE72" i="25"/>
  <c r="AC72" i="25"/>
  <c r="E71" i="25"/>
  <c r="G71" i="25"/>
  <c r="D71" i="37" l="1"/>
  <c r="AB73" i="37"/>
  <c r="T71" i="37"/>
  <c r="T71" i="25"/>
  <c r="D72" i="25"/>
  <c r="AB73" i="25"/>
  <c r="C71" i="37" l="1"/>
  <c r="F71" i="37"/>
  <c r="S71" i="37"/>
  <c r="V71" i="37"/>
  <c r="AA73" i="37"/>
  <c r="AD73" i="37"/>
  <c r="AA73" i="25"/>
  <c r="AD73" i="25"/>
  <c r="C72" i="25"/>
  <c r="F72" i="25"/>
  <c r="S71" i="25"/>
  <c r="V71" i="25"/>
  <c r="E71" i="37" l="1"/>
  <c r="G71" i="37"/>
  <c r="AE73" i="37"/>
  <c r="AC73" i="37"/>
  <c r="U71" i="37"/>
  <c r="W71" i="37"/>
  <c r="U71" i="25"/>
  <c r="W71" i="25"/>
  <c r="E72" i="25"/>
  <c r="G72" i="25"/>
  <c r="AC73" i="25"/>
  <c r="AE73" i="25"/>
  <c r="D72" i="37" l="1"/>
  <c r="T72" i="37"/>
  <c r="AB74" i="37"/>
  <c r="AB74" i="25"/>
  <c r="D73" i="25"/>
  <c r="T72" i="25"/>
  <c r="C72" i="37" l="1"/>
  <c r="F72" i="37"/>
  <c r="S72" i="37"/>
  <c r="V72" i="37"/>
  <c r="AA74" i="37"/>
  <c r="AD74" i="37"/>
  <c r="S72" i="25"/>
  <c r="V72" i="25"/>
  <c r="C73" i="25"/>
  <c r="F73" i="25"/>
  <c r="AA74" i="25"/>
  <c r="AD74" i="25"/>
  <c r="E72" i="37" l="1"/>
  <c r="G72" i="37"/>
  <c r="AE74" i="37"/>
  <c r="AC74" i="37"/>
  <c r="U72" i="37"/>
  <c r="W72" i="37"/>
  <c r="AE74" i="25"/>
  <c r="AC74" i="25"/>
  <c r="G73" i="25"/>
  <c r="E73" i="25"/>
  <c r="W72" i="25"/>
  <c r="U72" i="25"/>
  <c r="D73" i="37" l="1"/>
  <c r="AB75" i="37"/>
  <c r="T73" i="37"/>
  <c r="T73" i="25"/>
  <c r="D74" i="25"/>
  <c r="AB75" i="25"/>
  <c r="C73" i="37" l="1"/>
  <c r="F73" i="37"/>
  <c r="S73" i="37"/>
  <c r="V73" i="37"/>
  <c r="AA75" i="37"/>
  <c r="AD75" i="37"/>
  <c r="AA75" i="25"/>
  <c r="AD75" i="25"/>
  <c r="C74" i="25"/>
  <c r="F74" i="25"/>
  <c r="S73" i="25"/>
  <c r="V73" i="25"/>
  <c r="E73" i="37" l="1"/>
  <c r="G73" i="37"/>
  <c r="AC75" i="37"/>
  <c r="AE75" i="37"/>
  <c r="U73" i="37"/>
  <c r="W73" i="37"/>
  <c r="U73" i="25"/>
  <c r="W73" i="25"/>
  <c r="E74" i="25"/>
  <c r="G74" i="25"/>
  <c r="AC75" i="25"/>
  <c r="AE75" i="25"/>
  <c r="D74" i="37" l="1"/>
  <c r="T74" i="37"/>
  <c r="AB76" i="37"/>
  <c r="AB76" i="25"/>
  <c r="D75" i="25"/>
  <c r="T74" i="25"/>
  <c r="C74" i="37" l="1"/>
  <c r="F74" i="37"/>
  <c r="AA76" i="37"/>
  <c r="AD76" i="37"/>
  <c r="S74" i="37"/>
  <c r="V74" i="37"/>
  <c r="S74" i="25"/>
  <c r="V74" i="25"/>
  <c r="C75" i="25"/>
  <c r="F75" i="25"/>
  <c r="AA76" i="25"/>
  <c r="AD76" i="25"/>
  <c r="E74" i="37" l="1"/>
  <c r="G74" i="37"/>
  <c r="W74" i="37"/>
  <c r="U74" i="37"/>
  <c r="AE76" i="37"/>
  <c r="AC76" i="37"/>
  <c r="AE76" i="25"/>
  <c r="AC76" i="25"/>
  <c r="G75" i="25"/>
  <c r="E75" i="25"/>
  <c r="W74" i="25"/>
  <c r="U74" i="25"/>
  <c r="D75" i="37" l="1"/>
  <c r="AB77" i="37"/>
  <c r="T75" i="37"/>
  <c r="D76" i="25"/>
  <c r="T75" i="25"/>
  <c r="AB77" i="25"/>
  <c r="C75" i="37" l="1"/>
  <c r="F75" i="37"/>
  <c r="S75" i="37"/>
  <c r="V75" i="37"/>
  <c r="AA77" i="37"/>
  <c r="AD77" i="37"/>
  <c r="AA77" i="25"/>
  <c r="AD77" i="25"/>
  <c r="S75" i="25"/>
  <c r="V75" i="25"/>
  <c r="C76" i="25"/>
  <c r="F76" i="25"/>
  <c r="E75" i="37" l="1"/>
  <c r="G75" i="37"/>
  <c r="AC77" i="37"/>
  <c r="AE77" i="37"/>
  <c r="U75" i="37"/>
  <c r="W75" i="37"/>
  <c r="G76" i="25"/>
  <c r="E76" i="25"/>
  <c r="U75" i="25"/>
  <c r="W75" i="25"/>
  <c r="AC77" i="25"/>
  <c r="AE77" i="25"/>
  <c r="D76" i="37" l="1"/>
  <c r="AB78" i="37"/>
  <c r="T76" i="37"/>
  <c r="AB78" i="25"/>
  <c r="T76" i="25"/>
  <c r="D77" i="25"/>
  <c r="C76" i="37" l="1"/>
  <c r="F76" i="37"/>
  <c r="S76" i="37"/>
  <c r="V76" i="37"/>
  <c r="AA78" i="37"/>
  <c r="AD78" i="37"/>
  <c r="S76" i="25"/>
  <c r="V76" i="25"/>
  <c r="C77" i="25"/>
  <c r="F77" i="25"/>
  <c r="AA78" i="25"/>
  <c r="AD78" i="25"/>
  <c r="E76" i="37" l="1"/>
  <c r="G76" i="37"/>
  <c r="AE78" i="37"/>
  <c r="AC78" i="37"/>
  <c r="W76" i="37"/>
  <c r="U76" i="37"/>
  <c r="AE78" i="25"/>
  <c r="AC78" i="25"/>
  <c r="E77" i="25"/>
  <c r="G77" i="25"/>
  <c r="W76" i="25"/>
  <c r="U76" i="25"/>
  <c r="D77" i="37" l="1"/>
  <c r="T77" i="37"/>
  <c r="AB79" i="37"/>
  <c r="D78" i="25"/>
  <c r="AB79" i="25"/>
  <c r="T77" i="25"/>
  <c r="C77" i="37" l="1"/>
  <c r="F77" i="37"/>
  <c r="AA79" i="37"/>
  <c r="AD79" i="37"/>
  <c r="S77" i="37"/>
  <c r="V77" i="37"/>
  <c r="S77" i="25"/>
  <c r="V77" i="25"/>
  <c r="AA79" i="25"/>
  <c r="AD79" i="25"/>
  <c r="C78" i="25"/>
  <c r="F78" i="25"/>
  <c r="E77" i="37" l="1"/>
  <c r="G77" i="37"/>
  <c r="U77" i="37"/>
  <c r="W77" i="37"/>
  <c r="AC79" i="37"/>
  <c r="AE79" i="37"/>
  <c r="G78" i="25"/>
  <c r="E78" i="25"/>
  <c r="AE79" i="25"/>
  <c r="AC79" i="25"/>
  <c r="U77" i="25"/>
  <c r="W77" i="25"/>
  <c r="D78" i="37" l="1"/>
  <c r="AB80" i="37"/>
  <c r="T78" i="37"/>
  <c r="T78" i="25"/>
  <c r="AB80" i="25"/>
  <c r="D79" i="25"/>
  <c r="C78" i="37" l="1"/>
  <c r="F78" i="37"/>
  <c r="S78" i="37"/>
  <c r="V78" i="37"/>
  <c r="AA80" i="37"/>
  <c r="AD80" i="37"/>
  <c r="C79" i="25"/>
  <c r="F79" i="25"/>
  <c r="AA80" i="25"/>
  <c r="AD80" i="25"/>
  <c r="S78" i="25"/>
  <c r="V78" i="25"/>
  <c r="E78" i="37" l="1"/>
  <c r="G78" i="37"/>
  <c r="AE80" i="37"/>
  <c r="AC80" i="37"/>
  <c r="W78" i="37"/>
  <c r="U78" i="37"/>
  <c r="W78" i="25"/>
  <c r="U78" i="25"/>
  <c r="AC80" i="25"/>
  <c r="AE80" i="25"/>
  <c r="E79" i="25"/>
  <c r="G79" i="25"/>
  <c r="D79" i="37" l="1"/>
  <c r="T79" i="37"/>
  <c r="AB81" i="37"/>
  <c r="D80" i="25"/>
  <c r="AB81" i="25"/>
  <c r="T79" i="25"/>
  <c r="C79" i="37" l="1"/>
  <c r="F79" i="37"/>
  <c r="AA81" i="37"/>
  <c r="AD81" i="37"/>
  <c r="S79" i="37"/>
  <c r="V79" i="37"/>
  <c r="S79" i="25"/>
  <c r="V79" i="25"/>
  <c r="AA81" i="25"/>
  <c r="AD81" i="25"/>
  <c r="C80" i="25"/>
  <c r="F80" i="25"/>
  <c r="G79" i="37" l="1"/>
  <c r="E79" i="37"/>
  <c r="U79" i="37"/>
  <c r="W79" i="37"/>
  <c r="AE81" i="37"/>
  <c r="AC81" i="37"/>
  <c r="AE81" i="25"/>
  <c r="AC81" i="25"/>
  <c r="G80" i="25"/>
  <c r="E80" i="25"/>
  <c r="U79" i="25"/>
  <c r="W79" i="25"/>
  <c r="D80" i="37" l="1"/>
  <c r="AB82" i="37"/>
  <c r="T80" i="37"/>
  <c r="T80" i="25"/>
  <c r="D81" i="25"/>
  <c r="AB82" i="25"/>
  <c r="C80" i="37" l="1"/>
  <c r="F80" i="37"/>
  <c r="S80" i="37"/>
  <c r="V80" i="37"/>
  <c r="AA82" i="37"/>
  <c r="AD82" i="37"/>
  <c r="C81" i="25"/>
  <c r="F81" i="25"/>
  <c r="AA82" i="25"/>
  <c r="AD82" i="25"/>
  <c r="S80" i="25"/>
  <c r="V80" i="25"/>
  <c r="G80" i="37" l="1"/>
  <c r="E80" i="37"/>
  <c r="AC82" i="37"/>
  <c r="AE82" i="37"/>
  <c r="U80" i="37"/>
  <c r="W80" i="37"/>
  <c r="W80" i="25"/>
  <c r="U80" i="25"/>
  <c r="AC82" i="25"/>
  <c r="AE82" i="25"/>
  <c r="G81" i="25"/>
  <c r="E81" i="25"/>
  <c r="D81" i="37" l="1"/>
  <c r="T81" i="37"/>
  <c r="AB83" i="37"/>
  <c r="D82" i="25"/>
  <c r="AB83" i="25"/>
  <c r="T81" i="25"/>
  <c r="C81" i="37" l="1"/>
  <c r="F81" i="37"/>
  <c r="AA83" i="37"/>
  <c r="AD83" i="37"/>
  <c r="S81" i="37"/>
  <c r="V81" i="37"/>
  <c r="AA83" i="25"/>
  <c r="AD83" i="25"/>
  <c r="S81" i="25"/>
  <c r="V81" i="25"/>
  <c r="C82" i="25"/>
  <c r="F82" i="25"/>
  <c r="E81" i="37" l="1"/>
  <c r="G81" i="37"/>
  <c r="U81" i="37"/>
  <c r="W81" i="37"/>
  <c r="AC83" i="37"/>
  <c r="AE83" i="37"/>
  <c r="G82" i="25"/>
  <c r="E82" i="25"/>
  <c r="U81" i="25"/>
  <c r="W81" i="25"/>
  <c r="AE83" i="25"/>
  <c r="AC83" i="25"/>
  <c r="D82" i="37" l="1"/>
  <c r="T82" i="37"/>
  <c r="AB84" i="37"/>
  <c r="D83" i="25"/>
  <c r="AB84" i="25"/>
  <c r="T82" i="25"/>
  <c r="C82" i="37" l="1"/>
  <c r="F82" i="37"/>
  <c r="S82" i="37"/>
  <c r="V82" i="37"/>
  <c r="AA84" i="37"/>
  <c r="AD84" i="37"/>
  <c r="C83" i="25"/>
  <c r="F83" i="25"/>
  <c r="S82" i="25"/>
  <c r="V82" i="25"/>
  <c r="AA84" i="25"/>
  <c r="AD84" i="25"/>
  <c r="E82" i="37" l="1"/>
  <c r="G82" i="37"/>
  <c r="AC84" i="37"/>
  <c r="AE84" i="37"/>
  <c r="W82" i="37"/>
  <c r="U82" i="37"/>
  <c r="AC84" i="25"/>
  <c r="AE84" i="25"/>
  <c r="U82" i="25"/>
  <c r="W82" i="25"/>
  <c r="E83" i="25"/>
  <c r="G83" i="25"/>
  <c r="D83" i="37" l="1"/>
  <c r="AB85" i="37"/>
  <c r="T83" i="37"/>
  <c r="D84" i="25"/>
  <c r="T83" i="25"/>
  <c r="AB85" i="25"/>
  <c r="C83" i="37" l="1"/>
  <c r="F83" i="37"/>
  <c r="S83" i="37"/>
  <c r="V83" i="37"/>
  <c r="AA85" i="37"/>
  <c r="AD85" i="37"/>
  <c r="AA85" i="25"/>
  <c r="AD85" i="25"/>
  <c r="S83" i="25"/>
  <c r="V83" i="25"/>
  <c r="C84" i="25"/>
  <c r="F84" i="25"/>
  <c r="E83" i="37" l="1"/>
  <c r="G83" i="37"/>
  <c r="AE85" i="37"/>
  <c r="AC85" i="37"/>
  <c r="U83" i="37"/>
  <c r="W83" i="37"/>
  <c r="AC85" i="25"/>
  <c r="AE85" i="25"/>
  <c r="G84" i="25"/>
  <c r="E84" i="25"/>
  <c r="W83" i="25"/>
  <c r="U83" i="25"/>
  <c r="D84" i="37" l="1"/>
  <c r="T84" i="37"/>
  <c r="AB86" i="37"/>
  <c r="T84" i="25"/>
  <c r="D85" i="25"/>
  <c r="AB86" i="25"/>
  <c r="C84" i="37" l="1"/>
  <c r="F84" i="37"/>
  <c r="AA86" i="37"/>
  <c r="AD86" i="37"/>
  <c r="S84" i="37"/>
  <c r="V84" i="37"/>
  <c r="AA86" i="25"/>
  <c r="AD86" i="25"/>
  <c r="C85" i="25"/>
  <c r="F85" i="25"/>
  <c r="S84" i="25"/>
  <c r="V84" i="25"/>
  <c r="E84" i="37" l="1"/>
  <c r="G84" i="37"/>
  <c r="U84" i="37"/>
  <c r="W84" i="37"/>
  <c r="AE86" i="37"/>
  <c r="AC86" i="37"/>
  <c r="U84" i="25"/>
  <c r="W84" i="25"/>
  <c r="G85" i="25"/>
  <c r="E85" i="25"/>
  <c r="AC86" i="25"/>
  <c r="AE86" i="25"/>
  <c r="D85" i="37" l="1"/>
  <c r="AB87" i="37"/>
  <c r="T85" i="37"/>
  <c r="AB87" i="25"/>
  <c r="D86" i="25"/>
  <c r="T85" i="25"/>
  <c r="C85" i="37" l="1"/>
  <c r="F85" i="37"/>
  <c r="S85" i="37"/>
  <c r="V85" i="37"/>
  <c r="AA87" i="37"/>
  <c r="AD87" i="37"/>
  <c r="S85" i="25"/>
  <c r="V85" i="25"/>
  <c r="C86" i="25"/>
  <c r="F86" i="25"/>
  <c r="AA87" i="25"/>
  <c r="AD87" i="25"/>
  <c r="E85" i="37" l="1"/>
  <c r="G85" i="37"/>
  <c r="AE87" i="37"/>
  <c r="AC87" i="37"/>
  <c r="W85" i="37"/>
  <c r="U85" i="37"/>
  <c r="E86" i="25"/>
  <c r="G86" i="25"/>
  <c r="AE87" i="25"/>
  <c r="AC87" i="25"/>
  <c r="W85" i="25"/>
  <c r="U85" i="25"/>
  <c r="D86" i="37" l="1"/>
  <c r="T86" i="37"/>
  <c r="AB88" i="37"/>
  <c r="T86" i="25"/>
  <c r="AB88" i="25"/>
  <c r="D87" i="25"/>
  <c r="C86" i="37" l="1"/>
  <c r="F86" i="37"/>
  <c r="S86" i="37"/>
  <c r="V86" i="37"/>
  <c r="AA88" i="37"/>
  <c r="AD88" i="37"/>
  <c r="AA88" i="25"/>
  <c r="AD88" i="25"/>
  <c r="C87" i="25"/>
  <c r="F87" i="25"/>
  <c r="S86" i="25"/>
  <c r="V86" i="25"/>
  <c r="E86" i="37" l="1"/>
  <c r="G86" i="37"/>
  <c r="AC88" i="37"/>
  <c r="AE88" i="37"/>
  <c r="U86" i="37"/>
  <c r="W86" i="37"/>
  <c r="G87" i="25"/>
  <c r="E87" i="25"/>
  <c r="U86" i="25"/>
  <c r="W86" i="25"/>
  <c r="AE88" i="25"/>
  <c r="AC88" i="25"/>
  <c r="D87" i="37" l="1"/>
  <c r="T87" i="37"/>
  <c r="AB89" i="37"/>
  <c r="T87" i="25"/>
  <c r="D88" i="25"/>
  <c r="AB89" i="25"/>
  <c r="C87" i="37" l="1"/>
  <c r="F87" i="37"/>
  <c r="AA89" i="37"/>
  <c r="AD89" i="37"/>
  <c r="S87" i="37"/>
  <c r="V87" i="37"/>
  <c r="AA89" i="25"/>
  <c r="AD89" i="25"/>
  <c r="C88" i="25"/>
  <c r="F88" i="25"/>
  <c r="S87" i="25"/>
  <c r="V87" i="25"/>
  <c r="E87" i="37" l="1"/>
  <c r="G87" i="37"/>
  <c r="W87" i="37"/>
  <c r="U87" i="37"/>
  <c r="AE89" i="37"/>
  <c r="AC89" i="37"/>
  <c r="W87" i="25"/>
  <c r="U87" i="25"/>
  <c r="G88" i="25"/>
  <c r="E88" i="25"/>
  <c r="AC89" i="25"/>
  <c r="AE89" i="25"/>
  <c r="D88" i="37" l="1"/>
  <c r="AB90" i="37"/>
  <c r="T88" i="37"/>
  <c r="AB90" i="25"/>
  <c r="D89" i="25"/>
  <c r="T88" i="25"/>
  <c r="C88" i="37" l="1"/>
  <c r="F88" i="37"/>
  <c r="S88" i="37"/>
  <c r="V88" i="37"/>
  <c r="AA90" i="37"/>
  <c r="AD90" i="37"/>
  <c r="S88" i="25"/>
  <c r="V88" i="25"/>
  <c r="C89" i="25"/>
  <c r="F89" i="25"/>
  <c r="AA90" i="25"/>
  <c r="AD90" i="25"/>
  <c r="E88" i="37" l="1"/>
  <c r="G88" i="37"/>
  <c r="AC90" i="37"/>
  <c r="AE90" i="37"/>
  <c r="U88" i="37"/>
  <c r="W88" i="37"/>
  <c r="AE90" i="25"/>
  <c r="AC90" i="25"/>
  <c r="E89" i="25"/>
  <c r="G89" i="25"/>
  <c r="U88" i="25"/>
  <c r="W88" i="25"/>
  <c r="D89" i="37" l="1"/>
  <c r="AB91" i="37"/>
  <c r="T89" i="37"/>
  <c r="T89" i="25"/>
  <c r="AB91" i="25"/>
  <c r="D90" i="25"/>
  <c r="C89" i="37" l="1"/>
  <c r="F89" i="37"/>
  <c r="AA91" i="37"/>
  <c r="AD91" i="37"/>
  <c r="S89" i="37"/>
  <c r="V89" i="37"/>
  <c r="C90" i="25"/>
  <c r="F90" i="25"/>
  <c r="AA91" i="25"/>
  <c r="AD91" i="25"/>
  <c r="S89" i="25"/>
  <c r="V89" i="25"/>
  <c r="E89" i="37" l="1"/>
  <c r="G89" i="37"/>
  <c r="U89" i="37"/>
  <c r="W89" i="37"/>
  <c r="AE91" i="37"/>
  <c r="AC91" i="37"/>
  <c r="U89" i="25"/>
  <c r="W89" i="25"/>
  <c r="AE91" i="25"/>
  <c r="AC91" i="25"/>
  <c r="G90" i="25"/>
  <c r="E90" i="25"/>
  <c r="D90" i="37" l="1"/>
  <c r="AB92" i="37"/>
  <c r="T90" i="37"/>
  <c r="D91" i="25"/>
  <c r="AB92" i="25"/>
  <c r="T90" i="25"/>
  <c r="C90" i="37" l="1"/>
  <c r="F90" i="37"/>
  <c r="S90" i="37"/>
  <c r="V90" i="37"/>
  <c r="AA92" i="37"/>
  <c r="AD92" i="37"/>
  <c r="S90" i="25"/>
  <c r="V90" i="25"/>
  <c r="AA92" i="25"/>
  <c r="AD92" i="25"/>
  <c r="C91" i="25"/>
  <c r="F91" i="25"/>
  <c r="E90" i="37" l="1"/>
  <c r="G90" i="37"/>
  <c r="AC92" i="37"/>
  <c r="AE92" i="37"/>
  <c r="W90" i="37"/>
  <c r="U90" i="37"/>
  <c r="E91" i="25"/>
  <c r="G91" i="25"/>
  <c r="AC92" i="25"/>
  <c r="AE92" i="25"/>
  <c r="W90" i="25"/>
  <c r="U90" i="25"/>
  <c r="D91" i="37" l="1"/>
  <c r="AB93" i="37"/>
  <c r="T91" i="37"/>
  <c r="T91" i="25"/>
  <c r="AB93" i="25"/>
  <c r="D92" i="25"/>
  <c r="C91" i="37" l="1"/>
  <c r="F91" i="37"/>
  <c r="S91" i="37"/>
  <c r="V91" i="37"/>
  <c r="AA93" i="37"/>
  <c r="AD93" i="37"/>
  <c r="C92" i="25"/>
  <c r="F92" i="25"/>
  <c r="AA93" i="25"/>
  <c r="AD93" i="25"/>
  <c r="S91" i="25"/>
  <c r="V91" i="25"/>
  <c r="G91" i="37" l="1"/>
  <c r="E91" i="37"/>
  <c r="AE93" i="37"/>
  <c r="AC93" i="37"/>
  <c r="W91" i="37"/>
  <c r="U91" i="37"/>
  <c r="U91" i="25"/>
  <c r="W91" i="25"/>
  <c r="AE93" i="25"/>
  <c r="AC93" i="25"/>
  <c r="G92" i="25"/>
  <c r="E92" i="25"/>
  <c r="D92" i="37" l="1"/>
  <c r="T92" i="37"/>
  <c r="AB94" i="37"/>
  <c r="D93" i="25"/>
  <c r="AB94" i="25"/>
  <c r="T92" i="25"/>
  <c r="C92" i="37" l="1"/>
  <c r="F92" i="37"/>
  <c r="AA94" i="37"/>
  <c r="AD94" i="37"/>
  <c r="S92" i="37"/>
  <c r="V92" i="37"/>
  <c r="S92" i="25"/>
  <c r="V92" i="25"/>
  <c r="AA94" i="25"/>
  <c r="AD94" i="25"/>
  <c r="C93" i="25"/>
  <c r="F93" i="25"/>
  <c r="E92" i="37" l="1"/>
  <c r="G92" i="37"/>
  <c r="U92" i="37"/>
  <c r="W92" i="37"/>
  <c r="AC94" i="37"/>
  <c r="AE94" i="37"/>
  <c r="E93" i="25"/>
  <c r="G93" i="25"/>
  <c r="AC94" i="25"/>
  <c r="AE94" i="25"/>
  <c r="U92" i="25"/>
  <c r="W92" i="25"/>
  <c r="D93" i="37" l="1"/>
  <c r="AB95" i="37"/>
  <c r="T93" i="37"/>
  <c r="T93" i="25"/>
  <c r="AB95" i="25"/>
  <c r="D94" i="25"/>
  <c r="C93" i="37" l="1"/>
  <c r="F93" i="37"/>
  <c r="S93" i="37"/>
  <c r="V93" i="37"/>
  <c r="AA95" i="37"/>
  <c r="AD95" i="37"/>
  <c r="C94" i="25"/>
  <c r="F94" i="25"/>
  <c r="AA95" i="25"/>
  <c r="AD95" i="25"/>
  <c r="S93" i="25"/>
  <c r="V93" i="25"/>
  <c r="E93" i="37" l="1"/>
  <c r="G93" i="37"/>
  <c r="AE95" i="37"/>
  <c r="AC95" i="37"/>
  <c r="W93" i="37"/>
  <c r="U93" i="37"/>
  <c r="U93" i="25"/>
  <c r="W93" i="25"/>
  <c r="AE95" i="25"/>
  <c r="AC95" i="25"/>
  <c r="G94" i="25"/>
  <c r="E94" i="25"/>
  <c r="D94" i="37" l="1"/>
  <c r="T94" i="37"/>
  <c r="AB96" i="37"/>
  <c r="D95" i="25"/>
  <c r="AB96" i="25"/>
  <c r="T94" i="25"/>
  <c r="C94" i="37" l="1"/>
  <c r="F94" i="37"/>
  <c r="S94" i="37"/>
  <c r="V94" i="37"/>
  <c r="AA96" i="37"/>
  <c r="AD96" i="37"/>
  <c r="S94" i="25"/>
  <c r="V94" i="25"/>
  <c r="AA96" i="25"/>
  <c r="AD96" i="25"/>
  <c r="C95" i="25"/>
  <c r="F95" i="25"/>
  <c r="G94" i="37" l="1"/>
  <c r="E94" i="37"/>
  <c r="AC96" i="37"/>
  <c r="AE96" i="37"/>
  <c r="U94" i="37"/>
  <c r="W94" i="37"/>
  <c r="AC96" i="25"/>
  <c r="AE96" i="25"/>
  <c r="E95" i="25"/>
  <c r="G95" i="25"/>
  <c r="W94" i="25"/>
  <c r="U94" i="25"/>
  <c r="D95" i="37" l="1"/>
  <c r="T95" i="37"/>
  <c r="AB97" i="37"/>
  <c r="T95" i="25"/>
  <c r="D96" i="25"/>
  <c r="AB97" i="25"/>
  <c r="C95" i="37" l="1"/>
  <c r="F95" i="37"/>
  <c r="AA97" i="37"/>
  <c r="AD97" i="37"/>
  <c r="S95" i="37"/>
  <c r="V95" i="37"/>
  <c r="AA97" i="25"/>
  <c r="AD97" i="25"/>
  <c r="C96" i="25"/>
  <c r="F96" i="25"/>
  <c r="S95" i="25"/>
  <c r="V95" i="25"/>
  <c r="E95" i="37" l="1"/>
  <c r="G95" i="37"/>
  <c r="W95" i="37"/>
  <c r="U95" i="37"/>
  <c r="AE97" i="37"/>
  <c r="AC97" i="37"/>
  <c r="U95" i="25"/>
  <c r="W95" i="25"/>
  <c r="G96" i="25"/>
  <c r="E96" i="25"/>
  <c r="AE97" i="25"/>
  <c r="AC97" i="25"/>
  <c r="D96" i="37" l="1"/>
  <c r="AB98" i="37"/>
  <c r="T96" i="37"/>
  <c r="AB98" i="25"/>
  <c r="D97" i="25"/>
  <c r="T96" i="25"/>
  <c r="C96" i="37" l="1"/>
  <c r="F96" i="37"/>
  <c r="AA98" i="37"/>
  <c r="AD98" i="37"/>
  <c r="S96" i="37"/>
  <c r="V96" i="37"/>
  <c r="S96" i="25"/>
  <c r="V96" i="25"/>
  <c r="C97" i="25"/>
  <c r="F97" i="25"/>
  <c r="AA98" i="25"/>
  <c r="AD98" i="25"/>
  <c r="E96" i="37" l="1"/>
  <c r="G96" i="37"/>
  <c r="U96" i="37"/>
  <c r="W96" i="37"/>
  <c r="AC98" i="37"/>
  <c r="AE98" i="37"/>
  <c r="AC98" i="25"/>
  <c r="AE98" i="25"/>
  <c r="G97" i="25"/>
  <c r="E97" i="25"/>
  <c r="W96" i="25"/>
  <c r="U96" i="25"/>
  <c r="D97" i="37" l="1"/>
  <c r="AB99" i="37"/>
  <c r="T97" i="37"/>
  <c r="AB99" i="25"/>
  <c r="T97" i="25"/>
  <c r="D98" i="25"/>
  <c r="C97" i="37" l="1"/>
  <c r="F97" i="37"/>
  <c r="S97" i="37"/>
  <c r="V97" i="37"/>
  <c r="AA99" i="37"/>
  <c r="AD99" i="37"/>
  <c r="C98" i="25"/>
  <c r="F98" i="25"/>
  <c r="S97" i="25"/>
  <c r="V97" i="25"/>
  <c r="AA99" i="25"/>
  <c r="AD99" i="25"/>
  <c r="G97" i="37" l="1"/>
  <c r="E97" i="37"/>
  <c r="AE99" i="37"/>
  <c r="AC99" i="37"/>
  <c r="W97" i="37"/>
  <c r="U97" i="37"/>
  <c r="AE99" i="25"/>
  <c r="AC99" i="25"/>
  <c r="U97" i="25"/>
  <c r="W97" i="25"/>
  <c r="E98" i="25"/>
  <c r="G98" i="25"/>
  <c r="D98" i="37" l="1"/>
  <c r="T98" i="37"/>
  <c r="AB100" i="37"/>
  <c r="T98" i="25"/>
  <c r="D99" i="25"/>
  <c r="AB100" i="25"/>
  <c r="C98" i="37" l="1"/>
  <c r="F98" i="37"/>
  <c r="AA100" i="37"/>
  <c r="AD100" i="37"/>
  <c r="S98" i="37"/>
  <c r="V98" i="37"/>
  <c r="AA100" i="25"/>
  <c r="AD100" i="25"/>
  <c r="C99" i="25"/>
  <c r="F99" i="25"/>
  <c r="S98" i="25"/>
  <c r="V98" i="25"/>
  <c r="E98" i="37" l="1"/>
  <c r="G98" i="37"/>
  <c r="U98" i="37"/>
  <c r="W98" i="37"/>
  <c r="AC100" i="37"/>
  <c r="AE100" i="37"/>
  <c r="W98" i="25"/>
  <c r="U98" i="25"/>
  <c r="E99" i="25"/>
  <c r="G99" i="25"/>
  <c r="AC100" i="25"/>
  <c r="AE100" i="25"/>
  <c r="D99" i="37" l="1"/>
  <c r="AB101" i="37"/>
  <c r="T99" i="37"/>
  <c r="AB101" i="25"/>
  <c r="D100" i="25"/>
  <c r="T99" i="25"/>
  <c r="C99" i="37" l="1"/>
  <c r="F99" i="37"/>
  <c r="S99" i="37"/>
  <c r="V99" i="37"/>
  <c r="AA101" i="37"/>
  <c r="AD101" i="37"/>
  <c r="S99" i="25"/>
  <c r="V99" i="25"/>
  <c r="C100" i="25"/>
  <c r="F100" i="25"/>
  <c r="AA101" i="25"/>
  <c r="AD101" i="25"/>
  <c r="E99" i="37" l="1"/>
  <c r="G99" i="37"/>
  <c r="AE101" i="37"/>
  <c r="AC101" i="37"/>
  <c r="W99" i="37"/>
  <c r="U99" i="37"/>
  <c r="AE101" i="25"/>
  <c r="AC101" i="25"/>
  <c r="G100" i="25"/>
  <c r="E100" i="25"/>
  <c r="U99" i="25"/>
  <c r="W99" i="25"/>
  <c r="D100" i="37" l="1"/>
  <c r="T100" i="37"/>
  <c r="AB102" i="37"/>
  <c r="T100" i="25"/>
  <c r="D101" i="25"/>
  <c r="AB102" i="25"/>
  <c r="C100" i="37" l="1"/>
  <c r="F100" i="37"/>
  <c r="S100" i="37"/>
  <c r="V100" i="37"/>
  <c r="AA102" i="37"/>
  <c r="AD102" i="37"/>
  <c r="AA102" i="25"/>
  <c r="AD102" i="25"/>
  <c r="C101" i="25"/>
  <c r="F101" i="25"/>
  <c r="S100" i="25"/>
  <c r="V100" i="25"/>
  <c r="G100" i="37" l="1"/>
  <c r="E100" i="37"/>
  <c r="AC102" i="37"/>
  <c r="AE102" i="37"/>
  <c r="U100" i="37"/>
  <c r="W100" i="37"/>
  <c r="W100" i="25"/>
  <c r="U100" i="25"/>
  <c r="G101" i="25"/>
  <c r="E101" i="25"/>
  <c r="AC102" i="25"/>
  <c r="AE102" i="25"/>
  <c r="D101" i="37" l="1"/>
  <c r="T101" i="37"/>
  <c r="AB103" i="37"/>
  <c r="AB103" i="25"/>
  <c r="D102" i="25"/>
  <c r="T101" i="25"/>
  <c r="C101" i="37" l="1"/>
  <c r="F101" i="37"/>
  <c r="AA103" i="37"/>
  <c r="AD103" i="37"/>
  <c r="S101" i="37"/>
  <c r="V101" i="37"/>
  <c r="S101" i="25"/>
  <c r="V101" i="25"/>
  <c r="C102" i="25"/>
  <c r="F102" i="25"/>
  <c r="AA103" i="25"/>
  <c r="AD103" i="25"/>
  <c r="E101" i="37" l="1"/>
  <c r="G101" i="37"/>
  <c r="W101" i="37"/>
  <c r="U101" i="37"/>
  <c r="AE103" i="37"/>
  <c r="AC103" i="37"/>
  <c r="AE103" i="25"/>
  <c r="AC103" i="25"/>
  <c r="E102" i="25"/>
  <c r="G102" i="25"/>
  <c r="U101" i="25"/>
  <c r="W101" i="25"/>
  <c r="D102" i="37" l="1"/>
  <c r="AB104" i="37"/>
  <c r="T102" i="37"/>
  <c r="T102" i="25"/>
  <c r="D103" i="25"/>
  <c r="AB104" i="25"/>
  <c r="C102" i="37" l="1"/>
  <c r="F102" i="37"/>
  <c r="S102" i="37"/>
  <c r="V102" i="37"/>
  <c r="AA104" i="37"/>
  <c r="AD104" i="37"/>
  <c r="AA104" i="25"/>
  <c r="AD104" i="25"/>
  <c r="C103" i="25"/>
  <c r="F103" i="25"/>
  <c r="S102" i="25"/>
  <c r="V102" i="25"/>
  <c r="E102" i="37" l="1"/>
  <c r="G102" i="37"/>
  <c r="AC104" i="37"/>
  <c r="AE104" i="37"/>
  <c r="U102" i="37"/>
  <c r="W102" i="37"/>
  <c r="G103" i="25"/>
  <c r="E103" i="25"/>
  <c r="U102" i="25"/>
  <c r="W102" i="25"/>
  <c r="AE104" i="25"/>
  <c r="AC104" i="25"/>
  <c r="D103" i="37" l="1"/>
  <c r="T103" i="37"/>
  <c r="AB105" i="37"/>
  <c r="AB105" i="25"/>
  <c r="T103" i="25"/>
  <c r="D104" i="25"/>
  <c r="C103" i="37" l="1"/>
  <c r="F103" i="37"/>
  <c r="AA105" i="37"/>
  <c r="AD105" i="37"/>
  <c r="S103" i="37"/>
  <c r="V103" i="37"/>
  <c r="AA105" i="25"/>
  <c r="AD105" i="25"/>
  <c r="C104" i="25"/>
  <c r="F104" i="25"/>
  <c r="S103" i="25"/>
  <c r="V103" i="25"/>
  <c r="G103" i="37" l="1"/>
  <c r="E103" i="37"/>
  <c r="U103" i="37"/>
  <c r="W103" i="37"/>
  <c r="AC105" i="37"/>
  <c r="AE105" i="37"/>
  <c r="AE105" i="25"/>
  <c r="AC105" i="25"/>
  <c r="W103" i="25"/>
  <c r="U103" i="25"/>
  <c r="E104" i="25"/>
  <c r="G104" i="25"/>
  <c r="D104" i="37" l="1"/>
  <c r="AB106" i="37"/>
  <c r="T104" i="37"/>
  <c r="AB106" i="25"/>
  <c r="D105" i="25"/>
  <c r="T104" i="25"/>
  <c r="C104" i="37" l="1"/>
  <c r="F104" i="37"/>
  <c r="AA106" i="37"/>
  <c r="AD106" i="37"/>
  <c r="S104" i="37"/>
  <c r="V104" i="37"/>
  <c r="AA106" i="25"/>
  <c r="AD106" i="25"/>
  <c r="S104" i="25"/>
  <c r="V104" i="25"/>
  <c r="C105" i="25"/>
  <c r="F105" i="25"/>
  <c r="E104" i="37" l="1"/>
  <c r="G104" i="37"/>
  <c r="U104" i="37"/>
  <c r="W104" i="37"/>
  <c r="AE106" i="37"/>
  <c r="AC106" i="37"/>
  <c r="AC106" i="25"/>
  <c r="AE106" i="25"/>
  <c r="G105" i="25"/>
  <c r="E105" i="25"/>
  <c r="U104" i="25"/>
  <c r="W104" i="25"/>
  <c r="D105" i="37" l="1"/>
  <c r="AB107" i="37"/>
  <c r="T105" i="37"/>
  <c r="T105" i="25"/>
  <c r="D106" i="25"/>
  <c r="AB107" i="25"/>
  <c r="C105" i="37" l="1"/>
  <c r="F105" i="37"/>
  <c r="AA107" i="37"/>
  <c r="AD107" i="37"/>
  <c r="S105" i="37"/>
  <c r="V105" i="37"/>
  <c r="S105" i="25"/>
  <c r="V105" i="25"/>
  <c r="AA107" i="25"/>
  <c r="AD107" i="25"/>
  <c r="C106" i="25"/>
  <c r="F106" i="25"/>
  <c r="E105" i="37" l="1"/>
  <c r="G105" i="37"/>
  <c r="W105" i="37"/>
  <c r="U105" i="37"/>
  <c r="AC107" i="37"/>
  <c r="AE107" i="37"/>
  <c r="E106" i="25"/>
  <c r="G106" i="25"/>
  <c r="U105" i="25"/>
  <c r="W105" i="25"/>
  <c r="AE107" i="25"/>
  <c r="AC107" i="25"/>
  <c r="D106" i="37" l="1"/>
  <c r="AB108" i="37"/>
  <c r="T106" i="37"/>
  <c r="AB108" i="25"/>
  <c r="T106" i="25"/>
  <c r="D107" i="25"/>
  <c r="C106" i="37" l="1"/>
  <c r="F106" i="37"/>
  <c r="S106" i="37"/>
  <c r="V106" i="37"/>
  <c r="AA108" i="37"/>
  <c r="AD108" i="37"/>
  <c r="C107" i="25"/>
  <c r="F107" i="25"/>
  <c r="S106" i="25"/>
  <c r="V106" i="25"/>
  <c r="AA108" i="25"/>
  <c r="AD108" i="25"/>
  <c r="E106" i="37" l="1"/>
  <c r="G106" i="37"/>
  <c r="AC108" i="37"/>
  <c r="AE108" i="37"/>
  <c r="U106" i="37"/>
  <c r="W106" i="37"/>
  <c r="AC108" i="25"/>
  <c r="AE108" i="25"/>
  <c r="W106" i="25"/>
  <c r="U106" i="25"/>
  <c r="G107" i="25"/>
  <c r="E107" i="25"/>
  <c r="D107" i="37" l="1"/>
  <c r="T107" i="37"/>
  <c r="AB109" i="37"/>
  <c r="D108" i="25"/>
  <c r="T107" i="25"/>
  <c r="AB109" i="25"/>
  <c r="C107" i="37" l="1"/>
  <c r="F107" i="37"/>
  <c r="AA109" i="37"/>
  <c r="AD109" i="37"/>
  <c r="S107" i="37"/>
  <c r="V107" i="37"/>
  <c r="AA109" i="25"/>
  <c r="AD109" i="25"/>
  <c r="S107" i="25"/>
  <c r="V107" i="25"/>
  <c r="C108" i="25"/>
  <c r="F108" i="25"/>
  <c r="G107" i="37" l="1"/>
  <c r="E107" i="37"/>
  <c r="AE109" i="37"/>
  <c r="AC109" i="37"/>
  <c r="U107" i="37"/>
  <c r="W107" i="37"/>
  <c r="AE109" i="25"/>
  <c r="AC109" i="25"/>
  <c r="E108" i="25"/>
  <c r="G108" i="25"/>
  <c r="U107" i="25"/>
  <c r="W107" i="25"/>
  <c r="D108" i="37" l="1"/>
  <c r="T108" i="37"/>
  <c r="AB110" i="37"/>
  <c r="T108" i="25"/>
  <c r="D109" i="25"/>
  <c r="AB110" i="25"/>
  <c r="C108" i="37" l="1"/>
  <c r="F108" i="37"/>
  <c r="AA110" i="37"/>
  <c r="AD110" i="37"/>
  <c r="S108" i="37"/>
  <c r="V108" i="37"/>
  <c r="S108" i="25"/>
  <c r="V108" i="25"/>
  <c r="AA110" i="25"/>
  <c r="AD110" i="25"/>
  <c r="C109" i="25"/>
  <c r="F109" i="25"/>
  <c r="E108" i="37" l="1"/>
  <c r="G108" i="37"/>
  <c r="U108" i="37"/>
  <c r="W108" i="37"/>
  <c r="AC110" i="37"/>
  <c r="AE110" i="37"/>
  <c r="U108" i="25"/>
  <c r="W108" i="25"/>
  <c r="E109" i="25"/>
  <c r="G109" i="25"/>
  <c r="AC110" i="25"/>
  <c r="AE110" i="25"/>
  <c r="D109" i="37" l="1"/>
  <c r="AB111" i="37"/>
  <c r="T109" i="37"/>
  <c r="AB111" i="25"/>
  <c r="D110" i="25"/>
  <c r="T109" i="25"/>
  <c r="C109" i="37" l="1"/>
  <c r="F109" i="37"/>
  <c r="S109" i="37"/>
  <c r="V109" i="37"/>
  <c r="AA111" i="37"/>
  <c r="AD111" i="37"/>
  <c r="S109" i="25"/>
  <c r="V109" i="25"/>
  <c r="C110" i="25"/>
  <c r="F110" i="25"/>
  <c r="AA111" i="25"/>
  <c r="AD111" i="25"/>
  <c r="E109" i="37" l="1"/>
  <c r="G109" i="37"/>
  <c r="AC111" i="37"/>
  <c r="AE111" i="37"/>
  <c r="W109" i="37"/>
  <c r="U109" i="37"/>
  <c r="AE111" i="25"/>
  <c r="AC111" i="25"/>
  <c r="G110" i="25"/>
  <c r="E110" i="25"/>
  <c r="W109" i="25"/>
  <c r="U109" i="25"/>
  <c r="D110" i="37" l="1"/>
  <c r="T110" i="37"/>
  <c r="AB112" i="37"/>
  <c r="T110" i="25"/>
  <c r="D111" i="25"/>
  <c r="AB112" i="25"/>
  <c r="C110" i="37" l="1"/>
  <c r="F110" i="37"/>
  <c r="AA112" i="37"/>
  <c r="AD112" i="37"/>
  <c r="S110" i="37"/>
  <c r="V110" i="37"/>
  <c r="S110" i="25"/>
  <c r="V110" i="25"/>
  <c r="AA112" i="25"/>
  <c r="AD112" i="25"/>
  <c r="C111" i="25"/>
  <c r="F111" i="25"/>
  <c r="G110" i="37" l="1"/>
  <c r="E110" i="37"/>
  <c r="U110" i="37"/>
  <c r="W110" i="37"/>
  <c r="AE112" i="37"/>
  <c r="AC112" i="37"/>
  <c r="E111" i="25"/>
  <c r="G111" i="25"/>
  <c r="AE112" i="25"/>
  <c r="AC112" i="25"/>
  <c r="W110" i="25"/>
  <c r="U110" i="25"/>
  <c r="D111" i="37" l="1"/>
  <c r="AB113" i="37"/>
  <c r="T111" i="37"/>
  <c r="T111" i="25"/>
  <c r="AB113" i="25"/>
  <c r="D112" i="25"/>
  <c r="C111" i="37" l="1"/>
  <c r="F111" i="37"/>
  <c r="S111" i="37"/>
  <c r="V111" i="37"/>
  <c r="AA113" i="37"/>
  <c r="AD113" i="37"/>
  <c r="AA113" i="25"/>
  <c r="AD113" i="25"/>
  <c r="C112" i="25"/>
  <c r="F112" i="25"/>
  <c r="S111" i="25"/>
  <c r="V111" i="25"/>
  <c r="G111" i="37" l="1"/>
  <c r="E111" i="37"/>
  <c r="AC113" i="37"/>
  <c r="AE113" i="37"/>
  <c r="U111" i="37"/>
  <c r="W111" i="37"/>
  <c r="U111" i="25"/>
  <c r="W111" i="25"/>
  <c r="G112" i="25"/>
  <c r="E112" i="25"/>
  <c r="AC113" i="25"/>
  <c r="AE113" i="25"/>
  <c r="D112" i="37" l="1"/>
  <c r="T112" i="37"/>
  <c r="AB114" i="37"/>
  <c r="AB114" i="25"/>
  <c r="D113" i="25"/>
  <c r="T112" i="25"/>
  <c r="C112" i="37" l="1"/>
  <c r="F112" i="37"/>
  <c r="AA114" i="37"/>
  <c r="AD114" i="37"/>
  <c r="S112" i="37"/>
  <c r="V112" i="37"/>
  <c r="AA114" i="25"/>
  <c r="AD114" i="25"/>
  <c r="S112" i="25"/>
  <c r="V112" i="25"/>
  <c r="C113" i="25"/>
  <c r="F113" i="25"/>
  <c r="E112" i="37" l="1"/>
  <c r="G112" i="37"/>
  <c r="W112" i="37"/>
  <c r="U112" i="37"/>
  <c r="AC114" i="37"/>
  <c r="AE114" i="37"/>
  <c r="AC114" i="25"/>
  <c r="AE114" i="25"/>
  <c r="E113" i="25"/>
  <c r="G113" i="25"/>
  <c r="U112" i="25"/>
  <c r="W112" i="25"/>
  <c r="D113" i="37" l="1"/>
  <c r="AB115" i="37"/>
  <c r="T113" i="37"/>
  <c r="D114" i="25"/>
  <c r="T113" i="25"/>
  <c r="AB115" i="25"/>
  <c r="C113" i="37" l="1"/>
  <c r="F113" i="37"/>
  <c r="S113" i="37"/>
  <c r="V113" i="37"/>
  <c r="AA115" i="37"/>
  <c r="AD115" i="37"/>
  <c r="AA115" i="25"/>
  <c r="AD115" i="25"/>
  <c r="S113" i="25"/>
  <c r="V113" i="25"/>
  <c r="C114" i="25"/>
  <c r="F114" i="25"/>
  <c r="E113" i="37" l="1"/>
  <c r="G113" i="37"/>
  <c r="AE115" i="37"/>
  <c r="AC115" i="37"/>
  <c r="U113" i="37"/>
  <c r="W113" i="37"/>
  <c r="G114" i="25"/>
  <c r="E114" i="25"/>
  <c r="U113" i="25"/>
  <c r="W113" i="25"/>
  <c r="AC115" i="25"/>
  <c r="AE115" i="25"/>
  <c r="D114" i="37" l="1"/>
  <c r="T114" i="37"/>
  <c r="AB116" i="37"/>
  <c r="AB116" i="25"/>
  <c r="T114" i="25"/>
  <c r="D115" i="25"/>
  <c r="C114" i="37" l="1"/>
  <c r="F114" i="37"/>
  <c r="AA116" i="37"/>
  <c r="AD116" i="37"/>
  <c r="S114" i="37"/>
  <c r="V114" i="37"/>
  <c r="C115" i="25"/>
  <c r="F115" i="25"/>
  <c r="S114" i="25"/>
  <c r="V114" i="25"/>
  <c r="AA116" i="25"/>
  <c r="AD116" i="25"/>
  <c r="G114" i="37" l="1"/>
  <c r="E114" i="37"/>
  <c r="U114" i="37"/>
  <c r="W114" i="37"/>
  <c r="AE116" i="37"/>
  <c r="AC116" i="37"/>
  <c r="AE116" i="25"/>
  <c r="AC116" i="25"/>
  <c r="W114" i="25"/>
  <c r="U114" i="25"/>
  <c r="E115" i="25"/>
  <c r="G115" i="25"/>
  <c r="D115" i="37" l="1"/>
  <c r="T115" i="37"/>
  <c r="AB117" i="37"/>
  <c r="D116" i="25"/>
  <c r="T115" i="25"/>
  <c r="AB117" i="25"/>
  <c r="C115" i="37" l="1"/>
  <c r="F115" i="37"/>
  <c r="AA117" i="37"/>
  <c r="AD117" i="37"/>
  <c r="S115" i="37"/>
  <c r="V115" i="37"/>
  <c r="AA117" i="25"/>
  <c r="AD117" i="25"/>
  <c r="S115" i="25"/>
  <c r="V115" i="25"/>
  <c r="C116" i="25"/>
  <c r="F116" i="25"/>
  <c r="E115" i="37" l="1"/>
  <c r="G115" i="37"/>
  <c r="U115" i="37"/>
  <c r="W115" i="37"/>
  <c r="AE117" i="37"/>
  <c r="AC117" i="37"/>
  <c r="G116" i="25"/>
  <c r="E116" i="25"/>
  <c r="U115" i="25"/>
  <c r="W115" i="25"/>
  <c r="AE117" i="25"/>
  <c r="AC117" i="25"/>
  <c r="D116" i="37" l="1"/>
  <c r="AB118" i="37"/>
  <c r="T116" i="37"/>
  <c r="AB118" i="25"/>
  <c r="T116" i="25"/>
  <c r="D117" i="25"/>
  <c r="C116" i="37" l="1"/>
  <c r="F116" i="37"/>
  <c r="S116" i="37"/>
  <c r="V116" i="37"/>
  <c r="AA118" i="37"/>
  <c r="AD118" i="37"/>
  <c r="C117" i="25"/>
  <c r="F117" i="25"/>
  <c r="S116" i="25"/>
  <c r="V116" i="25"/>
  <c r="AA118" i="25"/>
  <c r="AD118" i="25"/>
  <c r="E116" i="37" l="1"/>
  <c r="G116" i="37"/>
  <c r="AE118" i="37"/>
  <c r="AC118" i="37"/>
  <c r="W116" i="37"/>
  <c r="U116" i="37"/>
  <c r="AE118" i="25"/>
  <c r="AC118" i="25"/>
  <c r="W116" i="25"/>
  <c r="U116" i="25"/>
  <c r="E117" i="25"/>
  <c r="G117" i="25"/>
  <c r="D117" i="37" l="1"/>
  <c r="T117" i="37"/>
  <c r="AB119" i="37"/>
  <c r="D118" i="25"/>
  <c r="T117" i="25"/>
  <c r="AB119" i="25"/>
  <c r="C117" i="37" l="1"/>
  <c r="F117" i="37"/>
  <c r="AA119" i="37"/>
  <c r="AD119" i="37"/>
  <c r="S117" i="37"/>
  <c r="V117" i="37"/>
  <c r="C118" i="25"/>
  <c r="F118" i="25"/>
  <c r="AA119" i="25"/>
  <c r="AD119" i="25"/>
  <c r="S117" i="25"/>
  <c r="V117" i="25"/>
  <c r="E117" i="37" l="1"/>
  <c r="G117" i="37"/>
  <c r="W117" i="37"/>
  <c r="U117" i="37"/>
  <c r="AC119" i="37"/>
  <c r="AE119" i="37"/>
  <c r="U117" i="25"/>
  <c r="W117" i="25"/>
  <c r="AC119" i="25"/>
  <c r="AE119" i="25"/>
  <c r="E118" i="25"/>
  <c r="G118" i="25"/>
  <c r="D118" i="37" l="1"/>
  <c r="AB120" i="37"/>
  <c r="T118" i="37"/>
  <c r="D119" i="25"/>
  <c r="AB120" i="25"/>
  <c r="T118" i="25"/>
  <c r="C118" i="37" l="1"/>
  <c r="F118" i="37"/>
  <c r="S118" i="37"/>
  <c r="V118" i="37"/>
  <c r="AA120" i="37"/>
  <c r="AD120" i="37"/>
  <c r="S118" i="25"/>
  <c r="V118" i="25"/>
  <c r="AA120" i="25"/>
  <c r="AD120" i="25"/>
  <c r="C119" i="25"/>
  <c r="F119" i="25"/>
  <c r="E118" i="37" l="1"/>
  <c r="G118" i="37"/>
  <c r="AE120" i="37"/>
  <c r="AC120" i="37"/>
  <c r="U118" i="37"/>
  <c r="W118" i="37"/>
  <c r="G119" i="25"/>
  <c r="E119" i="25"/>
  <c r="AE120" i="25"/>
  <c r="AC120" i="25"/>
  <c r="W118" i="25"/>
  <c r="U118" i="25"/>
  <c r="D119" i="37" l="1"/>
  <c r="T119" i="37"/>
  <c r="AB121" i="37"/>
  <c r="T119" i="25"/>
  <c r="AB121" i="25"/>
  <c r="D120" i="25"/>
  <c r="C119" i="37" l="1"/>
  <c r="F119" i="37"/>
  <c r="S119" i="37"/>
  <c r="V119" i="37"/>
  <c r="AA121" i="37"/>
  <c r="AD121" i="37"/>
  <c r="C120" i="25"/>
  <c r="F120" i="25"/>
  <c r="AA121" i="25"/>
  <c r="AD121" i="25"/>
  <c r="S119" i="25"/>
  <c r="V119" i="25"/>
  <c r="E119" i="37" l="1"/>
  <c r="G119" i="37"/>
  <c r="AC121" i="37"/>
  <c r="AE121" i="37"/>
  <c r="U119" i="37"/>
  <c r="W119" i="37"/>
  <c r="U119" i="25"/>
  <c r="W119" i="25"/>
  <c r="AC121" i="25"/>
  <c r="AE121" i="25"/>
  <c r="E120" i="25"/>
  <c r="G120" i="25"/>
  <c r="D120" i="37" l="1"/>
  <c r="AB122" i="37"/>
  <c r="T120" i="37"/>
  <c r="D121" i="25"/>
  <c r="AB122" i="25"/>
  <c r="T120" i="25"/>
  <c r="C120" i="37" l="1"/>
  <c r="F120" i="37"/>
  <c r="S120" i="37"/>
  <c r="V120" i="37"/>
  <c r="AA122" i="37"/>
  <c r="AD122" i="37"/>
  <c r="S120" i="25"/>
  <c r="V120" i="25"/>
  <c r="AA122" i="25"/>
  <c r="AD122" i="25"/>
  <c r="C121" i="25"/>
  <c r="F121" i="25"/>
  <c r="G120" i="37" l="1"/>
  <c r="E120" i="37"/>
  <c r="AE122" i="37"/>
  <c r="AC122" i="37"/>
  <c r="W120" i="37"/>
  <c r="U120" i="37"/>
  <c r="G121" i="25"/>
  <c r="E121" i="25"/>
  <c r="AE122" i="25"/>
  <c r="AC122" i="25"/>
  <c r="W120" i="25"/>
  <c r="U120" i="25"/>
  <c r="D121" i="37" l="1"/>
  <c r="T121" i="37"/>
  <c r="AB123" i="37"/>
  <c r="T121" i="25"/>
  <c r="AB123" i="25"/>
  <c r="D122" i="25"/>
  <c r="C121" i="37" l="1"/>
  <c r="F121" i="37"/>
  <c r="AA123" i="37"/>
  <c r="AD123" i="37"/>
  <c r="S121" i="37"/>
  <c r="V121" i="37"/>
  <c r="C122" i="25"/>
  <c r="F122" i="25"/>
  <c r="AA123" i="25"/>
  <c r="AD123" i="25"/>
  <c r="S121" i="25"/>
  <c r="V121" i="25"/>
  <c r="E121" i="37" l="1"/>
  <c r="G121" i="37"/>
  <c r="U121" i="37"/>
  <c r="W121" i="37"/>
  <c r="AC123" i="37"/>
  <c r="AE123" i="37"/>
  <c r="U121" i="25"/>
  <c r="W121" i="25"/>
  <c r="AC123" i="25"/>
  <c r="AE123" i="25"/>
  <c r="E122" i="25"/>
  <c r="G122" i="25"/>
  <c r="D122" i="37" l="1"/>
  <c r="AB124" i="37"/>
  <c r="T122" i="37"/>
  <c r="D123" i="25"/>
  <c r="AB124" i="25"/>
  <c r="T122" i="25"/>
  <c r="C122" i="37" l="1"/>
  <c r="F122" i="37"/>
  <c r="S122" i="37"/>
  <c r="V122" i="37"/>
  <c r="AA124" i="37"/>
  <c r="AD124" i="37"/>
  <c r="S122" i="25"/>
  <c r="V122" i="25"/>
  <c r="AA124" i="25"/>
  <c r="AD124" i="25"/>
  <c r="C123" i="25"/>
  <c r="F123" i="25"/>
  <c r="G122" i="37" l="1"/>
  <c r="E122" i="37"/>
  <c r="AE124" i="37"/>
  <c r="AC124" i="37"/>
  <c r="W122" i="37"/>
  <c r="U122" i="37"/>
  <c r="G123" i="25"/>
  <c r="E123" i="25"/>
  <c r="AE124" i="25"/>
  <c r="AC124" i="25"/>
  <c r="W122" i="25"/>
  <c r="U122" i="25"/>
  <c r="D123" i="37" l="1"/>
  <c r="T123" i="37"/>
  <c r="AB125" i="37"/>
  <c r="T123" i="25"/>
  <c r="AB125" i="25"/>
  <c r="D124" i="25"/>
  <c r="C123" i="37" l="1"/>
  <c r="F123" i="37"/>
  <c r="AA125" i="37"/>
  <c r="AD125" i="37"/>
  <c r="S123" i="37"/>
  <c r="V123" i="37"/>
  <c r="C124" i="25"/>
  <c r="F124" i="25"/>
  <c r="AA125" i="25"/>
  <c r="AD125" i="25"/>
  <c r="S123" i="25"/>
  <c r="V123" i="25"/>
  <c r="E123" i="37" l="1"/>
  <c r="G123" i="37"/>
  <c r="U123" i="37"/>
  <c r="W123" i="37"/>
  <c r="AC125" i="37"/>
  <c r="AE125" i="37"/>
  <c r="U123" i="25"/>
  <c r="W123" i="25"/>
  <c r="AC125" i="25"/>
  <c r="AE125" i="25"/>
  <c r="E124" i="25"/>
  <c r="G124" i="25"/>
  <c r="D124" i="37" l="1"/>
  <c r="T124" i="37"/>
  <c r="AB126" i="37"/>
  <c r="D125" i="25"/>
  <c r="AB126" i="25"/>
  <c r="T124" i="25"/>
  <c r="C124" i="37" l="1"/>
  <c r="F124" i="37"/>
  <c r="AA126" i="37"/>
  <c r="AD126" i="37"/>
  <c r="S124" i="37"/>
  <c r="V124" i="37"/>
  <c r="AA126" i="25"/>
  <c r="AD126" i="25"/>
  <c r="S124" i="25"/>
  <c r="V124" i="25"/>
  <c r="C125" i="25"/>
  <c r="F125" i="25"/>
  <c r="E124" i="37" l="1"/>
  <c r="G124" i="37"/>
  <c r="W124" i="37"/>
  <c r="U124" i="37"/>
  <c r="AE126" i="37"/>
  <c r="AC126" i="37"/>
  <c r="E125" i="25"/>
  <c r="G125" i="25"/>
  <c r="U124" i="25"/>
  <c r="W124" i="25"/>
  <c r="AE126" i="25"/>
  <c r="AC126" i="25"/>
  <c r="D125" i="37" l="1"/>
  <c r="AB127" i="37"/>
  <c r="T125" i="37"/>
  <c r="T125" i="25"/>
  <c r="AB127" i="25"/>
  <c r="D126" i="25"/>
  <c r="C125" i="37" l="1"/>
  <c r="F125" i="37"/>
  <c r="AA127" i="37"/>
  <c r="AD127" i="37"/>
  <c r="S125" i="37"/>
  <c r="V125" i="37"/>
  <c r="AA127" i="25"/>
  <c r="AD127" i="25"/>
  <c r="S125" i="25"/>
  <c r="V125" i="25"/>
  <c r="C126" i="25"/>
  <c r="F126" i="25"/>
  <c r="E125" i="37" l="1"/>
  <c r="G125" i="37"/>
  <c r="U125" i="37"/>
  <c r="W125" i="37"/>
  <c r="AC127" i="37"/>
  <c r="AE127" i="37"/>
  <c r="E126" i="25"/>
  <c r="G126" i="25"/>
  <c r="W125" i="25"/>
  <c r="U125" i="25"/>
  <c r="AC127" i="25"/>
  <c r="AE127" i="25"/>
  <c r="D126" i="37" l="1"/>
  <c r="AB128" i="37"/>
  <c r="T126" i="37"/>
  <c r="AB128" i="25"/>
  <c r="T126" i="25"/>
  <c r="D127" i="25"/>
  <c r="C126" i="37" l="1"/>
  <c r="F126" i="37"/>
  <c r="S126" i="37"/>
  <c r="V126" i="37"/>
  <c r="AA128" i="37"/>
  <c r="AD128" i="37"/>
  <c r="S126" i="25"/>
  <c r="V126" i="25"/>
  <c r="C127" i="25"/>
  <c r="F127" i="25"/>
  <c r="AA128" i="25"/>
  <c r="AD128" i="25"/>
  <c r="E126" i="37" l="1"/>
  <c r="G126" i="37"/>
  <c r="AE128" i="37"/>
  <c r="AC128" i="37"/>
  <c r="U126" i="37"/>
  <c r="W126" i="37"/>
  <c r="AE128" i="25"/>
  <c r="AC128" i="25"/>
  <c r="G127" i="25"/>
  <c r="E127" i="25"/>
  <c r="W126" i="25"/>
  <c r="U126" i="25"/>
  <c r="D127" i="37" l="1"/>
  <c r="T127" i="37"/>
  <c r="AB129" i="37"/>
  <c r="T127" i="25"/>
  <c r="D128" i="25"/>
  <c r="AB129" i="25"/>
  <c r="C127" i="37" l="1"/>
  <c r="F127" i="37"/>
  <c r="AA129" i="37"/>
  <c r="AD129" i="37"/>
  <c r="S127" i="37"/>
  <c r="V127" i="37"/>
  <c r="AA129" i="25"/>
  <c r="AD129" i="25"/>
  <c r="C128" i="25"/>
  <c r="F128" i="25"/>
  <c r="S127" i="25"/>
  <c r="V127" i="25"/>
  <c r="E127" i="37" l="1"/>
  <c r="G127" i="37"/>
  <c r="U127" i="37"/>
  <c r="W127" i="37"/>
  <c r="AC129" i="37"/>
  <c r="AE129" i="37"/>
  <c r="W127" i="25"/>
  <c r="U127" i="25"/>
  <c r="E128" i="25"/>
  <c r="G128" i="25"/>
  <c r="AE129" i="25"/>
  <c r="AC129" i="25"/>
  <c r="D128" i="37" l="1"/>
  <c r="T128" i="37"/>
  <c r="AB130" i="37"/>
  <c r="AB130" i="25"/>
  <c r="D129" i="25"/>
  <c r="T128" i="25"/>
  <c r="C128" i="37" l="1"/>
  <c r="F128" i="37"/>
  <c r="AA130" i="37"/>
  <c r="AD130" i="37"/>
  <c r="S128" i="37"/>
  <c r="V128" i="37"/>
  <c r="S128" i="25"/>
  <c r="V128" i="25"/>
  <c r="C129" i="25"/>
  <c r="F129" i="25"/>
  <c r="AA130" i="25"/>
  <c r="AD130" i="25"/>
  <c r="E128" i="37" l="1"/>
  <c r="G128" i="37"/>
  <c r="W128" i="37"/>
  <c r="U128" i="37"/>
  <c r="AC130" i="37"/>
  <c r="AE130" i="37"/>
  <c r="G129" i="25"/>
  <c r="E129" i="25"/>
  <c r="AC130" i="25"/>
  <c r="AE130" i="25"/>
  <c r="U128" i="25"/>
  <c r="W128" i="25"/>
  <c r="D129" i="37" l="1"/>
  <c r="AB131" i="37"/>
  <c r="T129" i="37"/>
  <c r="T129" i="25"/>
  <c r="AB131" i="25"/>
  <c r="D130" i="25"/>
  <c r="C129" i="37" l="1"/>
  <c r="F129" i="37"/>
  <c r="S129" i="37"/>
  <c r="V129" i="37"/>
  <c r="AA131" i="37"/>
  <c r="AD131" i="37"/>
  <c r="C130" i="25"/>
  <c r="F130" i="25"/>
  <c r="AA131" i="25"/>
  <c r="AD131" i="25"/>
  <c r="S129" i="25"/>
  <c r="V129" i="25"/>
  <c r="E129" i="37" l="1"/>
  <c r="G129" i="37"/>
  <c r="AC131" i="37"/>
  <c r="AE131" i="37"/>
  <c r="U129" i="37"/>
  <c r="W129" i="37"/>
  <c r="W129" i="25"/>
  <c r="U129" i="25"/>
  <c r="AE131" i="25"/>
  <c r="AC131" i="25"/>
  <c r="E130" i="25"/>
  <c r="G130" i="25"/>
  <c r="D130" i="37" l="1"/>
  <c r="T130" i="37"/>
  <c r="AB132" i="37"/>
  <c r="D131" i="25"/>
  <c r="AB132" i="25"/>
  <c r="T130" i="25"/>
  <c r="C130" i="37" l="1"/>
  <c r="F130" i="37"/>
  <c r="AA132" i="37"/>
  <c r="AD132" i="37"/>
  <c r="S130" i="37"/>
  <c r="V130" i="37"/>
  <c r="S130" i="25"/>
  <c r="V130" i="25"/>
  <c r="AA132" i="25"/>
  <c r="AD132" i="25"/>
  <c r="C131" i="25"/>
  <c r="F131" i="25"/>
  <c r="G130" i="37" l="1"/>
  <c r="E130" i="37"/>
  <c r="W130" i="37"/>
  <c r="U130" i="37"/>
  <c r="AC132" i="37"/>
  <c r="AE132" i="37"/>
  <c r="AE132" i="25"/>
  <c r="AC132" i="25"/>
  <c r="G131" i="25"/>
  <c r="E131" i="25"/>
  <c r="U130" i="25"/>
  <c r="W130" i="25"/>
  <c r="D131" i="37" l="1"/>
  <c r="AB133" i="37"/>
  <c r="T131" i="37"/>
  <c r="T131" i="25"/>
  <c r="D132" i="25"/>
  <c r="AB133" i="25"/>
  <c r="C131" i="37" l="1"/>
  <c r="F131" i="37"/>
  <c r="S131" i="37"/>
  <c r="V131" i="37"/>
  <c r="AA133" i="37"/>
  <c r="AD133" i="37"/>
  <c r="AA133" i="25"/>
  <c r="AD133" i="25"/>
  <c r="C132" i="25"/>
  <c r="F132" i="25"/>
  <c r="S131" i="25"/>
  <c r="V131" i="25"/>
  <c r="E131" i="37" l="1"/>
  <c r="G131" i="37"/>
  <c r="AC133" i="37"/>
  <c r="AE133" i="37"/>
  <c r="U131" i="37"/>
  <c r="W131" i="37"/>
  <c r="G132" i="25"/>
  <c r="E132" i="25"/>
  <c r="W131" i="25"/>
  <c r="U131" i="25"/>
  <c r="AC133" i="25"/>
  <c r="AE133" i="25"/>
  <c r="D132" i="37" l="1"/>
  <c r="T132" i="37"/>
  <c r="AB134" i="37"/>
  <c r="AB134" i="25"/>
  <c r="T132" i="25"/>
  <c r="D133" i="25"/>
  <c r="C132" i="37" l="1"/>
  <c r="F132" i="37"/>
  <c r="AA134" i="37"/>
  <c r="AD134" i="37"/>
  <c r="S132" i="37"/>
  <c r="V132" i="37"/>
  <c r="C133" i="25"/>
  <c r="F133" i="25"/>
  <c r="S132" i="25"/>
  <c r="V132" i="25"/>
  <c r="AA134" i="25"/>
  <c r="AD134" i="25"/>
  <c r="E132" i="37" l="1"/>
  <c r="G132" i="37"/>
  <c r="U132" i="37"/>
  <c r="W132" i="37"/>
  <c r="AC134" i="37"/>
  <c r="AE134" i="37"/>
  <c r="AC134" i="25"/>
  <c r="AE134" i="25"/>
  <c r="U132" i="25"/>
  <c r="W132" i="25"/>
  <c r="E133" i="25"/>
  <c r="G133" i="25"/>
  <c r="D133" i="37" l="1"/>
  <c r="AB135" i="37"/>
  <c r="T133" i="37"/>
  <c r="D134" i="25"/>
  <c r="T133" i="25"/>
  <c r="AB135" i="25"/>
  <c r="C133" i="37" l="1"/>
  <c r="F133" i="37"/>
  <c r="S133" i="37"/>
  <c r="V133" i="37"/>
  <c r="AA135" i="37"/>
  <c r="AD135" i="37"/>
  <c r="AA135" i="25"/>
  <c r="AD135" i="25"/>
  <c r="S133" i="25"/>
  <c r="V133" i="25"/>
  <c r="C134" i="25"/>
  <c r="F134" i="25"/>
  <c r="E133" i="37" l="1"/>
  <c r="G133" i="37"/>
  <c r="AC135" i="37"/>
  <c r="AE135" i="37"/>
  <c r="W133" i="37"/>
  <c r="U133" i="37"/>
  <c r="G134" i="25"/>
  <c r="E134" i="25"/>
  <c r="W133" i="25"/>
  <c r="U133" i="25"/>
  <c r="AE135" i="25"/>
  <c r="AC135" i="25"/>
  <c r="D134" i="37" l="1"/>
  <c r="T134" i="37"/>
  <c r="AB136" i="37"/>
  <c r="AB136" i="25"/>
  <c r="T134" i="25"/>
  <c r="D135" i="25"/>
  <c r="C134" i="37" l="1"/>
  <c r="F134" i="37"/>
  <c r="S134" i="37"/>
  <c r="V134" i="37"/>
  <c r="AA136" i="37"/>
  <c r="AD136" i="37"/>
  <c r="C135" i="25"/>
  <c r="F135" i="25"/>
  <c r="S134" i="25"/>
  <c r="V134" i="25"/>
  <c r="AA136" i="25"/>
  <c r="AD136" i="25"/>
  <c r="G134" i="37" l="1"/>
  <c r="E134" i="37"/>
  <c r="AC136" i="37"/>
  <c r="AE136" i="37"/>
  <c r="U134" i="37"/>
  <c r="W134" i="37"/>
  <c r="AC136" i="25"/>
  <c r="AE136" i="25"/>
  <c r="U134" i="25"/>
  <c r="W134" i="25"/>
  <c r="E135" i="25"/>
  <c r="G135" i="25"/>
  <c r="D135" i="37" l="1"/>
  <c r="T135" i="37"/>
  <c r="AB137" i="37"/>
  <c r="D136" i="25"/>
  <c r="T135" i="25"/>
  <c r="AB137" i="25"/>
  <c r="C135" i="37" l="1"/>
  <c r="F135" i="37"/>
  <c r="AA137" i="37"/>
  <c r="AD137" i="37"/>
  <c r="S135" i="37"/>
  <c r="V135" i="37"/>
  <c r="AA137" i="25"/>
  <c r="AD137" i="25"/>
  <c r="S135" i="25"/>
  <c r="V135" i="25"/>
  <c r="C136" i="25"/>
  <c r="F136" i="25"/>
  <c r="E135" i="37" l="1"/>
  <c r="G135" i="37"/>
  <c r="W135" i="37"/>
  <c r="U135" i="37"/>
  <c r="AE137" i="37"/>
  <c r="AC137" i="37"/>
  <c r="G136" i="25"/>
  <c r="E136" i="25"/>
  <c r="W135" i="25"/>
  <c r="U135" i="25"/>
  <c r="AE137" i="25"/>
  <c r="AC137" i="25"/>
  <c r="D136" i="37" l="1"/>
  <c r="AB138" i="37"/>
  <c r="T136" i="37"/>
  <c r="AB138" i="25"/>
  <c r="T136" i="25"/>
  <c r="D137" i="25"/>
  <c r="C136" i="37" l="1"/>
  <c r="F136" i="37"/>
  <c r="S136" i="37"/>
  <c r="V136" i="37"/>
  <c r="AA138" i="37"/>
  <c r="AD138" i="37"/>
  <c r="C137" i="25"/>
  <c r="F137" i="25"/>
  <c r="S136" i="25"/>
  <c r="V136" i="25"/>
  <c r="AA138" i="25"/>
  <c r="AD138" i="25"/>
  <c r="E136" i="37" l="1"/>
  <c r="G136" i="37"/>
  <c r="AC138" i="37"/>
  <c r="AE138" i="37"/>
  <c r="U136" i="37"/>
  <c r="W136" i="37"/>
  <c r="AC138" i="25"/>
  <c r="AE138" i="25"/>
  <c r="U136" i="25"/>
  <c r="W136" i="25"/>
  <c r="E137" i="25"/>
  <c r="G137" i="25"/>
  <c r="D137" i="37" l="1"/>
  <c r="T137" i="37"/>
  <c r="AB139" i="37"/>
  <c r="D138" i="25"/>
  <c r="T137" i="25"/>
  <c r="AB139" i="25"/>
  <c r="C137" i="37" l="1"/>
  <c r="F137" i="37"/>
  <c r="S137" i="37"/>
  <c r="V137" i="37"/>
  <c r="AA139" i="37"/>
  <c r="AD139" i="37"/>
  <c r="S137" i="25"/>
  <c r="V137" i="25"/>
  <c r="AA139" i="25"/>
  <c r="AD139" i="25"/>
  <c r="C138" i="25"/>
  <c r="F138" i="25"/>
  <c r="E137" i="37" l="1"/>
  <c r="G137" i="37"/>
  <c r="AC139" i="37"/>
  <c r="AE139" i="37"/>
  <c r="U137" i="37"/>
  <c r="W137" i="37"/>
  <c r="G138" i="25"/>
  <c r="E138" i="25"/>
  <c r="AC139" i="25"/>
  <c r="AE139" i="25"/>
  <c r="W137" i="25"/>
  <c r="U137" i="25"/>
  <c r="D138" i="37" l="1"/>
  <c r="T138" i="37"/>
  <c r="AB140" i="37"/>
  <c r="T138" i="25"/>
  <c r="AB140" i="25"/>
  <c r="D139" i="25"/>
  <c r="C138" i="37" l="1"/>
  <c r="F138" i="37"/>
  <c r="AA140" i="37"/>
  <c r="AD140" i="37"/>
  <c r="S138" i="37"/>
  <c r="V138" i="37"/>
  <c r="AA140" i="25"/>
  <c r="AD140" i="25"/>
  <c r="S138" i="25"/>
  <c r="V138" i="25"/>
  <c r="C139" i="25"/>
  <c r="F139" i="25"/>
  <c r="E138" i="37" l="1"/>
  <c r="G138" i="37"/>
  <c r="U138" i="37"/>
  <c r="W138" i="37"/>
  <c r="AE140" i="37"/>
  <c r="AC140" i="37"/>
  <c r="E139" i="25"/>
  <c r="G139" i="25"/>
  <c r="U138" i="25"/>
  <c r="W138" i="25"/>
  <c r="AE140" i="25"/>
  <c r="AC140" i="25"/>
  <c r="D139" i="37" l="1"/>
  <c r="T139" i="37"/>
  <c r="AB141" i="37"/>
  <c r="AB141" i="25"/>
  <c r="T139" i="25"/>
  <c r="D140" i="25"/>
  <c r="C139" i="37" l="1"/>
  <c r="F139" i="37"/>
  <c r="S139" i="37"/>
  <c r="V139" i="37"/>
  <c r="AA141" i="37"/>
  <c r="AD141" i="37"/>
  <c r="C140" i="25"/>
  <c r="F140" i="25"/>
  <c r="S139" i="25"/>
  <c r="V139" i="25"/>
  <c r="AA141" i="25"/>
  <c r="AD141" i="25"/>
  <c r="G139" i="37" l="1"/>
  <c r="E139" i="37"/>
  <c r="AC141" i="37"/>
  <c r="AE141" i="37"/>
  <c r="W139" i="37"/>
  <c r="U139" i="37"/>
  <c r="AC141" i="25"/>
  <c r="AE141" i="25"/>
  <c r="W139" i="25"/>
  <c r="U139" i="25"/>
  <c r="G140" i="25"/>
  <c r="E140" i="25"/>
  <c r="D140" i="37" l="1"/>
  <c r="T140" i="37"/>
  <c r="AB142" i="37"/>
  <c r="D141" i="25"/>
  <c r="T140" i="25"/>
  <c r="AB142" i="25"/>
  <c r="C140" i="37" l="1"/>
  <c r="F140" i="37"/>
  <c r="AA142" i="37"/>
  <c r="AD142" i="37"/>
  <c r="S140" i="37"/>
  <c r="V140" i="37"/>
  <c r="S140" i="25"/>
  <c r="V140" i="25"/>
  <c r="AA142" i="25"/>
  <c r="AD142" i="25"/>
  <c r="C141" i="25"/>
  <c r="F141" i="25"/>
  <c r="E140" i="37" l="1"/>
  <c r="G140" i="37"/>
  <c r="U140" i="37"/>
  <c r="W140" i="37"/>
  <c r="AE142" i="37"/>
  <c r="AC142" i="37"/>
  <c r="E141" i="25"/>
  <c r="G141" i="25"/>
  <c r="AE142" i="25"/>
  <c r="AC142" i="25"/>
  <c r="U140" i="25"/>
  <c r="W140" i="25"/>
  <c r="D141" i="37" l="1"/>
  <c r="AB143" i="37"/>
  <c r="T141" i="37"/>
  <c r="T141" i="25"/>
  <c r="AB143" i="25"/>
  <c r="D142" i="25"/>
  <c r="C141" i="37" l="1"/>
  <c r="F141" i="37"/>
  <c r="S141" i="37"/>
  <c r="V141" i="37"/>
  <c r="AA143" i="37"/>
  <c r="AD143" i="37"/>
  <c r="AA143" i="25"/>
  <c r="AD143" i="25"/>
  <c r="C142" i="25"/>
  <c r="F142" i="25"/>
  <c r="S141" i="25"/>
  <c r="V141" i="25"/>
  <c r="E141" i="37" l="1"/>
  <c r="G141" i="37"/>
  <c r="AC143" i="37"/>
  <c r="AE143" i="37"/>
  <c r="W141" i="37"/>
  <c r="U141" i="37"/>
  <c r="W141" i="25"/>
  <c r="U141" i="25"/>
  <c r="G142" i="25"/>
  <c r="E142" i="25"/>
  <c r="AE143" i="25"/>
  <c r="AC143" i="25"/>
  <c r="D142" i="37" l="1"/>
  <c r="T142" i="37"/>
  <c r="AB144" i="37"/>
  <c r="AB144" i="25"/>
  <c r="D143" i="25"/>
  <c r="T142" i="25"/>
  <c r="C142" i="37" l="1"/>
  <c r="F142" i="37"/>
  <c r="AA144" i="37"/>
  <c r="AD144" i="37"/>
  <c r="S142" i="37"/>
  <c r="V142" i="37"/>
  <c r="S142" i="25"/>
  <c r="V142" i="25"/>
  <c r="C143" i="25"/>
  <c r="F143" i="25"/>
  <c r="AA144" i="25"/>
  <c r="AD144" i="25"/>
  <c r="E142" i="37" l="1"/>
  <c r="G142" i="37"/>
  <c r="U142" i="37"/>
  <c r="W142" i="37"/>
  <c r="AE144" i="37"/>
  <c r="AC144" i="37"/>
  <c r="U142" i="25"/>
  <c r="W142" i="25"/>
  <c r="AE144" i="25"/>
  <c r="AC144" i="25"/>
  <c r="G143" i="25"/>
  <c r="E143" i="25"/>
  <c r="D143" i="37" l="1"/>
  <c r="T143" i="37"/>
  <c r="AB145" i="37"/>
  <c r="D144" i="25"/>
  <c r="AB145" i="25"/>
  <c r="T143" i="25"/>
  <c r="C143" i="37" l="1"/>
  <c r="F143" i="37"/>
  <c r="AA145" i="37"/>
  <c r="AD145" i="37"/>
  <c r="S143" i="37"/>
  <c r="V143" i="37"/>
  <c r="S143" i="25"/>
  <c r="V143" i="25"/>
  <c r="AA145" i="25"/>
  <c r="AD145" i="25"/>
  <c r="C144" i="25"/>
  <c r="F144" i="25"/>
  <c r="E143" i="37" l="1"/>
  <c r="G143" i="37"/>
  <c r="W143" i="37"/>
  <c r="U143" i="37"/>
  <c r="AC145" i="37"/>
  <c r="AE145" i="37"/>
  <c r="W143" i="25"/>
  <c r="U143" i="25"/>
  <c r="G144" i="25"/>
  <c r="E144" i="25"/>
  <c r="AC145" i="25"/>
  <c r="AE145" i="25"/>
  <c r="D144" i="37" l="1"/>
  <c r="AB146" i="37"/>
  <c r="T144" i="37"/>
  <c r="T144" i="25"/>
  <c r="AB146" i="25"/>
  <c r="D145" i="25"/>
  <c r="C144" i="37" l="1"/>
  <c r="F144" i="37"/>
  <c r="S144" i="37"/>
  <c r="V144" i="37"/>
  <c r="AA146" i="37"/>
  <c r="AD146" i="37"/>
  <c r="S144" i="25"/>
  <c r="V144" i="25"/>
  <c r="C145" i="25"/>
  <c r="F145" i="25"/>
  <c r="AA146" i="25"/>
  <c r="AD146" i="25"/>
  <c r="E144" i="37" l="1"/>
  <c r="G144" i="37"/>
  <c r="AE146" i="37"/>
  <c r="AC146" i="37"/>
  <c r="U144" i="37"/>
  <c r="W144" i="37"/>
  <c r="U144" i="25"/>
  <c r="W144" i="25"/>
  <c r="AE146" i="25"/>
  <c r="AC146" i="25"/>
  <c r="E145" i="25"/>
  <c r="G145" i="25"/>
  <c r="D145" i="37" l="1"/>
  <c r="T145" i="37"/>
  <c r="AB147" i="37"/>
  <c r="D146" i="25"/>
  <c r="AB147" i="25"/>
  <c r="T145" i="25"/>
  <c r="C145" i="37" l="1"/>
  <c r="F145" i="37"/>
  <c r="S145" i="37"/>
  <c r="V145" i="37"/>
  <c r="AA147" i="37"/>
  <c r="AD147" i="37"/>
  <c r="C146" i="25"/>
  <c r="F146" i="25"/>
  <c r="S145" i="25"/>
  <c r="V145" i="25"/>
  <c r="AA147" i="25"/>
  <c r="AD147" i="25"/>
  <c r="E145" i="37" l="1"/>
  <c r="G145" i="37"/>
  <c r="AC147" i="37"/>
  <c r="AE147" i="37"/>
  <c r="W145" i="37"/>
  <c r="U145" i="37"/>
  <c r="G146" i="25"/>
  <c r="E146" i="25"/>
  <c r="AC147" i="25"/>
  <c r="AE147" i="25"/>
  <c r="W145" i="25"/>
  <c r="U145" i="25"/>
  <c r="D146" i="37" l="1"/>
  <c r="T146" i="37"/>
  <c r="AB148" i="37"/>
  <c r="D147" i="25"/>
  <c r="T146" i="25"/>
  <c r="AB148" i="25"/>
  <c r="C146" i="37" l="1"/>
  <c r="F146" i="37"/>
  <c r="AA148" i="37"/>
  <c r="AD148" i="37"/>
  <c r="S146" i="37"/>
  <c r="V146" i="37"/>
  <c r="C147" i="25"/>
  <c r="F147" i="25"/>
  <c r="AA148" i="25"/>
  <c r="AD148" i="25"/>
  <c r="S146" i="25"/>
  <c r="V146" i="25"/>
  <c r="E146" i="37" l="1"/>
  <c r="G146" i="37"/>
  <c r="U146" i="37"/>
  <c r="W146" i="37"/>
  <c r="AE148" i="37"/>
  <c r="AC148" i="37"/>
  <c r="U146" i="25"/>
  <c r="W146" i="25"/>
  <c r="AE148" i="25"/>
  <c r="AC148" i="25"/>
  <c r="E147" i="25"/>
  <c r="G147" i="25"/>
  <c r="D147" i="37" l="1"/>
  <c r="AB149" i="37"/>
  <c r="T147" i="37"/>
  <c r="D148" i="25"/>
  <c r="AB149" i="25"/>
  <c r="T147" i="25"/>
  <c r="C147" i="37" l="1"/>
  <c r="F147" i="37"/>
  <c r="AA149" i="37"/>
  <c r="AD149" i="37"/>
  <c r="S147" i="37"/>
  <c r="V147" i="37"/>
  <c r="S147" i="25"/>
  <c r="V147" i="25"/>
  <c r="AA149" i="25"/>
  <c r="AD149" i="25"/>
  <c r="C148" i="25"/>
  <c r="F148" i="25"/>
  <c r="E147" i="37" l="1"/>
  <c r="G147" i="37"/>
  <c r="U147" i="37"/>
  <c r="W147" i="37"/>
  <c r="AC149" i="37"/>
  <c r="AE149" i="37"/>
  <c r="G148" i="25"/>
  <c r="E148" i="25"/>
  <c r="AC149" i="25"/>
  <c r="AE149" i="25"/>
  <c r="W147" i="25"/>
  <c r="U147" i="25"/>
  <c r="D148" i="37" l="1"/>
  <c r="AB150" i="37"/>
  <c r="T148" i="37"/>
  <c r="D149" i="25"/>
  <c r="T148" i="25"/>
  <c r="AB150" i="25"/>
  <c r="C148" i="37" l="1"/>
  <c r="F148" i="37"/>
  <c r="S148" i="37"/>
  <c r="V148" i="37"/>
  <c r="AA150" i="37"/>
  <c r="AD150" i="37"/>
  <c r="AA150" i="25"/>
  <c r="AD150" i="25"/>
  <c r="S148" i="25"/>
  <c r="V148" i="25"/>
  <c r="C149" i="25"/>
  <c r="F149" i="25"/>
  <c r="E148" i="37" l="1"/>
  <c r="G148" i="37"/>
  <c r="AC150" i="37"/>
  <c r="AE150" i="37"/>
  <c r="W148" i="37"/>
  <c r="U148" i="37"/>
  <c r="G149" i="25"/>
  <c r="E149" i="25"/>
  <c r="U148" i="25"/>
  <c r="W148" i="25"/>
  <c r="AE150" i="25"/>
  <c r="AC150" i="25"/>
  <c r="D149" i="37" l="1"/>
  <c r="T149" i="37"/>
  <c r="AB151" i="37"/>
  <c r="AB151" i="25"/>
  <c r="T149" i="25"/>
  <c r="D150" i="25"/>
  <c r="C149" i="37" l="1"/>
  <c r="F149" i="37"/>
  <c r="S149" i="37"/>
  <c r="V149" i="37"/>
  <c r="AA151" i="37"/>
  <c r="AD151" i="37"/>
  <c r="AA151" i="25"/>
  <c r="AD151" i="25"/>
  <c r="C150" i="25"/>
  <c r="F150" i="25"/>
  <c r="S149" i="25"/>
  <c r="V149" i="25"/>
  <c r="E149" i="37" l="1"/>
  <c r="G149" i="37"/>
  <c r="AE151" i="37"/>
  <c r="AC151" i="37"/>
  <c r="U149" i="37"/>
  <c r="W149" i="37"/>
  <c r="W149" i="25"/>
  <c r="U149" i="25"/>
  <c r="E150" i="25"/>
  <c r="G150" i="25"/>
  <c r="AE151" i="25"/>
  <c r="AC151" i="25"/>
  <c r="D150" i="37" l="1"/>
  <c r="T150" i="37"/>
  <c r="AB152" i="37"/>
  <c r="AB152" i="25"/>
  <c r="D151" i="25"/>
  <c r="T150" i="25"/>
  <c r="C150" i="37" l="1"/>
  <c r="F150" i="37"/>
  <c r="AA152" i="37"/>
  <c r="AD152" i="37"/>
  <c r="S150" i="37"/>
  <c r="V150" i="37"/>
  <c r="S150" i="25"/>
  <c r="V150" i="25"/>
  <c r="C151" i="25"/>
  <c r="F151" i="25"/>
  <c r="AA152" i="25"/>
  <c r="AD152" i="25"/>
  <c r="E150" i="37" l="1"/>
  <c r="G150" i="37"/>
  <c r="U150" i="37"/>
  <c r="W150" i="37"/>
  <c r="AE152" i="37"/>
  <c r="AC152" i="37"/>
  <c r="AC152" i="25"/>
  <c r="AE152" i="25"/>
  <c r="E151" i="25"/>
  <c r="G151" i="25"/>
  <c r="U150" i="25"/>
  <c r="W150" i="25"/>
  <c r="D151" i="37" l="1"/>
  <c r="AB153" i="37"/>
  <c r="T151" i="37"/>
  <c r="T151" i="25"/>
  <c r="D152" i="25"/>
  <c r="AB153" i="25"/>
  <c r="C151" i="37" l="1"/>
  <c r="F151" i="37"/>
  <c r="S151" i="37"/>
  <c r="V151" i="37"/>
  <c r="AA153" i="37"/>
  <c r="AD153" i="37"/>
  <c r="AA153" i="25"/>
  <c r="AD153" i="25"/>
  <c r="C152" i="25"/>
  <c r="F152" i="25"/>
  <c r="S151" i="25"/>
  <c r="V151" i="25"/>
  <c r="E151" i="37" l="1"/>
  <c r="G151" i="37"/>
  <c r="AC153" i="37"/>
  <c r="AE153" i="37"/>
  <c r="W151" i="37"/>
  <c r="U151" i="37"/>
  <c r="AC153" i="25"/>
  <c r="AE153" i="25"/>
  <c r="W151" i="25"/>
  <c r="U151" i="25"/>
  <c r="G152" i="25"/>
  <c r="E152" i="25"/>
  <c r="D152" i="37" l="1"/>
  <c r="T152" i="37"/>
  <c r="AB154" i="37"/>
  <c r="AB154" i="25"/>
  <c r="D153" i="25"/>
  <c r="T152" i="25"/>
  <c r="C152" i="37" l="1"/>
  <c r="F152" i="37"/>
  <c r="S152" i="37"/>
  <c r="V152" i="37"/>
  <c r="AA154" i="37"/>
  <c r="AD154" i="37"/>
  <c r="S152" i="25"/>
  <c r="V152" i="25"/>
  <c r="C153" i="25"/>
  <c r="F153" i="25"/>
  <c r="AA154" i="25"/>
  <c r="AD154" i="25"/>
  <c r="E152" i="37" l="1"/>
  <c r="G152" i="37"/>
  <c r="AE154" i="37"/>
  <c r="AC154" i="37"/>
  <c r="U152" i="37"/>
  <c r="W152" i="37"/>
  <c r="AE154" i="25"/>
  <c r="AC154" i="25"/>
  <c r="E153" i="25"/>
  <c r="G153" i="25"/>
  <c r="U152" i="25"/>
  <c r="W152" i="25"/>
  <c r="D153" i="37" l="1"/>
  <c r="T153" i="37"/>
  <c r="AB155" i="37"/>
  <c r="T153" i="25"/>
  <c r="D154" i="25"/>
  <c r="AB155" i="25"/>
  <c r="C153" i="37" l="1"/>
  <c r="F153" i="37"/>
  <c r="AA155" i="37"/>
  <c r="AD155" i="37"/>
  <c r="S153" i="37"/>
  <c r="V153" i="37"/>
  <c r="AA155" i="25"/>
  <c r="AD155" i="25"/>
  <c r="C154" i="25"/>
  <c r="F154" i="25"/>
  <c r="S153" i="25"/>
  <c r="V153" i="25"/>
  <c r="G153" i="37" l="1"/>
  <c r="E153" i="37"/>
  <c r="U153" i="37"/>
  <c r="W153" i="37"/>
  <c r="AC155" i="37"/>
  <c r="AE155" i="37"/>
  <c r="W153" i="25"/>
  <c r="U153" i="25"/>
  <c r="G154" i="25"/>
  <c r="E154" i="25"/>
  <c r="AC155" i="25"/>
  <c r="AE155" i="25"/>
  <c r="D154" i="37" l="1"/>
  <c r="AB156" i="37"/>
  <c r="T154" i="37"/>
  <c r="AB156" i="25"/>
  <c r="D155" i="25"/>
  <c r="T154" i="25"/>
  <c r="C154" i="37" l="1"/>
  <c r="F154" i="37"/>
  <c r="S154" i="37"/>
  <c r="V154" i="37"/>
  <c r="AA156" i="37"/>
  <c r="AD156" i="37"/>
  <c r="C155" i="25"/>
  <c r="F155" i="25"/>
  <c r="S154" i="25"/>
  <c r="V154" i="25"/>
  <c r="AA156" i="25"/>
  <c r="AD156" i="25"/>
  <c r="G154" i="37" l="1"/>
  <c r="E154" i="37"/>
  <c r="AC156" i="37"/>
  <c r="AE156" i="37"/>
  <c r="W154" i="37"/>
  <c r="U154" i="37"/>
  <c r="AE156" i="25"/>
  <c r="AC156" i="25"/>
  <c r="U154" i="25"/>
  <c r="W154" i="25"/>
  <c r="E155" i="25"/>
  <c r="G155" i="25"/>
  <c r="D155" i="37" l="1"/>
  <c r="T155" i="37"/>
  <c r="AB157" i="37"/>
  <c r="D156" i="25"/>
  <c r="T155" i="25"/>
  <c r="AB157" i="25"/>
  <c r="C155" i="37" l="1"/>
  <c r="F155" i="37"/>
  <c r="S155" i="37"/>
  <c r="V155" i="37"/>
  <c r="AA157" i="37"/>
  <c r="AD157" i="37"/>
  <c r="AA157" i="25"/>
  <c r="AD157" i="25"/>
  <c r="S155" i="25"/>
  <c r="V155" i="25"/>
  <c r="C156" i="25"/>
  <c r="F156" i="25"/>
  <c r="E155" i="37" l="1"/>
  <c r="G155" i="37"/>
  <c r="AE157" i="37"/>
  <c r="AC157" i="37"/>
  <c r="U155" i="37"/>
  <c r="W155" i="37"/>
  <c r="W155" i="25"/>
  <c r="U155" i="25"/>
  <c r="G156" i="25"/>
  <c r="E156" i="25"/>
  <c r="AC157" i="25"/>
  <c r="AE157" i="25"/>
  <c r="D156" i="37" l="1"/>
  <c r="T156" i="37"/>
  <c r="AB158" i="37"/>
  <c r="AB158" i="25"/>
  <c r="D157" i="25"/>
  <c r="T156" i="25"/>
  <c r="C156" i="37" l="1"/>
  <c r="F156" i="37"/>
  <c r="AA158" i="37"/>
  <c r="AD158" i="37"/>
  <c r="S156" i="37"/>
  <c r="V156" i="37"/>
  <c r="S156" i="25"/>
  <c r="V156" i="25"/>
  <c r="C157" i="25"/>
  <c r="F157" i="25"/>
  <c r="AA158" i="25"/>
  <c r="AD158" i="25"/>
  <c r="E156" i="37" l="1"/>
  <c r="G156" i="37"/>
  <c r="W156" i="37"/>
  <c r="U156" i="37"/>
  <c r="AC158" i="37"/>
  <c r="AE158" i="37"/>
  <c r="AC158" i="25"/>
  <c r="AE158" i="25"/>
  <c r="E157" i="25"/>
  <c r="G157" i="25"/>
  <c r="U156" i="25"/>
  <c r="W156" i="25"/>
  <c r="D157" i="37" l="1"/>
  <c r="AB159" i="37"/>
  <c r="T157" i="37"/>
  <c r="AB159" i="25"/>
  <c r="T157" i="25"/>
  <c r="D158" i="25"/>
  <c r="C157" i="37" l="1"/>
  <c r="F157" i="37"/>
  <c r="S157" i="37"/>
  <c r="V157" i="37"/>
  <c r="AA159" i="37"/>
  <c r="AD159" i="37"/>
  <c r="S157" i="25"/>
  <c r="V157" i="25"/>
  <c r="C158" i="25"/>
  <c r="F158" i="25"/>
  <c r="AA159" i="25"/>
  <c r="AD159" i="25"/>
  <c r="E157" i="37" l="1"/>
  <c r="G157" i="37"/>
  <c r="AE159" i="37"/>
  <c r="AC159" i="37"/>
  <c r="U157" i="37"/>
  <c r="W157" i="37"/>
  <c r="AE159" i="25"/>
  <c r="AC159" i="25"/>
  <c r="G158" i="25"/>
  <c r="E158" i="25"/>
  <c r="W157" i="25"/>
  <c r="U157" i="25"/>
  <c r="D158" i="37" l="1"/>
  <c r="AB160" i="37"/>
  <c r="T158" i="37"/>
  <c r="T158" i="25"/>
  <c r="D159" i="25"/>
  <c r="AB160" i="25"/>
  <c r="C158" i="37" l="1"/>
  <c r="F158" i="37"/>
  <c r="S158" i="37"/>
  <c r="V158" i="37"/>
  <c r="AA160" i="37"/>
  <c r="AD160" i="37"/>
  <c r="AA160" i="25"/>
  <c r="AD160" i="25"/>
  <c r="C159" i="25"/>
  <c r="F159" i="25"/>
  <c r="S158" i="25"/>
  <c r="V158" i="25"/>
  <c r="E158" i="37" l="1"/>
  <c r="G158" i="37"/>
  <c r="AE160" i="37"/>
  <c r="AC160" i="37"/>
  <c r="U158" i="37"/>
  <c r="W158" i="37"/>
  <c r="W158" i="25"/>
  <c r="U158" i="25"/>
  <c r="G159" i="25"/>
  <c r="E159" i="25"/>
  <c r="AC160" i="25"/>
  <c r="AE160" i="25"/>
  <c r="D159" i="37" l="1"/>
  <c r="T159" i="37"/>
  <c r="AB161" i="37"/>
  <c r="T159" i="25"/>
  <c r="AB161" i="25"/>
  <c r="D160" i="25"/>
  <c r="C159" i="37" l="1"/>
  <c r="F159" i="37"/>
  <c r="AA161" i="37"/>
  <c r="AD161" i="37"/>
  <c r="S159" i="37"/>
  <c r="V159" i="37"/>
  <c r="C160" i="25"/>
  <c r="F160" i="25"/>
  <c r="AA161" i="25"/>
  <c r="AD161" i="25"/>
  <c r="S159" i="25"/>
  <c r="V159" i="25"/>
  <c r="E159" i="37" l="1"/>
  <c r="G159" i="37"/>
  <c r="U159" i="37"/>
  <c r="W159" i="37"/>
  <c r="AC161" i="37"/>
  <c r="AE161" i="37"/>
  <c r="W159" i="25"/>
  <c r="U159" i="25"/>
  <c r="AC161" i="25"/>
  <c r="AE161" i="25"/>
  <c r="E160" i="25"/>
  <c r="G160" i="25"/>
  <c r="D160" i="37" l="1"/>
  <c r="AB162" i="37"/>
  <c r="T160" i="37"/>
  <c r="D161" i="25"/>
  <c r="AB162" i="25"/>
  <c r="T160" i="25"/>
  <c r="C160" i="37" l="1"/>
  <c r="F160" i="37"/>
  <c r="S160" i="37"/>
  <c r="V160" i="37"/>
  <c r="AA162" i="37"/>
  <c r="AD162" i="37"/>
  <c r="S160" i="25"/>
  <c r="V160" i="25"/>
  <c r="AA162" i="25"/>
  <c r="AD162" i="25"/>
  <c r="C161" i="25"/>
  <c r="F161" i="25"/>
  <c r="E160" i="37" l="1"/>
  <c r="G160" i="37"/>
  <c r="AE162" i="37"/>
  <c r="AC162" i="37"/>
  <c r="W160" i="37"/>
  <c r="U160" i="37"/>
  <c r="G161" i="25"/>
  <c r="E161" i="25"/>
  <c r="AE162" i="25"/>
  <c r="AC162" i="25"/>
  <c r="U160" i="25"/>
  <c r="W160" i="25"/>
  <c r="D161" i="37" l="1"/>
  <c r="T161" i="37"/>
  <c r="AB163" i="37"/>
  <c r="T161" i="25"/>
  <c r="AB163" i="25"/>
  <c r="D162" i="25"/>
  <c r="C161" i="37" l="1"/>
  <c r="F161" i="37"/>
  <c r="S161" i="37"/>
  <c r="V161" i="37"/>
  <c r="AA163" i="37"/>
  <c r="AD163" i="37"/>
  <c r="C162" i="25"/>
  <c r="F162" i="25"/>
  <c r="AA163" i="25"/>
  <c r="AD163" i="25"/>
  <c r="S161" i="25"/>
  <c r="V161" i="25"/>
  <c r="E161" i="37" l="1"/>
  <c r="G161" i="37"/>
  <c r="AC163" i="37"/>
  <c r="AE163" i="37"/>
  <c r="U161" i="37"/>
  <c r="W161" i="37"/>
  <c r="W161" i="25"/>
  <c r="U161" i="25"/>
  <c r="AC163" i="25"/>
  <c r="AE163" i="25"/>
  <c r="E162" i="25"/>
  <c r="G162" i="25"/>
  <c r="D162" i="37" l="1"/>
  <c r="T162" i="37"/>
  <c r="AB164" i="37"/>
  <c r="D163" i="25"/>
  <c r="AB164" i="25"/>
  <c r="T162" i="25"/>
  <c r="C162" i="37" l="1"/>
  <c r="F162" i="37"/>
  <c r="AA164" i="37"/>
  <c r="AD164" i="37"/>
  <c r="S162" i="37"/>
  <c r="V162" i="37"/>
  <c r="S162" i="25"/>
  <c r="V162" i="25"/>
  <c r="AA164" i="25"/>
  <c r="AD164" i="25"/>
  <c r="C163" i="25"/>
  <c r="F163" i="25"/>
  <c r="E162" i="37" l="1"/>
  <c r="G162" i="37"/>
  <c r="U162" i="37"/>
  <c r="W162" i="37"/>
  <c r="AE164" i="37"/>
  <c r="AC164" i="37"/>
  <c r="E163" i="25"/>
  <c r="G163" i="25"/>
  <c r="AE164" i="25"/>
  <c r="AC164" i="25"/>
  <c r="W162" i="25"/>
  <c r="U162" i="25"/>
  <c r="D163" i="37" l="1"/>
  <c r="AB165" i="37"/>
  <c r="T163" i="37"/>
  <c r="T163" i="25"/>
  <c r="AB165" i="25"/>
  <c r="D164" i="25"/>
  <c r="C163" i="37" l="1"/>
  <c r="F163" i="37"/>
  <c r="AA165" i="37"/>
  <c r="AD165" i="37"/>
  <c r="S163" i="37"/>
  <c r="V163" i="37"/>
  <c r="C164" i="25"/>
  <c r="F164" i="25"/>
  <c r="S163" i="25"/>
  <c r="V163" i="25"/>
  <c r="AA165" i="25"/>
  <c r="AD165" i="25"/>
  <c r="E163" i="37" l="1"/>
  <c r="G163" i="37"/>
  <c r="U163" i="37"/>
  <c r="W163" i="37"/>
  <c r="AE165" i="37"/>
  <c r="AC165" i="37"/>
  <c r="AC165" i="25"/>
  <c r="AE165" i="25"/>
  <c r="U163" i="25"/>
  <c r="W163" i="25"/>
  <c r="E164" i="25"/>
  <c r="G164" i="25"/>
  <c r="D164" i="37" l="1"/>
  <c r="AB166" i="37"/>
  <c r="T164" i="37"/>
  <c r="D165" i="25"/>
  <c r="T164" i="25"/>
  <c r="AB166" i="25"/>
  <c r="C164" i="37" l="1"/>
  <c r="F164" i="37"/>
  <c r="S164" i="37"/>
  <c r="V164" i="37"/>
  <c r="AA166" i="37"/>
  <c r="AD166" i="37"/>
  <c r="AA166" i="25"/>
  <c r="AD166" i="25"/>
  <c r="S164" i="25"/>
  <c r="V164" i="25"/>
  <c r="C165" i="25"/>
  <c r="F165" i="25"/>
  <c r="G164" i="37" l="1"/>
  <c r="E164" i="37"/>
  <c r="AE166" i="37"/>
  <c r="AC166" i="37"/>
  <c r="W164" i="37"/>
  <c r="U164" i="37"/>
  <c r="G165" i="25"/>
  <c r="E165" i="25"/>
  <c r="U164" i="25"/>
  <c r="W164" i="25"/>
  <c r="AE166" i="25"/>
  <c r="AC166" i="25"/>
  <c r="D165" i="37" l="1"/>
  <c r="T165" i="37"/>
  <c r="AB167" i="37"/>
  <c r="AB167" i="25"/>
  <c r="T165" i="25"/>
  <c r="D166" i="25"/>
  <c r="C165" i="37" l="1"/>
  <c r="F165" i="37"/>
  <c r="AA167" i="37"/>
  <c r="AD167" i="37"/>
  <c r="S165" i="37"/>
  <c r="V165" i="37"/>
  <c r="C166" i="25"/>
  <c r="F166" i="25"/>
  <c r="S165" i="25"/>
  <c r="V165" i="25"/>
  <c r="AA167" i="25"/>
  <c r="AD167" i="25"/>
  <c r="E165" i="37" l="1"/>
  <c r="G165" i="37"/>
  <c r="U165" i="37"/>
  <c r="W165" i="37"/>
  <c r="AC167" i="37"/>
  <c r="AE167" i="37"/>
  <c r="AC167" i="25"/>
  <c r="AE167" i="25"/>
  <c r="W165" i="25"/>
  <c r="U165" i="25"/>
  <c r="E166" i="25"/>
  <c r="G166" i="25"/>
  <c r="D166" i="37" l="1"/>
  <c r="AB168" i="37"/>
  <c r="T166" i="37"/>
  <c r="T166" i="25"/>
  <c r="D167" i="25"/>
  <c r="AB168" i="25"/>
  <c r="C166" i="37" l="1"/>
  <c r="F166" i="37"/>
  <c r="AA168" i="37"/>
  <c r="AD168" i="37"/>
  <c r="S166" i="37"/>
  <c r="V166" i="37"/>
  <c r="AA168" i="25"/>
  <c r="AD168" i="25"/>
  <c r="C167" i="25"/>
  <c r="F167" i="25"/>
  <c r="S166" i="25"/>
  <c r="V166" i="25"/>
  <c r="G166" i="37" l="1"/>
  <c r="E166" i="37"/>
  <c r="W166" i="37"/>
  <c r="U166" i="37"/>
  <c r="AE168" i="37"/>
  <c r="AC168" i="37"/>
  <c r="U166" i="25"/>
  <c r="W166" i="25"/>
  <c r="E167" i="25"/>
  <c r="G167" i="25"/>
  <c r="AC168" i="25"/>
  <c r="AE168" i="25"/>
  <c r="D167" i="37" l="1"/>
  <c r="AB169" i="37"/>
  <c r="T167" i="37"/>
  <c r="AB169" i="25"/>
  <c r="D168" i="25"/>
  <c r="T167" i="25"/>
  <c r="C167" i="37" l="1"/>
  <c r="F167" i="37"/>
  <c r="S167" i="37"/>
  <c r="V167" i="37"/>
  <c r="AA169" i="37"/>
  <c r="AD169" i="37"/>
  <c r="S167" i="25"/>
  <c r="V167" i="25"/>
  <c r="C168" i="25"/>
  <c r="F168" i="25"/>
  <c r="AA169" i="25"/>
  <c r="AD169" i="25"/>
  <c r="E167" i="37" l="1"/>
  <c r="G167" i="37"/>
  <c r="AC169" i="37"/>
  <c r="AE169" i="37"/>
  <c r="W167" i="37"/>
  <c r="U167" i="37"/>
  <c r="AE169" i="25"/>
  <c r="AC169" i="25"/>
  <c r="G168" i="25"/>
  <c r="E168" i="25"/>
  <c r="W167" i="25"/>
  <c r="U167" i="25"/>
  <c r="D168" i="37" l="1"/>
  <c r="T168" i="37"/>
  <c r="AB170" i="37"/>
  <c r="T168" i="25"/>
  <c r="D169" i="25"/>
  <c r="AB170" i="25"/>
  <c r="C168" i="37" l="1"/>
  <c r="F168" i="37"/>
  <c r="AA170" i="37"/>
  <c r="AD170" i="37"/>
  <c r="S168" i="37"/>
  <c r="V168" i="37"/>
  <c r="AA170" i="25"/>
  <c r="AD170" i="25"/>
  <c r="C169" i="25"/>
  <c r="F169" i="25"/>
  <c r="S168" i="25"/>
  <c r="V168" i="25"/>
  <c r="E168" i="37" l="1"/>
  <c r="G168" i="37"/>
  <c r="W168" i="37"/>
  <c r="U168" i="37"/>
  <c r="AC170" i="37"/>
  <c r="AE170" i="37"/>
  <c r="U168" i="25"/>
  <c r="W168" i="25"/>
  <c r="E169" i="25"/>
  <c r="G169" i="25"/>
  <c r="AC170" i="25"/>
  <c r="AE170" i="25"/>
  <c r="D169" i="37" l="1"/>
  <c r="AB171" i="37"/>
  <c r="T169" i="37"/>
  <c r="AB171" i="25"/>
  <c r="D170" i="25"/>
  <c r="T169" i="25"/>
  <c r="C169" i="37" l="1"/>
  <c r="F169" i="37"/>
  <c r="AA171" i="37"/>
  <c r="AD171" i="37"/>
  <c r="S169" i="37"/>
  <c r="V169" i="37"/>
  <c r="S169" i="25"/>
  <c r="V169" i="25"/>
  <c r="C170" i="25"/>
  <c r="F170" i="25"/>
  <c r="AA171" i="25"/>
  <c r="AD171" i="25"/>
  <c r="E169" i="37" l="1"/>
  <c r="G169" i="37"/>
  <c r="U169" i="37"/>
  <c r="W169" i="37"/>
  <c r="AC171" i="37"/>
  <c r="AE171" i="37"/>
  <c r="AE171" i="25"/>
  <c r="AC171" i="25"/>
  <c r="E170" i="25"/>
  <c r="G170" i="25"/>
  <c r="W169" i="25"/>
  <c r="U169" i="25"/>
  <c r="D170" i="37" l="1"/>
  <c r="AB172" i="37"/>
  <c r="T170" i="37"/>
  <c r="T170" i="25"/>
  <c r="D171" i="25"/>
  <c r="AB172" i="25"/>
  <c r="C170" i="37" l="1"/>
  <c r="F170" i="37"/>
  <c r="S170" i="37"/>
  <c r="V170" i="37"/>
  <c r="AA172" i="37"/>
  <c r="AD172" i="37"/>
  <c r="AA172" i="25"/>
  <c r="AD172" i="25"/>
  <c r="C171" i="25"/>
  <c r="F171" i="25"/>
  <c r="S170" i="25"/>
  <c r="V170" i="25"/>
  <c r="E170" i="37" l="1"/>
  <c r="G170" i="37"/>
  <c r="AE172" i="37"/>
  <c r="AC172" i="37"/>
  <c r="U170" i="37"/>
  <c r="W170" i="37"/>
  <c r="U170" i="25"/>
  <c r="W170" i="25"/>
  <c r="G171" i="25"/>
  <c r="E171" i="25"/>
  <c r="AC172" i="25"/>
  <c r="AE172" i="25"/>
  <c r="D171" i="37" l="1"/>
  <c r="T171" i="37"/>
  <c r="AB173" i="37"/>
  <c r="D172" i="25"/>
  <c r="T171" i="25"/>
  <c r="AB173" i="25"/>
  <c r="C171" i="37" l="1"/>
  <c r="F171" i="37"/>
  <c r="AA173" i="37"/>
  <c r="AD173" i="37"/>
  <c r="S171" i="37"/>
  <c r="V171" i="37"/>
  <c r="AA173" i="25"/>
  <c r="AD173" i="25"/>
  <c r="S171" i="25"/>
  <c r="V171" i="25"/>
  <c r="C172" i="25"/>
  <c r="F172" i="25"/>
  <c r="E171" i="37" l="1"/>
  <c r="G171" i="37"/>
  <c r="U171" i="37"/>
  <c r="W171" i="37"/>
  <c r="AC173" i="37"/>
  <c r="AE173" i="37"/>
  <c r="G172" i="25"/>
  <c r="E172" i="25"/>
  <c r="W171" i="25"/>
  <c r="U171" i="25"/>
  <c r="AC173" i="25"/>
  <c r="AE173" i="25"/>
  <c r="D172" i="37" l="1"/>
  <c r="AB174" i="37"/>
  <c r="T172" i="37"/>
  <c r="AB174" i="25"/>
  <c r="T172" i="25"/>
  <c r="D173" i="25"/>
  <c r="C172" i="37" l="1"/>
  <c r="F172" i="37"/>
  <c r="S172" i="37"/>
  <c r="V172" i="37"/>
  <c r="AA174" i="37"/>
  <c r="AD174" i="37"/>
  <c r="C173" i="25"/>
  <c r="F173" i="25"/>
  <c r="S172" i="25"/>
  <c r="V172" i="25"/>
  <c r="AA174" i="25"/>
  <c r="AD174" i="25"/>
  <c r="G172" i="37" l="1"/>
  <c r="E172" i="37"/>
  <c r="AC174" i="37"/>
  <c r="AE174" i="37"/>
  <c r="W172" i="37"/>
  <c r="U172" i="37"/>
  <c r="AE174" i="25"/>
  <c r="AC174" i="25"/>
  <c r="W172" i="25"/>
  <c r="U172" i="25"/>
  <c r="E173" i="25"/>
  <c r="G173" i="25"/>
  <c r="D173" i="37" l="1"/>
  <c r="T173" i="37"/>
  <c r="AB175" i="37"/>
  <c r="D174" i="25"/>
  <c r="T173" i="25"/>
  <c r="AB175" i="25"/>
  <c r="C173" i="37" l="1"/>
  <c r="F173" i="37"/>
  <c r="AA175" i="37"/>
  <c r="AD175" i="37"/>
  <c r="S173" i="37"/>
  <c r="V173" i="37"/>
  <c r="AA175" i="25"/>
  <c r="AD175" i="25"/>
  <c r="S173" i="25"/>
  <c r="V173" i="25"/>
  <c r="C174" i="25"/>
  <c r="F174" i="25"/>
  <c r="G173" i="37" l="1"/>
  <c r="E173" i="37"/>
  <c r="U173" i="37"/>
  <c r="W173" i="37"/>
  <c r="AE175" i="37"/>
  <c r="AC175" i="37"/>
  <c r="E174" i="25"/>
  <c r="G174" i="25"/>
  <c r="U173" i="25"/>
  <c r="W173" i="25"/>
  <c r="AC175" i="25"/>
  <c r="AE175" i="25"/>
  <c r="D174" i="37" l="1"/>
  <c r="AB176" i="37"/>
  <c r="T174" i="37"/>
  <c r="AB176" i="25"/>
  <c r="T174" i="25"/>
  <c r="D175" i="25"/>
  <c r="C174" i="37" l="1"/>
  <c r="F174" i="37"/>
  <c r="S174" i="37"/>
  <c r="V174" i="37"/>
  <c r="AA176" i="37"/>
  <c r="AD176" i="37"/>
  <c r="C175" i="25"/>
  <c r="F175" i="25"/>
  <c r="S174" i="25"/>
  <c r="V174" i="25"/>
  <c r="AA176" i="25"/>
  <c r="AD176" i="25"/>
  <c r="G174" i="37" l="1"/>
  <c r="E174" i="37"/>
  <c r="AC176" i="37"/>
  <c r="AE176" i="37"/>
  <c r="W174" i="37"/>
  <c r="U174" i="37"/>
  <c r="AE176" i="25"/>
  <c r="AC176" i="25"/>
  <c r="W174" i="25"/>
  <c r="U174" i="25"/>
  <c r="G175" i="25"/>
  <c r="E175" i="25"/>
  <c r="D175" i="37" l="1"/>
  <c r="AB177" i="37"/>
  <c r="T175" i="37"/>
  <c r="D176" i="25"/>
  <c r="T175" i="25"/>
  <c r="AB177" i="25"/>
  <c r="C175" i="37" l="1"/>
  <c r="F175" i="37"/>
  <c r="S175" i="37"/>
  <c r="V175" i="37"/>
  <c r="AA177" i="37"/>
  <c r="AD177" i="37"/>
  <c r="AA177" i="25"/>
  <c r="AD177" i="25"/>
  <c r="S175" i="25"/>
  <c r="V175" i="25"/>
  <c r="C176" i="25"/>
  <c r="F176" i="25"/>
  <c r="E175" i="37" l="1"/>
  <c r="G175" i="37"/>
  <c r="AC177" i="37"/>
  <c r="AE177" i="37"/>
  <c r="U175" i="37"/>
  <c r="W175" i="37"/>
  <c r="G176" i="25"/>
  <c r="E176" i="25"/>
  <c r="W175" i="25"/>
  <c r="U175" i="25"/>
  <c r="AE177" i="25"/>
  <c r="AC177" i="25"/>
  <c r="D176" i="37" l="1"/>
  <c r="T176" i="37"/>
  <c r="AB178" i="37"/>
  <c r="AB178" i="25"/>
  <c r="T176" i="25"/>
  <c r="D177" i="25"/>
  <c r="C176" i="37" l="1"/>
  <c r="F176" i="37"/>
  <c r="AA178" i="37"/>
  <c r="AD178" i="37"/>
  <c r="S176" i="37"/>
  <c r="V176" i="37"/>
  <c r="C177" i="25"/>
  <c r="F177" i="25"/>
  <c r="S176" i="25"/>
  <c r="V176" i="25"/>
  <c r="AA178" i="25"/>
  <c r="AD178" i="25"/>
  <c r="G176" i="37" l="1"/>
  <c r="E176" i="37"/>
  <c r="W176" i="37"/>
  <c r="U176" i="37"/>
  <c r="AE178" i="37"/>
  <c r="AC178" i="37"/>
  <c r="AC178" i="25"/>
  <c r="AE178" i="25"/>
  <c r="U176" i="25"/>
  <c r="W176" i="25"/>
  <c r="E177" i="25"/>
  <c r="G177" i="25"/>
  <c r="D177" i="37" l="1"/>
  <c r="AB179" i="37"/>
  <c r="T177" i="37"/>
  <c r="D178" i="25"/>
  <c r="T177" i="25"/>
  <c r="AB179" i="25"/>
  <c r="C177" i="37" l="1"/>
  <c r="F177" i="37"/>
  <c r="S177" i="37"/>
  <c r="V177" i="37"/>
  <c r="AA179" i="37"/>
  <c r="AD179" i="37"/>
  <c r="AA179" i="25"/>
  <c r="AD179" i="25"/>
  <c r="S177" i="25"/>
  <c r="V177" i="25"/>
  <c r="C178" i="25"/>
  <c r="F178" i="25"/>
  <c r="E177" i="37" l="1"/>
  <c r="G177" i="37"/>
  <c r="AE179" i="37"/>
  <c r="AC179" i="37"/>
  <c r="U177" i="37"/>
  <c r="W177" i="37"/>
  <c r="G178" i="25"/>
  <c r="E178" i="25"/>
  <c r="W177" i="25"/>
  <c r="U177" i="25"/>
  <c r="AE179" i="25"/>
  <c r="AC179" i="25"/>
  <c r="D178" i="37" l="1"/>
  <c r="T178" i="37"/>
  <c r="AB180" i="37"/>
  <c r="AB180" i="25"/>
  <c r="T178" i="25"/>
  <c r="D179" i="25"/>
  <c r="C178" i="37" l="1"/>
  <c r="F178" i="37"/>
  <c r="S178" i="37"/>
  <c r="V178" i="37"/>
  <c r="AA180" i="37"/>
  <c r="AD180" i="37"/>
  <c r="S178" i="25"/>
  <c r="V178" i="25"/>
  <c r="C179" i="25"/>
  <c r="F179" i="25"/>
  <c r="AA180" i="25"/>
  <c r="AD180" i="25"/>
  <c r="E178" i="37" l="1"/>
  <c r="G178" i="37"/>
  <c r="AC180" i="37"/>
  <c r="AE180" i="37"/>
  <c r="W178" i="37"/>
  <c r="U178" i="37"/>
  <c r="AC180" i="25"/>
  <c r="AE180" i="25"/>
  <c r="E179" i="25"/>
  <c r="G179" i="25"/>
  <c r="U178" i="25"/>
  <c r="W178" i="25"/>
  <c r="D179" i="37" l="1"/>
  <c r="AB181" i="37"/>
  <c r="T179" i="37"/>
  <c r="T179" i="25"/>
  <c r="D180" i="25"/>
  <c r="AB181" i="25"/>
  <c r="C179" i="37" l="1"/>
  <c r="F179" i="37"/>
  <c r="S179" i="37"/>
  <c r="V179" i="37"/>
  <c r="AA181" i="37"/>
  <c r="AD181" i="37"/>
  <c r="AA181" i="25"/>
  <c r="AD181" i="25"/>
  <c r="C180" i="25"/>
  <c r="F180" i="25"/>
  <c r="S179" i="25"/>
  <c r="V179" i="25"/>
  <c r="E179" i="37" l="1"/>
  <c r="G179" i="37"/>
  <c r="AC181" i="37"/>
  <c r="AE181" i="37"/>
  <c r="U179" i="37"/>
  <c r="W179" i="37"/>
  <c r="W179" i="25"/>
  <c r="U179" i="25"/>
  <c r="AC181" i="25"/>
  <c r="AE181" i="25"/>
  <c r="G180" i="25"/>
  <c r="E180" i="25"/>
  <c r="D180" i="37" l="1"/>
  <c r="AB182" i="37"/>
  <c r="T180" i="37"/>
  <c r="D181" i="25"/>
  <c r="AB182" i="25"/>
  <c r="T180" i="25"/>
  <c r="C180" i="37" l="1"/>
  <c r="F180" i="37"/>
  <c r="S180" i="37"/>
  <c r="V180" i="37"/>
  <c r="AA182" i="37"/>
  <c r="AD182" i="37"/>
  <c r="S180" i="25"/>
  <c r="V180" i="25"/>
  <c r="AA182" i="25"/>
  <c r="AD182" i="25"/>
  <c r="C181" i="25"/>
  <c r="F181" i="25"/>
  <c r="G180" i="37" l="1"/>
  <c r="E180" i="37"/>
  <c r="AE182" i="37"/>
  <c r="AC182" i="37"/>
  <c r="W180" i="37"/>
  <c r="U180" i="37"/>
  <c r="U180" i="25"/>
  <c r="W180" i="25"/>
  <c r="E181" i="25"/>
  <c r="G181" i="25"/>
  <c r="AE182" i="25"/>
  <c r="AC182" i="25"/>
  <c r="D181" i="37" l="1"/>
  <c r="T181" i="37"/>
  <c r="AB183" i="37"/>
  <c r="D182" i="25"/>
  <c r="AB183" i="25"/>
  <c r="T181" i="25"/>
  <c r="C181" i="37" l="1"/>
  <c r="F181" i="37"/>
  <c r="S181" i="37"/>
  <c r="V181" i="37"/>
  <c r="AA183" i="37"/>
  <c r="AD183" i="37"/>
  <c r="C182" i="25"/>
  <c r="F182" i="25"/>
  <c r="S181" i="25"/>
  <c r="V181" i="25"/>
  <c r="AA183" i="25"/>
  <c r="AD183" i="25"/>
  <c r="E181" i="37" l="1"/>
  <c r="G181" i="37"/>
  <c r="AC183" i="37"/>
  <c r="AE183" i="37"/>
  <c r="U181" i="37"/>
  <c r="W181" i="37"/>
  <c r="AE183" i="25"/>
  <c r="AC183" i="25"/>
  <c r="U181" i="25"/>
  <c r="W181" i="25"/>
  <c r="G182" i="25"/>
  <c r="E182" i="25"/>
  <c r="D182" i="37" l="1"/>
  <c r="T182" i="37"/>
  <c r="AB184" i="37"/>
  <c r="D183" i="25"/>
  <c r="T182" i="25"/>
  <c r="AB184" i="25"/>
  <c r="C182" i="37" l="1"/>
  <c r="F182" i="37"/>
  <c r="AA184" i="37"/>
  <c r="AD184" i="37"/>
  <c r="S182" i="37"/>
  <c r="V182" i="37"/>
  <c r="AA184" i="25"/>
  <c r="AD184" i="25"/>
  <c r="S182" i="25"/>
  <c r="V182" i="25"/>
  <c r="C183" i="25"/>
  <c r="F183" i="25"/>
  <c r="E182" i="37" l="1"/>
  <c r="G182" i="37"/>
  <c r="W182" i="37"/>
  <c r="U182" i="37"/>
  <c r="AE184" i="37"/>
  <c r="AC184" i="37"/>
  <c r="AC184" i="25"/>
  <c r="AE184" i="25"/>
  <c r="E183" i="25"/>
  <c r="G183" i="25"/>
  <c r="W182" i="25"/>
  <c r="U182" i="25"/>
  <c r="D183" i="37" l="1"/>
  <c r="AB185" i="37"/>
  <c r="T183" i="37"/>
  <c r="T183" i="25"/>
  <c r="D184" i="25"/>
  <c r="AB185" i="25"/>
  <c r="C183" i="37" l="1"/>
  <c r="F183" i="37"/>
  <c r="S183" i="37"/>
  <c r="V183" i="37"/>
  <c r="AA185" i="37"/>
  <c r="AD185" i="37"/>
  <c r="S183" i="25"/>
  <c r="V183" i="25"/>
  <c r="AA185" i="25"/>
  <c r="AD185" i="25"/>
  <c r="C184" i="25"/>
  <c r="F184" i="25"/>
  <c r="E183" i="37" l="1"/>
  <c r="G183" i="37"/>
  <c r="AC185" i="37"/>
  <c r="AE185" i="37"/>
  <c r="U183" i="37"/>
  <c r="W183" i="37"/>
  <c r="W183" i="25"/>
  <c r="U183" i="25"/>
  <c r="G184" i="25"/>
  <c r="E184" i="25"/>
  <c r="AE185" i="25"/>
  <c r="AC185" i="25"/>
  <c r="D184" i="37" l="1"/>
  <c r="T184" i="37"/>
  <c r="AB186" i="37"/>
  <c r="D185" i="25"/>
  <c r="AB186" i="25"/>
  <c r="T184" i="25"/>
  <c r="C184" i="37" l="1"/>
  <c r="F184" i="37"/>
  <c r="AA186" i="37"/>
  <c r="AD186" i="37"/>
  <c r="S184" i="37"/>
  <c r="V184" i="37"/>
  <c r="AA186" i="25"/>
  <c r="AD186" i="25"/>
  <c r="S184" i="25"/>
  <c r="V184" i="25"/>
  <c r="C185" i="25"/>
  <c r="F185" i="25"/>
  <c r="E184" i="37" l="1"/>
  <c r="G184" i="37"/>
  <c r="W184" i="37"/>
  <c r="U184" i="37"/>
  <c r="AE186" i="37"/>
  <c r="AC186" i="37"/>
  <c r="E185" i="25"/>
  <c r="G185" i="25"/>
  <c r="U184" i="25"/>
  <c r="W184" i="25"/>
  <c r="AC186" i="25"/>
  <c r="AE186" i="25"/>
  <c r="D185" i="37" l="1"/>
  <c r="T185" i="37"/>
  <c r="AB187" i="37"/>
  <c r="AB187" i="25"/>
  <c r="T185" i="25"/>
  <c r="D186" i="25"/>
  <c r="C185" i="37" l="1"/>
  <c r="F185" i="37"/>
  <c r="AA187" i="37"/>
  <c r="AD187" i="37"/>
  <c r="S185" i="37"/>
  <c r="V185" i="37"/>
  <c r="AA187" i="25"/>
  <c r="AD187" i="25"/>
  <c r="C186" i="25"/>
  <c r="F186" i="25"/>
  <c r="S185" i="25"/>
  <c r="V185" i="25"/>
  <c r="G185" i="37" l="1"/>
  <c r="E185" i="37"/>
  <c r="W185" i="37"/>
  <c r="U185" i="37"/>
  <c r="AC187" i="37"/>
  <c r="AE187" i="37"/>
  <c r="AC187" i="25"/>
  <c r="AE187" i="25"/>
  <c r="W185" i="25"/>
  <c r="U185" i="25"/>
  <c r="G186" i="25"/>
  <c r="E186" i="25"/>
  <c r="D186" i="37" l="1"/>
  <c r="AB188" i="37"/>
  <c r="T186" i="37"/>
  <c r="T186" i="25"/>
  <c r="D187" i="25"/>
  <c r="AB188" i="25"/>
  <c r="C186" i="37" l="1"/>
  <c r="F186" i="37"/>
  <c r="S186" i="37"/>
  <c r="V186" i="37"/>
  <c r="AA188" i="37"/>
  <c r="AD188" i="37"/>
  <c r="AA188" i="25"/>
  <c r="AD188" i="25"/>
  <c r="S186" i="25"/>
  <c r="V186" i="25"/>
  <c r="C187" i="25"/>
  <c r="F187" i="25"/>
  <c r="E186" i="37" l="1"/>
  <c r="G186" i="37"/>
  <c r="AC188" i="37"/>
  <c r="AE188" i="37"/>
  <c r="U186" i="37"/>
  <c r="W186" i="37"/>
  <c r="E187" i="25"/>
  <c r="G187" i="25"/>
  <c r="W186" i="25"/>
  <c r="U186" i="25"/>
  <c r="AC188" i="25"/>
  <c r="AE188" i="25"/>
  <c r="D187" i="37" l="1"/>
  <c r="T187" i="37"/>
  <c r="AB189" i="37"/>
  <c r="AB189" i="25"/>
  <c r="T187" i="25"/>
  <c r="D188" i="25"/>
  <c r="C187" i="37" l="1"/>
  <c r="F187" i="37"/>
  <c r="AA189" i="37"/>
  <c r="AD189" i="37"/>
  <c r="S187" i="37"/>
  <c r="V187" i="37"/>
  <c r="C188" i="25"/>
  <c r="F188" i="25"/>
  <c r="S187" i="25"/>
  <c r="V187" i="25"/>
  <c r="AA189" i="25"/>
  <c r="AD189" i="25"/>
  <c r="E187" i="37" l="1"/>
  <c r="G187" i="37"/>
  <c r="W187" i="37"/>
  <c r="U187" i="37"/>
  <c r="AE189" i="37"/>
  <c r="AC189" i="37"/>
  <c r="AE189" i="25"/>
  <c r="AC189" i="25"/>
  <c r="W187" i="25"/>
  <c r="U187" i="25"/>
  <c r="G188" i="25"/>
  <c r="E188" i="25"/>
  <c r="D188" i="37" l="1"/>
  <c r="AB190" i="37"/>
  <c r="T188" i="37"/>
  <c r="D189" i="25"/>
  <c r="T188" i="25"/>
  <c r="AB190" i="25"/>
  <c r="C188" i="37" l="1"/>
  <c r="F188" i="37"/>
  <c r="S188" i="37"/>
  <c r="V188" i="37"/>
  <c r="AA190" i="37"/>
  <c r="AD190" i="37"/>
  <c r="AA190" i="25"/>
  <c r="AD190" i="25"/>
  <c r="S188" i="25"/>
  <c r="V188" i="25"/>
  <c r="C189" i="25"/>
  <c r="F189" i="25"/>
  <c r="E188" i="37" l="1"/>
  <c r="G188" i="37"/>
  <c r="AC190" i="37"/>
  <c r="AE190" i="37"/>
  <c r="W188" i="37"/>
  <c r="U188" i="37"/>
  <c r="E189" i="25"/>
  <c r="G189" i="25"/>
  <c r="U188" i="25"/>
  <c r="W188" i="25"/>
  <c r="AC190" i="25"/>
  <c r="AE190" i="25"/>
  <c r="D189" i="37" l="1"/>
  <c r="T189" i="37"/>
  <c r="AB191" i="37"/>
  <c r="AB191" i="25"/>
  <c r="T189" i="25"/>
  <c r="D190" i="25"/>
  <c r="C189" i="37" l="1"/>
  <c r="F189" i="37"/>
  <c r="AA191" i="37"/>
  <c r="AD191" i="37"/>
  <c r="S189" i="37"/>
  <c r="V189" i="37"/>
  <c r="C190" i="25"/>
  <c r="F190" i="25"/>
  <c r="S189" i="25"/>
  <c r="V189" i="25"/>
  <c r="AA191" i="25"/>
  <c r="AD191" i="25"/>
  <c r="E189" i="37" l="1"/>
  <c r="G189" i="37"/>
  <c r="U189" i="37"/>
  <c r="W189" i="37"/>
  <c r="AC191" i="37"/>
  <c r="AE191" i="37"/>
  <c r="E190" i="25"/>
  <c r="G190" i="25"/>
  <c r="AE191" i="25"/>
  <c r="AC191" i="25"/>
  <c r="W189" i="25"/>
  <c r="U189" i="25"/>
  <c r="D190" i="37" l="1"/>
  <c r="AB192" i="37"/>
  <c r="T190" i="37"/>
  <c r="T190" i="25"/>
  <c r="AB192" i="25"/>
  <c r="D191" i="25"/>
  <c r="C190" i="37" l="1"/>
  <c r="F190" i="37"/>
  <c r="S190" i="37"/>
  <c r="V190" i="37"/>
  <c r="AA192" i="37"/>
  <c r="AD192" i="37"/>
  <c r="C191" i="25"/>
  <c r="F191" i="25"/>
  <c r="AA192" i="25"/>
  <c r="AD192" i="25"/>
  <c r="S190" i="25"/>
  <c r="V190" i="25"/>
  <c r="E190" i="37" l="1"/>
  <c r="G190" i="37"/>
  <c r="AE192" i="37"/>
  <c r="AC192" i="37"/>
  <c r="W190" i="37"/>
  <c r="U190" i="37"/>
  <c r="U190" i="25"/>
  <c r="W190" i="25"/>
  <c r="G191" i="25"/>
  <c r="E191" i="25"/>
  <c r="AC192" i="25"/>
  <c r="AE192" i="25"/>
  <c r="D191" i="37" l="1"/>
  <c r="T191" i="37"/>
  <c r="AB193" i="37"/>
  <c r="AB193" i="25"/>
  <c r="D192" i="25"/>
  <c r="T191" i="25"/>
  <c r="C191" i="37" l="1"/>
  <c r="F191" i="37"/>
  <c r="AA193" i="37"/>
  <c r="AD193" i="37"/>
  <c r="S191" i="37"/>
  <c r="V191" i="37"/>
  <c r="AA193" i="25"/>
  <c r="AD193" i="25"/>
  <c r="C192" i="25"/>
  <c r="F192" i="25"/>
  <c r="S191" i="25"/>
  <c r="V191" i="25"/>
  <c r="E191" i="37" l="1"/>
  <c r="G191" i="37"/>
  <c r="U191" i="37"/>
  <c r="W191" i="37"/>
  <c r="AE193" i="37"/>
  <c r="AC193" i="37"/>
  <c r="W191" i="25"/>
  <c r="U191" i="25"/>
  <c r="E192" i="25"/>
  <c r="G192" i="25"/>
  <c r="AE193" i="25"/>
  <c r="AC193" i="25"/>
  <c r="D192" i="37" l="1"/>
  <c r="AB194" i="37"/>
  <c r="T192" i="37"/>
  <c r="AB194" i="25"/>
  <c r="D193" i="25"/>
  <c r="T192" i="25"/>
  <c r="C192" i="37" l="1"/>
  <c r="F192" i="37"/>
  <c r="AA194" i="37"/>
  <c r="AD194" i="37"/>
  <c r="S192" i="37"/>
  <c r="V192" i="37"/>
  <c r="AA194" i="25"/>
  <c r="AD194" i="25"/>
  <c r="C193" i="25"/>
  <c r="F193" i="25"/>
  <c r="S192" i="25"/>
  <c r="V192" i="25"/>
  <c r="E192" i="37" l="1"/>
  <c r="G192" i="37"/>
  <c r="W192" i="37"/>
  <c r="U192" i="37"/>
  <c r="AC194" i="37"/>
  <c r="AE194" i="37"/>
  <c r="U192" i="25"/>
  <c r="W192" i="25"/>
  <c r="E193" i="25"/>
  <c r="G193" i="25"/>
  <c r="AE194" i="25"/>
  <c r="AC194" i="25"/>
  <c r="D193" i="37" l="1"/>
  <c r="AB195" i="37"/>
  <c r="T193" i="37"/>
  <c r="D194" i="25"/>
  <c r="AB195" i="25"/>
  <c r="T193" i="25"/>
  <c r="C193" i="37" l="1"/>
  <c r="F193" i="37"/>
  <c r="AA195" i="37"/>
  <c r="AD195" i="37"/>
  <c r="S193" i="37"/>
  <c r="V193" i="37"/>
  <c r="S193" i="25"/>
  <c r="V193" i="25"/>
  <c r="AA195" i="25"/>
  <c r="AD195" i="25"/>
  <c r="C194" i="25"/>
  <c r="F194" i="25"/>
  <c r="E193" i="37" l="1"/>
  <c r="G193" i="37"/>
  <c r="U193" i="37"/>
  <c r="W193" i="37"/>
  <c r="AC195" i="37"/>
  <c r="AE195" i="37"/>
  <c r="G194" i="25"/>
  <c r="E194" i="25"/>
  <c r="AC195" i="25"/>
  <c r="AE195" i="25"/>
  <c r="U193" i="25"/>
  <c r="W193" i="25"/>
  <c r="D194" i="37" l="1"/>
  <c r="AB196" i="37"/>
  <c r="T194" i="37"/>
  <c r="T194" i="25"/>
  <c r="AB196" i="25"/>
  <c r="D195" i="25"/>
  <c r="C194" i="37" l="1"/>
  <c r="F194" i="37"/>
  <c r="S194" i="37"/>
  <c r="V194" i="37"/>
  <c r="AA196" i="37"/>
  <c r="AD196" i="37"/>
  <c r="S194" i="25"/>
  <c r="V194" i="25"/>
  <c r="C195" i="25"/>
  <c r="F195" i="25"/>
  <c r="AA196" i="25"/>
  <c r="AD196" i="25"/>
  <c r="E194" i="37" l="1"/>
  <c r="G194" i="37"/>
  <c r="AE196" i="37"/>
  <c r="AC196" i="37"/>
  <c r="W194" i="37"/>
  <c r="U194" i="37"/>
  <c r="AE196" i="25"/>
  <c r="AC196" i="25"/>
  <c r="E195" i="25"/>
  <c r="G195" i="25"/>
  <c r="U194" i="25"/>
  <c r="W194" i="25"/>
  <c r="D195" i="37" l="1"/>
  <c r="T195" i="37"/>
  <c r="AB197" i="37"/>
  <c r="T195" i="25"/>
  <c r="D196" i="25"/>
  <c r="AB197" i="25"/>
  <c r="C195" i="37" l="1"/>
  <c r="F195" i="37"/>
  <c r="S195" i="37"/>
  <c r="V195" i="37"/>
  <c r="AA197" i="37"/>
  <c r="AD197" i="37"/>
  <c r="AA197" i="25"/>
  <c r="AD197" i="25"/>
  <c r="C196" i="25"/>
  <c r="F196" i="25"/>
  <c r="S195" i="25"/>
  <c r="V195" i="25"/>
  <c r="E195" i="37" l="1"/>
  <c r="G195" i="37"/>
  <c r="AC197" i="37"/>
  <c r="AE197" i="37"/>
  <c r="U195" i="37"/>
  <c r="W195" i="37"/>
  <c r="AC197" i="25"/>
  <c r="AE197" i="25"/>
  <c r="W195" i="25"/>
  <c r="U195" i="25"/>
  <c r="G196" i="25"/>
  <c r="E196" i="25"/>
  <c r="D196" i="37" l="1"/>
  <c r="T196" i="37"/>
  <c r="AB198" i="37"/>
  <c r="D197" i="25"/>
  <c r="T196" i="25"/>
  <c r="AB198" i="25"/>
  <c r="C196" i="37" l="1"/>
  <c r="F196" i="37"/>
  <c r="AA198" i="37"/>
  <c r="AD198" i="37"/>
  <c r="S196" i="37"/>
  <c r="V196" i="37"/>
  <c r="AA198" i="25"/>
  <c r="AD198" i="25"/>
  <c r="C197" i="25"/>
  <c r="F197" i="25"/>
  <c r="S196" i="25"/>
  <c r="V196" i="25"/>
  <c r="E196" i="37" l="1"/>
  <c r="G196" i="37"/>
  <c r="U196" i="37"/>
  <c r="W196" i="37"/>
  <c r="AE198" i="37"/>
  <c r="AC198" i="37"/>
  <c r="W196" i="25"/>
  <c r="U196" i="25"/>
  <c r="E197" i="25"/>
  <c r="G197" i="25"/>
  <c r="AE198" i="25"/>
  <c r="AC198" i="25"/>
  <c r="D197" i="37" l="1"/>
  <c r="AB199" i="37"/>
  <c r="T197" i="37"/>
  <c r="AB199" i="25"/>
  <c r="D198" i="25"/>
  <c r="T197" i="25"/>
  <c r="C197" i="37" l="1"/>
  <c r="F197" i="37"/>
  <c r="AA199" i="37"/>
  <c r="AD199" i="37"/>
  <c r="S197" i="37"/>
  <c r="V197" i="37"/>
  <c r="C198" i="25"/>
  <c r="F198" i="25"/>
  <c r="AA199" i="25"/>
  <c r="AD199" i="25"/>
  <c r="S197" i="25"/>
  <c r="V197" i="25"/>
  <c r="E197" i="37" l="1"/>
  <c r="G197" i="37"/>
  <c r="W197" i="37"/>
  <c r="U197" i="37"/>
  <c r="AC199" i="37"/>
  <c r="AE199" i="37"/>
  <c r="U197" i="25"/>
  <c r="W197" i="25"/>
  <c r="AE199" i="25"/>
  <c r="AC199" i="25"/>
  <c r="G198" i="25"/>
  <c r="E198" i="25"/>
  <c r="D198" i="37" l="1"/>
  <c r="AB200" i="37"/>
  <c r="T198" i="37"/>
  <c r="D199" i="25"/>
  <c r="AB200" i="25"/>
  <c r="T198" i="25"/>
  <c r="C198" i="37" l="1"/>
  <c r="F198" i="37"/>
  <c r="S198" i="37"/>
  <c r="V198" i="37"/>
  <c r="AA200" i="37"/>
  <c r="AD200" i="37"/>
  <c r="C199" i="25"/>
  <c r="F199" i="25"/>
  <c r="S198" i="25"/>
  <c r="V198" i="25"/>
  <c r="AA200" i="25"/>
  <c r="AD200" i="25"/>
  <c r="E198" i="37" l="1"/>
  <c r="G198" i="37"/>
  <c r="AC200" i="37"/>
  <c r="AE200" i="37"/>
  <c r="U198" i="37"/>
  <c r="W198" i="37"/>
  <c r="E199" i="25"/>
  <c r="G199" i="25"/>
  <c r="AC200" i="25"/>
  <c r="AE200" i="25"/>
  <c r="U198" i="25"/>
  <c r="W198" i="25"/>
  <c r="D199" i="37" l="1"/>
  <c r="T199" i="37"/>
  <c r="AB201" i="37"/>
  <c r="D200" i="25"/>
  <c r="AB201" i="25"/>
  <c r="T199" i="25"/>
  <c r="C199" i="37" l="1"/>
  <c r="F199" i="37"/>
  <c r="AA201" i="37"/>
  <c r="AD201" i="37"/>
  <c r="S199" i="37"/>
  <c r="V199" i="37"/>
  <c r="C200" i="25"/>
  <c r="F200" i="25"/>
  <c r="S199" i="25"/>
  <c r="V199" i="25"/>
  <c r="AA201" i="25"/>
  <c r="AD201" i="25"/>
  <c r="G199" i="37" l="1"/>
  <c r="E199" i="37"/>
  <c r="U199" i="37"/>
  <c r="W199" i="37"/>
  <c r="AE201" i="37"/>
  <c r="AC201" i="37"/>
  <c r="G200" i="25"/>
  <c r="E200" i="25"/>
  <c r="AE201" i="25"/>
  <c r="AC201" i="25"/>
  <c r="U199" i="25"/>
  <c r="W199" i="25"/>
  <c r="D200" i="37" l="1"/>
  <c r="AB202" i="37"/>
  <c r="T200" i="37"/>
  <c r="T200" i="25"/>
  <c r="D201" i="25"/>
  <c r="AB202" i="25"/>
  <c r="C200" i="37" l="1"/>
  <c r="F200" i="37"/>
  <c r="S200" i="37"/>
  <c r="V200" i="37"/>
  <c r="AA202" i="37"/>
  <c r="AD202" i="37"/>
  <c r="AA202" i="25"/>
  <c r="AD202" i="25"/>
  <c r="C201" i="25"/>
  <c r="F201" i="25"/>
  <c r="S200" i="25"/>
  <c r="V200" i="25"/>
  <c r="G200" i="37" l="1"/>
  <c r="E200" i="37"/>
  <c r="AC202" i="37"/>
  <c r="AE202" i="37"/>
  <c r="W200" i="37"/>
  <c r="U200" i="37"/>
  <c r="W200" i="25"/>
  <c r="U200" i="25"/>
  <c r="AC202" i="25"/>
  <c r="AE202" i="25"/>
  <c r="E201" i="25"/>
  <c r="G201" i="25"/>
  <c r="D201" i="37" l="1"/>
  <c r="AB203" i="37"/>
  <c r="T201" i="37"/>
  <c r="T201" i="25"/>
  <c r="D202" i="25"/>
  <c r="AB203" i="25"/>
  <c r="C201" i="37" l="1"/>
  <c r="F201" i="37"/>
  <c r="S201" i="37"/>
  <c r="V201" i="37"/>
  <c r="AA203" i="37"/>
  <c r="AD203" i="37"/>
  <c r="AA203" i="25"/>
  <c r="AD203" i="25"/>
  <c r="C202" i="25"/>
  <c r="F202" i="25"/>
  <c r="S201" i="25"/>
  <c r="V201" i="25"/>
  <c r="E201" i="37" l="1"/>
  <c r="G201" i="37"/>
  <c r="AC203" i="37"/>
  <c r="AE203" i="37"/>
  <c r="U201" i="37"/>
  <c r="W201" i="37"/>
  <c r="AE203" i="25"/>
  <c r="AC203" i="25"/>
  <c r="W201" i="25"/>
  <c r="U201" i="25"/>
  <c r="G202" i="25"/>
  <c r="E202" i="25"/>
  <c r="D202" i="37" l="1"/>
  <c r="T202" i="37"/>
  <c r="AB204" i="37"/>
  <c r="D203" i="25"/>
  <c r="T202" i="25"/>
  <c r="AB204" i="25"/>
  <c r="C202" i="37" l="1"/>
  <c r="F202" i="37"/>
  <c r="AA204" i="37"/>
  <c r="AD204" i="37"/>
  <c r="S202" i="37"/>
  <c r="V202" i="37"/>
  <c r="C203" i="25"/>
  <c r="F203" i="25"/>
  <c r="AA204" i="25"/>
  <c r="AD204" i="25"/>
  <c r="S202" i="25"/>
  <c r="V202" i="25"/>
  <c r="E202" i="37" l="1"/>
  <c r="G202" i="37"/>
  <c r="U202" i="37"/>
  <c r="W202" i="37"/>
  <c r="AE204" i="37"/>
  <c r="AC204" i="37"/>
  <c r="U202" i="25"/>
  <c r="W202" i="25"/>
  <c r="AC204" i="25"/>
  <c r="AE204" i="25"/>
  <c r="G203" i="25"/>
  <c r="E203" i="25"/>
  <c r="D203" i="37" l="1"/>
  <c r="T203" i="37"/>
  <c r="AB205" i="37"/>
  <c r="D204" i="25"/>
  <c r="AB205" i="25"/>
  <c r="T203" i="25"/>
  <c r="C203" i="37" l="1"/>
  <c r="F203" i="37"/>
  <c r="AA205" i="37"/>
  <c r="AD205" i="37"/>
  <c r="S203" i="37"/>
  <c r="V203" i="37"/>
  <c r="S203" i="25"/>
  <c r="V203" i="25"/>
  <c r="AA205" i="25"/>
  <c r="AD205" i="25"/>
  <c r="C204" i="25"/>
  <c r="F204" i="25"/>
  <c r="E203" i="37" l="1"/>
  <c r="G203" i="37"/>
  <c r="U203" i="37"/>
  <c r="W203" i="37"/>
  <c r="AC205" i="37"/>
  <c r="AE205" i="37"/>
  <c r="E204" i="25"/>
  <c r="G204" i="25"/>
  <c r="AE205" i="25"/>
  <c r="AC205" i="25"/>
  <c r="W203" i="25"/>
  <c r="U203" i="25"/>
  <c r="D204" i="37" l="1"/>
  <c r="AB206" i="37"/>
  <c r="T204" i="37"/>
  <c r="T204" i="25"/>
  <c r="AB206" i="25"/>
  <c r="D205" i="25"/>
  <c r="C204" i="37" l="1"/>
  <c r="F204" i="37"/>
  <c r="S204" i="37"/>
  <c r="V204" i="37"/>
  <c r="AA206" i="37"/>
  <c r="AD206" i="37"/>
  <c r="C205" i="25"/>
  <c r="F205" i="25"/>
  <c r="AA206" i="25"/>
  <c r="AD206" i="25"/>
  <c r="S204" i="25"/>
  <c r="V204" i="25"/>
  <c r="E204" i="37" l="1"/>
  <c r="G204" i="37"/>
  <c r="AC206" i="37"/>
  <c r="AE206" i="37"/>
  <c r="W204" i="37"/>
  <c r="U204" i="37"/>
  <c r="E205" i="25"/>
  <c r="G205" i="25"/>
  <c r="W204" i="25"/>
  <c r="U204" i="25"/>
  <c r="AC206" i="25"/>
  <c r="AE206" i="25"/>
  <c r="D205" i="37" l="1"/>
  <c r="T205" i="37"/>
  <c r="AB207" i="37"/>
  <c r="AB207" i="25"/>
  <c r="T205" i="25"/>
  <c r="D206" i="25"/>
  <c r="C205" i="37" l="1"/>
  <c r="F205" i="37"/>
  <c r="AA207" i="37"/>
  <c r="AD207" i="37"/>
  <c r="S205" i="37"/>
  <c r="V205" i="37"/>
  <c r="S205" i="25"/>
  <c r="V205" i="25"/>
  <c r="AA207" i="25"/>
  <c r="AD207" i="25"/>
  <c r="C206" i="25"/>
  <c r="F206" i="25"/>
  <c r="E205" i="37" l="1"/>
  <c r="G205" i="37"/>
  <c r="U205" i="37"/>
  <c r="W205" i="37"/>
  <c r="AE207" i="37"/>
  <c r="AC207" i="37"/>
  <c r="W205" i="25"/>
  <c r="U205" i="25"/>
  <c r="G206" i="25"/>
  <c r="E206" i="25"/>
  <c r="AC207" i="25"/>
  <c r="AE207" i="25"/>
  <c r="D206" i="37" l="1"/>
  <c r="T206" i="37"/>
  <c r="AB208" i="37"/>
  <c r="T206" i="25"/>
  <c r="AB208" i="25"/>
  <c r="D207" i="25"/>
  <c r="C206" i="37" l="1"/>
  <c r="F206" i="37"/>
  <c r="S206" i="37"/>
  <c r="V206" i="37"/>
  <c r="AA208" i="37"/>
  <c r="AD208" i="37"/>
  <c r="S206" i="25"/>
  <c r="V206" i="25"/>
  <c r="AA208" i="25"/>
  <c r="AD208" i="25"/>
  <c r="C207" i="25"/>
  <c r="F207" i="25"/>
  <c r="E206" i="37" l="1"/>
  <c r="G206" i="37"/>
  <c r="AC208" i="37"/>
  <c r="AE208" i="37"/>
  <c r="W206" i="37"/>
  <c r="U206" i="37"/>
  <c r="W206" i="25"/>
  <c r="U206" i="25"/>
  <c r="E207" i="25"/>
  <c r="G207" i="25"/>
  <c r="AE208" i="25"/>
  <c r="AC208" i="25"/>
  <c r="D207" i="37" l="1"/>
  <c r="T207" i="37"/>
  <c r="AB209" i="37"/>
  <c r="T207" i="25"/>
  <c r="AB209" i="25"/>
  <c r="D208" i="25"/>
  <c r="C207" i="37" l="1"/>
  <c r="F207" i="37"/>
  <c r="AA209" i="37"/>
  <c r="AD209" i="37"/>
  <c r="S207" i="37"/>
  <c r="V207" i="37"/>
  <c r="C208" i="25"/>
  <c r="F208" i="25"/>
  <c r="S207" i="25"/>
  <c r="V207" i="25"/>
  <c r="AA209" i="25"/>
  <c r="AD209" i="25"/>
  <c r="E207" i="37" l="1"/>
  <c r="G207" i="37"/>
  <c r="W207" i="37"/>
  <c r="U207" i="37"/>
  <c r="AC209" i="37"/>
  <c r="AE209" i="37"/>
  <c r="AC209" i="25"/>
  <c r="AE209" i="25"/>
  <c r="U207" i="25"/>
  <c r="W207" i="25"/>
  <c r="E208" i="25"/>
  <c r="G208" i="25"/>
  <c r="D208" i="37" l="1"/>
  <c r="T208" i="37"/>
  <c r="AB210" i="37"/>
  <c r="T208" i="25"/>
  <c r="D209" i="25"/>
  <c r="AB210" i="25"/>
  <c r="C208" i="37" l="1"/>
  <c r="F208" i="37"/>
  <c r="S208" i="37"/>
  <c r="V208" i="37"/>
  <c r="AA210" i="37"/>
  <c r="AD210" i="37"/>
  <c r="S208" i="25"/>
  <c r="V208" i="25"/>
  <c r="AA210" i="25"/>
  <c r="AD210" i="25"/>
  <c r="C209" i="25"/>
  <c r="F209" i="25"/>
  <c r="E208" i="37" l="1"/>
  <c r="G208" i="37"/>
  <c r="AC210" i="37"/>
  <c r="AE210" i="37"/>
  <c r="W208" i="37"/>
  <c r="U208" i="37"/>
  <c r="W208" i="25"/>
  <c r="U208" i="25"/>
  <c r="G209" i="25"/>
  <c r="E209" i="25"/>
  <c r="AE210" i="25"/>
  <c r="AC210" i="25"/>
  <c r="D209" i="37" l="1"/>
  <c r="T209" i="37"/>
  <c r="AB211" i="37"/>
  <c r="AB211" i="25"/>
  <c r="D210" i="25"/>
  <c r="T209" i="25"/>
  <c r="C209" i="37" l="1"/>
  <c r="F209" i="37"/>
  <c r="AA211" i="37"/>
  <c r="AD211" i="37"/>
  <c r="S209" i="37"/>
  <c r="V209" i="37"/>
  <c r="S209" i="25"/>
  <c r="V209" i="25"/>
  <c r="C210" i="25"/>
  <c r="F210" i="25"/>
  <c r="AA211" i="25"/>
  <c r="AD211" i="25"/>
  <c r="G209" i="37" l="1"/>
  <c r="E209" i="37"/>
  <c r="U209" i="37"/>
  <c r="W209" i="37"/>
  <c r="AC211" i="37"/>
  <c r="AE211" i="37"/>
  <c r="E210" i="25"/>
  <c r="G210" i="25"/>
  <c r="AC211" i="25"/>
  <c r="AE211" i="25"/>
  <c r="U209" i="25"/>
  <c r="W209" i="25"/>
  <c r="D210" i="37" l="1"/>
  <c r="AB212" i="37"/>
  <c r="T210" i="37"/>
  <c r="T210" i="25"/>
  <c r="AB212" i="25"/>
  <c r="D211" i="25"/>
  <c r="C210" i="37" l="1"/>
  <c r="F210" i="37"/>
  <c r="S210" i="37"/>
  <c r="V210" i="37"/>
  <c r="AA212" i="37"/>
  <c r="AD212" i="37"/>
  <c r="C211" i="25"/>
  <c r="F211" i="25"/>
  <c r="AA212" i="25"/>
  <c r="AD212" i="25"/>
  <c r="S210" i="25"/>
  <c r="V210" i="25"/>
  <c r="G210" i="37" l="1"/>
  <c r="E210" i="37"/>
  <c r="AE212" i="37"/>
  <c r="AC212" i="37"/>
  <c r="U210" i="37"/>
  <c r="W210" i="37"/>
  <c r="W210" i="25"/>
  <c r="U210" i="25"/>
  <c r="AE212" i="25"/>
  <c r="AC212" i="25"/>
  <c r="G211" i="25"/>
  <c r="E211" i="25"/>
  <c r="D211" i="37" l="1"/>
  <c r="T211" i="37"/>
  <c r="AB213" i="37"/>
  <c r="D212" i="25"/>
  <c r="AB213" i="25"/>
  <c r="T211" i="25"/>
  <c r="C211" i="37" l="1"/>
  <c r="F211" i="37"/>
  <c r="AA213" i="37"/>
  <c r="AD213" i="37"/>
  <c r="S211" i="37"/>
  <c r="V211" i="37"/>
  <c r="S211" i="25"/>
  <c r="V211" i="25"/>
  <c r="AA213" i="25"/>
  <c r="AD213" i="25"/>
  <c r="C212" i="25"/>
  <c r="F212" i="25"/>
  <c r="E211" i="37" l="1"/>
  <c r="G211" i="37"/>
  <c r="U211" i="37"/>
  <c r="W211" i="37"/>
  <c r="AC213" i="37"/>
  <c r="AE213" i="37"/>
  <c r="E212" i="25"/>
  <c r="G212" i="25"/>
  <c r="AE213" i="25"/>
  <c r="AC213" i="25"/>
  <c r="U211" i="25"/>
  <c r="W211" i="25"/>
  <c r="D212" i="37" l="1"/>
  <c r="AB214" i="37"/>
  <c r="T212" i="37"/>
  <c r="T212" i="25"/>
  <c r="AB214" i="25"/>
  <c r="D213" i="25"/>
  <c r="C212" i="37" l="1"/>
  <c r="F212" i="37"/>
  <c r="S212" i="37"/>
  <c r="V212" i="37"/>
  <c r="AA214" i="37"/>
  <c r="AD214" i="37"/>
  <c r="C213" i="25"/>
  <c r="F213" i="25"/>
  <c r="AA214" i="25"/>
  <c r="AD214" i="25"/>
  <c r="S212" i="25"/>
  <c r="V212" i="25"/>
  <c r="E212" i="37" l="1"/>
  <c r="G212" i="37"/>
  <c r="AE214" i="37"/>
  <c r="AC214" i="37"/>
  <c r="U212" i="37"/>
  <c r="W212" i="37"/>
  <c r="W212" i="25"/>
  <c r="U212" i="25"/>
  <c r="AC214" i="25"/>
  <c r="AE214" i="25"/>
  <c r="G213" i="25"/>
  <c r="E213" i="25"/>
  <c r="D213" i="37" l="1"/>
  <c r="T213" i="37"/>
  <c r="AB215" i="37"/>
  <c r="D214" i="25"/>
  <c r="AB215" i="25"/>
  <c r="T213" i="25"/>
  <c r="C213" i="37" l="1"/>
  <c r="F213" i="37"/>
  <c r="AA215" i="37"/>
  <c r="AD215" i="37"/>
  <c r="S213" i="37"/>
  <c r="V213" i="37"/>
  <c r="S213" i="25"/>
  <c r="V213" i="25"/>
  <c r="AA215" i="25"/>
  <c r="AD215" i="25"/>
  <c r="C214" i="25"/>
  <c r="F214" i="25"/>
  <c r="E213" i="37" l="1"/>
  <c r="G213" i="37"/>
  <c r="W213" i="37"/>
  <c r="U213" i="37"/>
  <c r="AE215" i="37"/>
  <c r="AC215" i="37"/>
  <c r="AC215" i="25"/>
  <c r="AE215" i="25"/>
  <c r="E214" i="25"/>
  <c r="G214" i="25"/>
  <c r="U213" i="25"/>
  <c r="W213" i="25"/>
  <c r="D214" i="37" l="1"/>
  <c r="AB216" i="37"/>
  <c r="T214" i="37"/>
  <c r="D215" i="25"/>
  <c r="AB216" i="25"/>
  <c r="T214" i="25"/>
  <c r="C214" i="37" l="1"/>
  <c r="F214" i="37"/>
  <c r="S214" i="37"/>
  <c r="V214" i="37"/>
  <c r="AA216" i="37"/>
  <c r="AD216" i="37"/>
  <c r="S214" i="25"/>
  <c r="V214" i="25"/>
  <c r="AA216" i="25"/>
  <c r="AD216" i="25"/>
  <c r="C215" i="25"/>
  <c r="F215" i="25"/>
  <c r="E214" i="37" l="1"/>
  <c r="G214" i="37"/>
  <c r="AC216" i="37"/>
  <c r="AE216" i="37"/>
  <c r="W214" i="37"/>
  <c r="U214" i="37"/>
  <c r="G215" i="25"/>
  <c r="E215" i="25"/>
  <c r="AE216" i="25"/>
  <c r="AC216" i="25"/>
  <c r="U214" i="25"/>
  <c r="W214" i="25"/>
  <c r="D215" i="37" l="1"/>
  <c r="T215" i="37"/>
  <c r="AB217" i="37"/>
  <c r="T215" i="25"/>
  <c r="AB217" i="25"/>
  <c r="D216" i="25"/>
  <c r="C215" i="37" l="1"/>
  <c r="F215" i="37"/>
  <c r="AA217" i="37"/>
  <c r="AD217" i="37"/>
  <c r="S215" i="37"/>
  <c r="V215" i="37"/>
  <c r="AA217" i="25"/>
  <c r="AD217" i="25"/>
  <c r="C216" i="25"/>
  <c r="F216" i="25"/>
  <c r="S215" i="25"/>
  <c r="V215" i="25"/>
  <c r="G215" i="37" l="1"/>
  <c r="E215" i="37"/>
  <c r="W215" i="37"/>
  <c r="U215" i="37"/>
  <c r="AC217" i="37"/>
  <c r="AE217" i="37"/>
  <c r="W215" i="25"/>
  <c r="U215" i="25"/>
  <c r="E216" i="25"/>
  <c r="G216" i="25"/>
  <c r="AC217" i="25"/>
  <c r="AE217" i="25"/>
  <c r="D216" i="37" l="1"/>
  <c r="AB218" i="37"/>
  <c r="T216" i="37"/>
  <c r="AB218" i="25"/>
  <c r="D217" i="25"/>
  <c r="T216" i="25"/>
  <c r="C216" i="37" l="1"/>
  <c r="F216" i="37"/>
  <c r="S216" i="37"/>
  <c r="V216" i="37"/>
  <c r="AA218" i="37"/>
  <c r="AD218" i="37"/>
  <c r="S216" i="25"/>
  <c r="V216" i="25"/>
  <c r="C217" i="25"/>
  <c r="F217" i="25"/>
  <c r="AA218" i="25"/>
  <c r="AD218" i="25"/>
  <c r="E216" i="37" l="1"/>
  <c r="G216" i="37"/>
  <c r="AE218" i="37"/>
  <c r="AC218" i="37"/>
  <c r="U216" i="37"/>
  <c r="W216" i="37"/>
  <c r="G217" i="25"/>
  <c r="E217" i="25"/>
  <c r="AE218" i="25"/>
  <c r="AC218" i="25"/>
  <c r="U216" i="25"/>
  <c r="W216" i="25"/>
  <c r="D217" i="37" l="1"/>
  <c r="T217" i="37"/>
  <c r="AB219" i="37"/>
  <c r="T217" i="25"/>
  <c r="AB219" i="25"/>
  <c r="D218" i="25"/>
  <c r="C217" i="37" l="1"/>
  <c r="F217" i="37"/>
  <c r="S217" i="37"/>
  <c r="V217" i="37"/>
  <c r="AA219" i="37"/>
  <c r="AD219" i="37"/>
  <c r="AA219" i="25"/>
  <c r="AD219" i="25"/>
  <c r="C218" i="25"/>
  <c r="F218" i="25"/>
  <c r="S217" i="25"/>
  <c r="V217" i="25"/>
  <c r="E217" i="37" l="1"/>
  <c r="G217" i="37"/>
  <c r="AC219" i="37"/>
  <c r="AE219" i="37"/>
  <c r="W217" i="37"/>
  <c r="U217" i="37"/>
  <c r="W217" i="25"/>
  <c r="U217" i="25"/>
  <c r="E218" i="25"/>
  <c r="G218" i="25"/>
  <c r="AE219" i="25"/>
  <c r="AC219" i="25"/>
  <c r="D218" i="37" l="1"/>
  <c r="T218" i="37"/>
  <c r="AB220" i="37"/>
  <c r="AB220" i="25"/>
  <c r="D219" i="25"/>
  <c r="T218" i="25"/>
  <c r="C218" i="37" l="1"/>
  <c r="F218" i="37"/>
  <c r="AA220" i="37"/>
  <c r="AD220" i="37"/>
  <c r="S218" i="37"/>
  <c r="V218" i="37"/>
  <c r="S218" i="25"/>
  <c r="V218" i="25"/>
  <c r="C219" i="25"/>
  <c r="F219" i="25"/>
  <c r="AA220" i="25"/>
  <c r="AD220" i="25"/>
  <c r="E218" i="37" l="1"/>
  <c r="G218" i="37"/>
  <c r="U218" i="37"/>
  <c r="W218" i="37"/>
  <c r="AE220" i="37"/>
  <c r="AC220" i="37"/>
  <c r="AE220" i="25"/>
  <c r="AC220" i="25"/>
  <c r="G219" i="25"/>
  <c r="E219" i="25"/>
  <c r="U218" i="25"/>
  <c r="W218" i="25"/>
  <c r="D219" i="37" l="1"/>
  <c r="AB221" i="37"/>
  <c r="T219" i="37"/>
  <c r="T219" i="25"/>
  <c r="D220" i="25"/>
  <c r="AB221" i="25"/>
  <c r="C219" i="37" l="1"/>
  <c r="F219" i="37"/>
  <c r="AA221" i="37"/>
  <c r="AD221" i="37"/>
  <c r="S219" i="37"/>
  <c r="V219" i="37"/>
  <c r="C220" i="25"/>
  <c r="F220" i="25"/>
  <c r="AA221" i="25"/>
  <c r="AD221" i="25"/>
  <c r="S219" i="25"/>
  <c r="V219" i="25"/>
  <c r="E219" i="37" l="1"/>
  <c r="G219" i="37"/>
  <c r="W219" i="37"/>
  <c r="U219" i="37"/>
  <c r="AC221" i="37"/>
  <c r="AE221" i="37"/>
  <c r="W219" i="25"/>
  <c r="U219" i="25"/>
  <c r="AC221" i="25"/>
  <c r="AE221" i="25"/>
  <c r="G220" i="25"/>
  <c r="E220" i="25"/>
  <c r="D220" i="37" l="1"/>
  <c r="AB222" i="37"/>
  <c r="T220" i="37"/>
  <c r="AB222" i="25"/>
  <c r="D221" i="25"/>
  <c r="T220" i="25"/>
  <c r="C220" i="37" l="1"/>
  <c r="F220" i="37"/>
  <c r="S220" i="37"/>
  <c r="V220" i="37"/>
  <c r="AA222" i="37"/>
  <c r="AD222" i="37"/>
  <c r="S220" i="25"/>
  <c r="V220" i="25"/>
  <c r="C221" i="25"/>
  <c r="F221" i="25"/>
  <c r="AA222" i="25"/>
  <c r="AD222" i="25"/>
  <c r="E220" i="37" l="1"/>
  <c r="G220" i="37"/>
  <c r="AC222" i="37"/>
  <c r="AE222" i="37"/>
  <c r="U220" i="37"/>
  <c r="W220" i="37"/>
  <c r="AE222" i="25"/>
  <c r="AC222" i="25"/>
  <c r="E221" i="25"/>
  <c r="G221" i="25"/>
  <c r="U220" i="25"/>
  <c r="W220" i="25"/>
  <c r="D221" i="37" l="1"/>
  <c r="AB223" i="37"/>
  <c r="T221" i="37"/>
  <c r="T221" i="25"/>
  <c r="D222" i="25"/>
  <c r="AB223" i="25"/>
  <c r="C221" i="37" l="1"/>
  <c r="F221" i="37"/>
  <c r="S221" i="37"/>
  <c r="V221" i="37"/>
  <c r="AA223" i="37"/>
  <c r="AD223" i="37"/>
  <c r="C222" i="25"/>
  <c r="F222" i="25"/>
  <c r="AA223" i="25"/>
  <c r="AD223" i="25"/>
  <c r="S221" i="25"/>
  <c r="V221" i="25"/>
  <c r="E221" i="37" l="1"/>
  <c r="G221" i="37"/>
  <c r="AE223" i="37"/>
  <c r="AC223" i="37"/>
  <c r="W221" i="37"/>
  <c r="U221" i="37"/>
  <c r="W221" i="25"/>
  <c r="U221" i="25"/>
  <c r="AC223" i="25"/>
  <c r="AE223" i="25"/>
  <c r="G222" i="25"/>
  <c r="E222" i="25"/>
  <c r="D222" i="37" l="1"/>
  <c r="AB224" i="37"/>
  <c r="T222" i="37"/>
  <c r="D223" i="25"/>
  <c r="AB224" i="25"/>
  <c r="T222" i="25"/>
  <c r="C222" i="37" l="1"/>
  <c r="F222" i="37"/>
  <c r="S222" i="37"/>
  <c r="V222" i="37"/>
  <c r="AA224" i="37"/>
  <c r="AD224" i="37"/>
  <c r="S222" i="25"/>
  <c r="V222" i="25"/>
  <c r="AA224" i="25"/>
  <c r="AD224" i="25"/>
  <c r="C223" i="25"/>
  <c r="F223" i="25"/>
  <c r="E222" i="37" l="1"/>
  <c r="G222" i="37"/>
  <c r="AC224" i="37"/>
  <c r="AE224" i="37"/>
  <c r="U222" i="37"/>
  <c r="W222" i="37"/>
  <c r="E223" i="25"/>
  <c r="G223" i="25"/>
  <c r="AE224" i="25"/>
  <c r="AC224" i="25"/>
  <c r="U222" i="25"/>
  <c r="W222" i="25"/>
  <c r="D223" i="37" l="1"/>
  <c r="T223" i="37"/>
  <c r="AB225" i="37"/>
  <c r="T223" i="25"/>
  <c r="AB225" i="25"/>
  <c r="D224" i="25"/>
  <c r="C223" i="37" l="1"/>
  <c r="F223" i="37"/>
  <c r="AA225" i="37"/>
  <c r="AD225" i="37"/>
  <c r="S223" i="37"/>
  <c r="V223" i="37"/>
  <c r="C224" i="25"/>
  <c r="F224" i="25"/>
  <c r="AA225" i="25"/>
  <c r="AD225" i="25"/>
  <c r="S223" i="25"/>
  <c r="V223" i="25"/>
  <c r="E223" i="37" l="1"/>
  <c r="G223" i="37"/>
  <c r="W223" i="37"/>
  <c r="U223" i="37"/>
  <c r="AE225" i="37"/>
  <c r="AC225" i="37"/>
  <c r="AC225" i="25"/>
  <c r="AE225" i="25"/>
  <c r="W223" i="25"/>
  <c r="U223" i="25"/>
  <c r="G224" i="25"/>
  <c r="E224" i="25"/>
  <c r="D224" i="37" l="1"/>
  <c r="AB226" i="37"/>
  <c r="T224" i="37"/>
  <c r="D225" i="25"/>
  <c r="T224" i="25"/>
  <c r="AB226" i="25"/>
  <c r="C224" i="37" l="1"/>
  <c r="F224" i="37"/>
  <c r="S224" i="37"/>
  <c r="V224" i="37"/>
  <c r="AA226" i="37"/>
  <c r="AD226" i="37"/>
  <c r="AA226" i="25"/>
  <c r="AD226" i="25"/>
  <c r="S224" i="25"/>
  <c r="V224" i="25"/>
  <c r="C225" i="25"/>
  <c r="F225" i="25"/>
  <c r="E224" i="37" l="1"/>
  <c r="G224" i="37"/>
  <c r="AE226" i="37"/>
  <c r="AC226" i="37"/>
  <c r="W224" i="37"/>
  <c r="U224" i="37"/>
  <c r="G225" i="25"/>
  <c r="E225" i="25"/>
  <c r="U224" i="25"/>
  <c r="W224" i="25"/>
  <c r="AE226" i="25"/>
  <c r="AC226" i="25"/>
  <c r="D225" i="37" l="1"/>
  <c r="T225" i="37"/>
  <c r="AB227" i="37"/>
  <c r="AB227" i="25"/>
  <c r="T225" i="25"/>
  <c r="D226" i="25"/>
  <c r="C225" i="37" l="1"/>
  <c r="F225" i="37"/>
  <c r="AA227" i="37"/>
  <c r="AD227" i="37"/>
  <c r="S225" i="37"/>
  <c r="V225" i="37"/>
  <c r="C226" i="25"/>
  <c r="F226" i="25"/>
  <c r="S225" i="25"/>
  <c r="V225" i="25"/>
  <c r="AA227" i="25"/>
  <c r="AD227" i="25"/>
  <c r="E225" i="37" l="1"/>
  <c r="G225" i="37"/>
  <c r="U225" i="37"/>
  <c r="W225" i="37"/>
  <c r="AE227" i="37"/>
  <c r="AC227" i="37"/>
  <c r="AC227" i="25"/>
  <c r="AE227" i="25"/>
  <c r="W225" i="25"/>
  <c r="U225" i="25"/>
  <c r="E226" i="25"/>
  <c r="G226" i="25"/>
  <c r="D226" i="37" l="1"/>
  <c r="AB228" i="37"/>
  <c r="T226" i="37"/>
  <c r="D227" i="25"/>
  <c r="T226" i="25"/>
  <c r="AB228" i="25"/>
  <c r="C226" i="37" l="1"/>
  <c r="F226" i="37"/>
  <c r="AA228" i="37"/>
  <c r="AD228" i="37"/>
  <c r="S226" i="37"/>
  <c r="V226" i="37"/>
  <c r="AA228" i="25"/>
  <c r="AD228" i="25"/>
  <c r="S226" i="25"/>
  <c r="V226" i="25"/>
  <c r="C227" i="25"/>
  <c r="F227" i="25"/>
  <c r="E226" i="37" l="1"/>
  <c r="G226" i="37"/>
  <c r="W226" i="37"/>
  <c r="U226" i="37"/>
  <c r="AC228" i="37"/>
  <c r="AE228" i="37"/>
  <c r="AE228" i="25"/>
  <c r="AC228" i="25"/>
  <c r="G227" i="25"/>
  <c r="E227" i="25"/>
  <c r="U226" i="25"/>
  <c r="W226" i="25"/>
  <c r="D227" i="37" l="1"/>
  <c r="AB229" i="37"/>
  <c r="T227" i="37"/>
  <c r="T227" i="25"/>
  <c r="D228" i="25"/>
  <c r="AB229" i="25"/>
  <c r="C227" i="37" l="1"/>
  <c r="F227" i="37"/>
  <c r="S227" i="37"/>
  <c r="V227" i="37"/>
  <c r="AA229" i="37"/>
  <c r="AD229" i="37"/>
  <c r="AA229" i="25"/>
  <c r="AD229" i="25"/>
  <c r="C228" i="25"/>
  <c r="F228" i="25"/>
  <c r="S227" i="25"/>
  <c r="V227" i="25"/>
  <c r="E227" i="37" l="1"/>
  <c r="G227" i="37"/>
  <c r="AC229" i="37"/>
  <c r="AE229" i="37"/>
  <c r="U227" i="37"/>
  <c r="W227" i="37"/>
  <c r="W227" i="25"/>
  <c r="U227" i="25"/>
  <c r="E228" i="25"/>
  <c r="G228" i="25"/>
  <c r="AC229" i="25"/>
  <c r="AE229" i="25"/>
  <c r="D228" i="37" l="1"/>
  <c r="T228" i="37"/>
  <c r="AB230" i="37"/>
  <c r="AB230" i="25"/>
  <c r="D229" i="25"/>
  <c r="T228" i="25"/>
  <c r="C228" i="37" l="1"/>
  <c r="F228" i="37"/>
  <c r="AA230" i="37"/>
  <c r="AD230" i="37"/>
  <c r="S228" i="37"/>
  <c r="V228" i="37"/>
  <c r="S228" i="25"/>
  <c r="V228" i="25"/>
  <c r="C229" i="25"/>
  <c r="F229" i="25"/>
  <c r="AA230" i="25"/>
  <c r="AD230" i="25"/>
  <c r="E228" i="37" l="1"/>
  <c r="G228" i="37"/>
  <c r="W228" i="37"/>
  <c r="U228" i="37"/>
  <c r="AE230" i="37"/>
  <c r="AC230" i="37"/>
  <c r="AE230" i="25"/>
  <c r="AC230" i="25"/>
  <c r="G229" i="25"/>
  <c r="E229" i="25"/>
  <c r="U228" i="25"/>
  <c r="W228" i="25"/>
  <c r="D229" i="37" l="1"/>
  <c r="AB231" i="37"/>
  <c r="T229" i="37"/>
  <c r="T229" i="25"/>
  <c r="D230" i="25"/>
  <c r="AB231" i="25"/>
  <c r="C229" i="37" l="1"/>
  <c r="F229" i="37"/>
  <c r="S229" i="37"/>
  <c r="V229" i="37"/>
  <c r="AA231" i="37"/>
  <c r="AD231" i="37"/>
  <c r="AA231" i="25"/>
  <c r="AD231" i="25"/>
  <c r="C230" i="25"/>
  <c r="F230" i="25"/>
  <c r="S229" i="25"/>
  <c r="V229" i="25"/>
  <c r="E229" i="37" l="1"/>
  <c r="G229" i="37"/>
  <c r="AC231" i="37"/>
  <c r="AE231" i="37"/>
  <c r="W229" i="37"/>
  <c r="U229" i="37"/>
  <c r="W229" i="25"/>
  <c r="U229" i="25"/>
  <c r="E230" i="25"/>
  <c r="G230" i="25"/>
  <c r="AC231" i="25"/>
  <c r="AE231" i="25"/>
  <c r="D230" i="37" l="1"/>
  <c r="AB232" i="37"/>
  <c r="T230" i="37"/>
  <c r="AB232" i="25"/>
  <c r="D231" i="25"/>
  <c r="T230" i="25"/>
  <c r="C230" i="37" l="1"/>
  <c r="F230" i="37"/>
  <c r="AA232" i="37"/>
  <c r="AD232" i="37"/>
  <c r="S230" i="37"/>
  <c r="V230" i="37"/>
  <c r="S230" i="25"/>
  <c r="V230" i="25"/>
  <c r="C231" i="25"/>
  <c r="F231" i="25"/>
  <c r="AA232" i="25"/>
  <c r="AD232" i="25"/>
  <c r="E230" i="37" l="1"/>
  <c r="G230" i="37"/>
  <c r="U230" i="37"/>
  <c r="W230" i="37"/>
  <c r="AE232" i="37"/>
  <c r="AC232" i="37"/>
  <c r="AE232" i="25"/>
  <c r="AC232" i="25"/>
  <c r="G231" i="25"/>
  <c r="E231" i="25"/>
  <c r="U230" i="25"/>
  <c r="W230" i="25"/>
  <c r="D231" i="37" l="1"/>
  <c r="AB233" i="37"/>
  <c r="T231" i="37"/>
  <c r="AB233" i="25"/>
  <c r="T231" i="25"/>
  <c r="D232" i="25"/>
  <c r="C231" i="37" l="1"/>
  <c r="F231" i="37"/>
  <c r="S231" i="37"/>
  <c r="V231" i="37"/>
  <c r="AA233" i="37"/>
  <c r="AD233" i="37"/>
  <c r="AA233" i="25"/>
  <c r="AD233" i="25"/>
  <c r="C232" i="25"/>
  <c r="F232" i="25"/>
  <c r="S231" i="25"/>
  <c r="V231" i="25"/>
  <c r="E231" i="37" l="1"/>
  <c r="G231" i="37"/>
  <c r="AC233" i="37"/>
  <c r="AE233" i="37"/>
  <c r="W231" i="37"/>
  <c r="U231" i="37"/>
  <c r="AC233" i="25"/>
  <c r="AE233" i="25"/>
  <c r="W231" i="25"/>
  <c r="U231" i="25"/>
  <c r="E232" i="25"/>
  <c r="G232" i="25"/>
  <c r="D232" i="37" l="1"/>
  <c r="AB234" i="37"/>
  <c r="T232" i="37"/>
  <c r="D233" i="25"/>
  <c r="T232" i="25"/>
  <c r="AB234" i="25"/>
  <c r="C232" i="37" l="1"/>
  <c r="F232" i="37"/>
  <c r="AA234" i="37"/>
  <c r="AD234" i="37"/>
  <c r="S232" i="37"/>
  <c r="V232" i="37"/>
  <c r="AA234" i="25"/>
  <c r="AD234" i="25"/>
  <c r="S232" i="25"/>
  <c r="V232" i="25"/>
  <c r="C233" i="25"/>
  <c r="F233" i="25"/>
  <c r="E232" i="37" l="1"/>
  <c r="G232" i="37"/>
  <c r="U232" i="37"/>
  <c r="W232" i="37"/>
  <c r="AE234" i="37"/>
  <c r="AC234" i="37"/>
  <c r="G233" i="25"/>
  <c r="E233" i="25"/>
  <c r="U232" i="25"/>
  <c r="W232" i="25"/>
  <c r="AE234" i="25"/>
  <c r="AC234" i="25"/>
  <c r="D233" i="37" l="1"/>
  <c r="AB235" i="37"/>
  <c r="T233" i="37"/>
  <c r="AB235" i="25"/>
  <c r="T233" i="25"/>
  <c r="D234" i="25"/>
  <c r="C233" i="37" l="1"/>
  <c r="F233" i="37"/>
  <c r="S233" i="37"/>
  <c r="V233" i="37"/>
  <c r="AA235" i="37"/>
  <c r="AD235" i="37"/>
  <c r="C234" i="25"/>
  <c r="F234" i="25"/>
  <c r="S233" i="25"/>
  <c r="V233" i="25"/>
  <c r="AA235" i="25"/>
  <c r="AD235" i="25"/>
  <c r="E233" i="37" l="1"/>
  <c r="G233" i="37"/>
  <c r="AE235" i="37"/>
  <c r="AC235" i="37"/>
  <c r="U233" i="37"/>
  <c r="W233" i="37"/>
  <c r="AC235" i="25"/>
  <c r="AE235" i="25"/>
  <c r="W233" i="25"/>
  <c r="U233" i="25"/>
  <c r="E234" i="25"/>
  <c r="G234" i="25"/>
  <c r="D234" i="37" l="1"/>
  <c r="T234" i="37"/>
  <c r="AB236" i="37"/>
  <c r="T234" i="25"/>
  <c r="AB236" i="25"/>
  <c r="D235" i="25"/>
  <c r="C234" i="37" l="1"/>
  <c r="F234" i="37"/>
  <c r="AA236" i="37"/>
  <c r="AD236" i="37"/>
  <c r="S234" i="37"/>
  <c r="V234" i="37"/>
  <c r="C235" i="25"/>
  <c r="F235" i="25"/>
  <c r="AA236" i="25"/>
  <c r="AD236" i="25"/>
  <c r="S234" i="25"/>
  <c r="V234" i="25"/>
  <c r="E234" i="37" l="1"/>
  <c r="G234" i="37"/>
  <c r="U234" i="37"/>
  <c r="W234" i="37"/>
  <c r="AC236" i="37"/>
  <c r="AE236" i="37"/>
  <c r="W234" i="25"/>
  <c r="U234" i="25"/>
  <c r="AE236" i="25"/>
  <c r="AC236" i="25"/>
  <c r="E235" i="25"/>
  <c r="G235" i="25"/>
  <c r="D235" i="37" l="1"/>
  <c r="AB237" i="37"/>
  <c r="T235" i="37"/>
  <c r="D236" i="25"/>
  <c r="AB237" i="25"/>
  <c r="T235" i="25"/>
  <c r="C235" i="37" l="1"/>
  <c r="F235" i="37"/>
  <c r="S235" i="37"/>
  <c r="V235" i="37"/>
  <c r="AA237" i="37"/>
  <c r="AD237" i="37"/>
  <c r="S235" i="25"/>
  <c r="V235" i="25"/>
  <c r="AA237" i="25"/>
  <c r="AD237" i="25"/>
  <c r="C236" i="25"/>
  <c r="F236" i="25"/>
  <c r="G235" i="37" l="1"/>
  <c r="E235" i="37"/>
  <c r="AC237" i="37"/>
  <c r="AE237" i="37"/>
  <c r="W235" i="37"/>
  <c r="U235" i="37"/>
  <c r="AC237" i="25"/>
  <c r="AE237" i="25"/>
  <c r="G236" i="25"/>
  <c r="E236" i="25"/>
  <c r="U235" i="25"/>
  <c r="W235" i="25"/>
  <c r="D236" i="37" l="1"/>
  <c r="T236" i="37"/>
  <c r="AB238" i="37"/>
  <c r="T236" i="25"/>
  <c r="D237" i="25"/>
  <c r="AB238" i="25"/>
  <c r="C236" i="37" l="1"/>
  <c r="F236" i="37"/>
  <c r="AA238" i="37"/>
  <c r="AD238" i="37"/>
  <c r="S236" i="37"/>
  <c r="V236" i="37"/>
  <c r="AA238" i="25"/>
  <c r="AD238" i="25"/>
  <c r="C237" i="25"/>
  <c r="F237" i="25"/>
  <c r="S236" i="25"/>
  <c r="V236" i="25"/>
  <c r="E236" i="37" l="1"/>
  <c r="G236" i="37"/>
  <c r="U236" i="37"/>
  <c r="W236" i="37"/>
  <c r="AE238" i="37"/>
  <c r="AC238" i="37"/>
  <c r="W236" i="25"/>
  <c r="U236" i="25"/>
  <c r="E237" i="25"/>
  <c r="G237" i="25"/>
  <c r="AE238" i="25"/>
  <c r="AC238" i="25"/>
  <c r="D237" i="37" l="1"/>
  <c r="AB239" i="37"/>
  <c r="T237" i="37"/>
  <c r="AB239" i="25"/>
  <c r="D238" i="25"/>
  <c r="T237" i="25"/>
  <c r="C237" i="37" l="1"/>
  <c r="F237" i="37"/>
  <c r="AA239" i="37"/>
  <c r="AD239" i="37"/>
  <c r="S237" i="37"/>
  <c r="V237" i="37"/>
  <c r="S237" i="25"/>
  <c r="V237" i="25"/>
  <c r="C238" i="25"/>
  <c r="F238" i="25"/>
  <c r="AA239" i="25"/>
  <c r="AD239" i="25"/>
  <c r="E237" i="37" l="1"/>
  <c r="G237" i="37"/>
  <c r="W237" i="37"/>
  <c r="U237" i="37"/>
  <c r="AC239" i="37"/>
  <c r="AE239" i="37"/>
  <c r="AC239" i="25"/>
  <c r="AE239" i="25"/>
  <c r="G238" i="25"/>
  <c r="E238" i="25"/>
  <c r="U237" i="25"/>
  <c r="W237" i="25"/>
  <c r="D238" i="37" l="1"/>
  <c r="AB240" i="37"/>
  <c r="T238" i="37"/>
  <c r="T238" i="25"/>
  <c r="D239" i="25"/>
  <c r="AB240" i="25"/>
  <c r="C238" i="37" l="1"/>
  <c r="F238" i="37"/>
  <c r="S238" i="37"/>
  <c r="V238" i="37"/>
  <c r="AA240" i="37"/>
  <c r="AD240" i="37"/>
  <c r="AA240" i="25"/>
  <c r="AD240" i="25"/>
  <c r="C239" i="25"/>
  <c r="F239" i="25"/>
  <c r="S238" i="25"/>
  <c r="V238" i="25"/>
  <c r="E238" i="37" l="1"/>
  <c r="G238" i="37"/>
  <c r="AE240" i="37"/>
  <c r="AC240" i="37"/>
  <c r="W238" i="37"/>
  <c r="U238" i="37"/>
  <c r="W238" i="25"/>
  <c r="U238" i="25"/>
  <c r="E239" i="25"/>
  <c r="G239" i="25"/>
  <c r="AE240" i="25"/>
  <c r="AC240" i="25"/>
  <c r="D239" i="37" l="1"/>
  <c r="T239" i="37"/>
  <c r="AB241" i="37"/>
  <c r="AB241" i="25"/>
  <c r="D240" i="25"/>
  <c r="T239" i="25"/>
  <c r="C239" i="37" l="1"/>
  <c r="F239" i="37"/>
  <c r="S239" i="37"/>
  <c r="V239" i="37"/>
  <c r="AA241" i="37"/>
  <c r="AD241" i="37"/>
  <c r="S239" i="25"/>
  <c r="V239" i="25"/>
  <c r="C240" i="25"/>
  <c r="F240" i="25"/>
  <c r="AA241" i="25"/>
  <c r="AD241" i="25"/>
  <c r="E239" i="37" l="1"/>
  <c r="G239" i="37"/>
  <c r="AC241" i="37"/>
  <c r="AE241" i="37"/>
  <c r="U239" i="37"/>
  <c r="W239" i="37"/>
  <c r="AC241" i="25"/>
  <c r="AE241" i="25"/>
  <c r="G240" i="25"/>
  <c r="E240" i="25"/>
  <c r="U239" i="25"/>
  <c r="W239" i="25"/>
  <c r="D240" i="37" l="1"/>
  <c r="AB242" i="37"/>
  <c r="T240" i="37"/>
  <c r="T240" i="25"/>
  <c r="D241" i="25"/>
  <c r="AB242" i="25"/>
  <c r="C240" i="37" l="1"/>
  <c r="F240" i="37"/>
  <c r="AA242" i="37"/>
  <c r="AD242" i="37"/>
  <c r="S240" i="37"/>
  <c r="V240" i="37"/>
  <c r="C241" i="25"/>
  <c r="F241" i="25"/>
  <c r="AA242" i="25"/>
  <c r="AD242" i="25"/>
  <c r="S240" i="25"/>
  <c r="V240" i="25"/>
  <c r="E240" i="37" l="1"/>
  <c r="G240" i="37"/>
  <c r="W240" i="37"/>
  <c r="U240" i="37"/>
  <c r="AE242" i="37"/>
  <c r="AC242" i="37"/>
  <c r="W240" i="25"/>
  <c r="U240" i="25"/>
  <c r="AC242" i="25"/>
  <c r="AE242" i="25"/>
  <c r="G241" i="25"/>
  <c r="E241" i="25"/>
  <c r="D241" i="37" l="1"/>
  <c r="AB243" i="37"/>
  <c r="T241" i="37"/>
  <c r="D242" i="25"/>
  <c r="AB243" i="25"/>
  <c r="T241" i="25"/>
  <c r="C241" i="37" l="1"/>
  <c r="F241" i="37"/>
  <c r="AA243" i="37"/>
  <c r="AD243" i="37"/>
  <c r="S241" i="37"/>
  <c r="V241" i="37"/>
  <c r="S241" i="25"/>
  <c r="V241" i="25"/>
  <c r="AA243" i="25"/>
  <c r="AD243" i="25"/>
  <c r="C242" i="25"/>
  <c r="F242" i="25"/>
  <c r="E241" i="37" l="1"/>
  <c r="G241" i="37"/>
  <c r="U241" i="37"/>
  <c r="W241" i="37"/>
  <c r="AC243" i="37"/>
  <c r="AE243" i="37"/>
  <c r="E242" i="25"/>
  <c r="G242" i="25"/>
  <c r="AE243" i="25"/>
  <c r="AC243" i="25"/>
  <c r="U241" i="25"/>
  <c r="W241" i="25"/>
  <c r="D242" i="37" l="1"/>
  <c r="AB244" i="37"/>
  <c r="T242" i="37"/>
  <c r="T242" i="25"/>
  <c r="AB244" i="25"/>
  <c r="D243" i="25"/>
  <c r="C242" i="37" l="1"/>
  <c r="F242" i="37"/>
  <c r="AA244" i="37"/>
  <c r="AD244" i="37"/>
  <c r="S242" i="37"/>
  <c r="V242" i="37"/>
  <c r="AA244" i="25"/>
  <c r="AD244" i="25"/>
  <c r="C243" i="25"/>
  <c r="F243" i="25"/>
  <c r="S242" i="25"/>
  <c r="V242" i="25"/>
  <c r="E242" i="37" l="1"/>
  <c r="G242" i="37"/>
  <c r="U242" i="37"/>
  <c r="W242" i="37"/>
  <c r="AC244" i="37"/>
  <c r="AE244" i="37"/>
  <c r="W242" i="25"/>
  <c r="U242" i="25"/>
  <c r="G243" i="25"/>
  <c r="E243" i="25"/>
  <c r="AE244" i="25"/>
  <c r="AC244" i="25"/>
  <c r="D243" i="37" l="1"/>
  <c r="AB245" i="37"/>
  <c r="T243" i="37"/>
  <c r="AB245" i="25"/>
  <c r="D244" i="25"/>
  <c r="T243" i="25"/>
  <c r="C243" i="37" l="1"/>
  <c r="F243" i="37"/>
  <c r="S243" i="37"/>
  <c r="V243" i="37"/>
  <c r="AA245" i="37"/>
  <c r="AD245" i="37"/>
  <c r="S243" i="25"/>
  <c r="V243" i="25"/>
  <c r="AA245" i="25"/>
  <c r="AD245" i="25"/>
  <c r="C244" i="25"/>
  <c r="F244" i="25"/>
  <c r="E243" i="37" l="1"/>
  <c r="G243" i="37"/>
  <c r="AC245" i="37"/>
  <c r="AE245" i="37"/>
  <c r="W243" i="37"/>
  <c r="U243" i="37"/>
  <c r="E244" i="25"/>
  <c r="G244" i="25"/>
  <c r="AC245" i="25"/>
  <c r="AE245" i="25"/>
  <c r="U243" i="25"/>
  <c r="W243" i="25"/>
  <c r="D244" i="37" l="1"/>
  <c r="AB246" i="37"/>
  <c r="T244" i="37"/>
  <c r="T244" i="25"/>
  <c r="AB246" i="25"/>
  <c r="D245" i="25"/>
  <c r="C244" i="37" l="1"/>
  <c r="F244" i="37"/>
  <c r="S244" i="37"/>
  <c r="V244" i="37"/>
  <c r="AA246" i="37"/>
  <c r="AD246" i="37"/>
  <c r="C245" i="25"/>
  <c r="F245" i="25"/>
  <c r="AA246" i="25"/>
  <c r="AD246" i="25"/>
  <c r="S244" i="25"/>
  <c r="V244" i="25"/>
  <c r="E244" i="37" l="1"/>
  <c r="G244" i="37"/>
  <c r="AC246" i="37"/>
  <c r="AE246" i="37"/>
  <c r="W244" i="37"/>
  <c r="U244" i="37"/>
  <c r="W244" i="25"/>
  <c r="U244" i="25"/>
  <c r="AE246" i="25"/>
  <c r="AC246" i="25"/>
  <c r="G245" i="25"/>
  <c r="E245" i="25"/>
  <c r="D245" i="37" l="1"/>
  <c r="AB247" i="37"/>
  <c r="T245" i="37"/>
  <c r="D246" i="25"/>
  <c r="AB247" i="25"/>
  <c r="T245" i="25"/>
  <c r="C245" i="37" l="1"/>
  <c r="F245" i="37"/>
  <c r="S245" i="37"/>
  <c r="V245" i="37"/>
  <c r="AA247" i="37"/>
  <c r="AD247" i="37"/>
  <c r="S245" i="25"/>
  <c r="V245" i="25"/>
  <c r="C246" i="25"/>
  <c r="F246" i="25"/>
  <c r="AA247" i="25"/>
  <c r="AD247" i="25"/>
  <c r="E245" i="37" l="1"/>
  <c r="G245" i="37"/>
  <c r="AC247" i="37"/>
  <c r="AE247" i="37"/>
  <c r="U245" i="37"/>
  <c r="W245" i="37"/>
  <c r="AC247" i="25"/>
  <c r="AE247" i="25"/>
  <c r="E246" i="25"/>
  <c r="G246" i="25"/>
  <c r="U245" i="25"/>
  <c r="W245" i="25"/>
  <c r="D246" i="37" l="1"/>
  <c r="T246" i="37"/>
  <c r="AB248" i="37"/>
  <c r="T246" i="25"/>
  <c r="D247" i="25"/>
  <c r="AB248" i="25"/>
  <c r="C246" i="37" l="1"/>
  <c r="F246" i="37"/>
  <c r="AA248" i="37"/>
  <c r="AD248" i="37"/>
  <c r="S246" i="37"/>
  <c r="V246" i="37"/>
  <c r="C247" i="25"/>
  <c r="F247" i="25"/>
  <c r="AA248" i="25"/>
  <c r="AD248" i="25"/>
  <c r="S246" i="25"/>
  <c r="V246" i="25"/>
  <c r="G246" i="37" l="1"/>
  <c r="E246" i="37"/>
  <c r="W246" i="37"/>
  <c r="U246" i="37"/>
  <c r="AE248" i="37"/>
  <c r="AC248" i="37"/>
  <c r="W246" i="25"/>
  <c r="U246" i="25"/>
  <c r="AE248" i="25"/>
  <c r="AC248" i="25"/>
  <c r="G247" i="25"/>
  <c r="E247" i="25"/>
  <c r="D247" i="37" l="1"/>
  <c r="AB249" i="37"/>
  <c r="T247" i="37"/>
  <c r="D248" i="25"/>
  <c r="AB249" i="25"/>
  <c r="T247" i="25"/>
  <c r="C247" i="37" l="1"/>
  <c r="F247" i="37"/>
  <c r="S247" i="37"/>
  <c r="V247" i="37"/>
  <c r="AA249" i="37"/>
  <c r="AD249" i="37"/>
  <c r="S247" i="25"/>
  <c r="V247" i="25"/>
  <c r="AA249" i="25"/>
  <c r="AD249" i="25"/>
  <c r="C248" i="25"/>
  <c r="F248" i="25"/>
  <c r="E247" i="37" l="1"/>
  <c r="G247" i="37"/>
  <c r="AC249" i="37"/>
  <c r="AE249" i="37"/>
  <c r="U247" i="37"/>
  <c r="W247" i="37"/>
  <c r="E248" i="25"/>
  <c r="G248" i="25"/>
  <c r="AC249" i="25"/>
  <c r="AE249" i="25"/>
  <c r="U247" i="25"/>
  <c r="W247" i="25"/>
  <c r="D248" i="37" l="1"/>
  <c r="T248" i="37"/>
  <c r="T248" i="25"/>
  <c r="D249" i="25"/>
  <c r="C248" i="37" l="1"/>
  <c r="F248" i="37"/>
  <c r="S248" i="37"/>
  <c r="V248" i="37"/>
  <c r="C249" i="25"/>
  <c r="F249" i="25"/>
  <c r="S248" i="25"/>
  <c r="V248" i="25"/>
  <c r="E248" i="37" l="1"/>
  <c r="G248" i="37"/>
  <c r="W248" i="37"/>
  <c r="U248" i="37"/>
  <c r="W248" i="25"/>
  <c r="U248" i="25"/>
  <c r="G249" i="25"/>
  <c r="E249" i="25"/>
  <c r="D249" i="37" l="1"/>
  <c r="T249" i="37"/>
  <c r="T249" i="25"/>
  <c r="C249" i="37" l="1"/>
  <c r="F249" i="37"/>
  <c r="S249" i="37"/>
  <c r="V249" i="37"/>
  <c r="S249" i="25"/>
  <c r="V249" i="25"/>
  <c r="E249" i="37" l="1"/>
  <c r="G249" i="37"/>
  <c r="U249" i="37"/>
  <c r="W249" i="37"/>
  <c r="U249" i="25"/>
  <c r="W249" i="25"/>
  <c r="L21" i="32" l="1"/>
  <c r="N21" i="32" s="1"/>
  <c r="L29" i="32"/>
  <c r="M29" i="32" s="1"/>
  <c r="L31" i="32"/>
  <c r="N31" i="32" s="1"/>
  <c r="L26" i="32"/>
  <c r="N26" i="32" s="1"/>
  <c r="L27" i="32"/>
  <c r="M27" i="32" s="1"/>
  <c r="N27" i="32"/>
  <c r="P27" i="32" s="1"/>
  <c r="L28" i="32"/>
  <c r="M28" i="32" s="1"/>
  <c r="L32" i="32"/>
  <c r="N32" i="32" s="1"/>
  <c r="L30" i="32"/>
  <c r="M30" i="32" s="1"/>
  <c r="L23" i="32"/>
  <c r="N29" i="32" l="1"/>
  <c r="O29" i="32" s="1"/>
  <c r="M32" i="32"/>
  <c r="N28" i="32"/>
  <c r="O21" i="32"/>
  <c r="P21" i="32"/>
  <c r="Q21" i="32" s="1"/>
  <c r="P29" i="32"/>
  <c r="T29" i="32" s="1"/>
  <c r="M21" i="32"/>
  <c r="M26" i="32"/>
  <c r="O26" i="32"/>
  <c r="P26" i="32"/>
  <c r="O31" i="32"/>
  <c r="P31" i="32"/>
  <c r="M23" i="32"/>
  <c r="N23" i="32"/>
  <c r="O32" i="32"/>
  <c r="P32" i="32"/>
  <c r="Q27" i="32"/>
  <c r="T27" i="32"/>
  <c r="R27" i="32"/>
  <c r="M31" i="32"/>
  <c r="O27" i="32"/>
  <c r="L24" i="32"/>
  <c r="Q29" i="32"/>
  <c r="R29" i="32"/>
  <c r="L22" i="32"/>
  <c r="L25" i="32"/>
  <c r="N30" i="32"/>
  <c r="T21" i="32" l="1"/>
  <c r="R21" i="32"/>
  <c r="O28" i="32"/>
  <c r="P28" i="32"/>
  <c r="M25" i="32"/>
  <c r="N25" i="32"/>
  <c r="M22" i="32"/>
  <c r="N22" i="32"/>
  <c r="T32" i="32"/>
  <c r="Q32" i="32"/>
  <c r="R32" i="32"/>
  <c r="P23" i="32"/>
  <c r="O23" i="32"/>
  <c r="N24" i="32"/>
  <c r="M24" i="32"/>
  <c r="R31" i="32"/>
  <c r="T31" i="32"/>
  <c r="Q31" i="32"/>
  <c r="P30" i="32"/>
  <c r="O30" i="32"/>
  <c r="T26" i="32"/>
  <c r="R26" i="32"/>
  <c r="Q26" i="32"/>
  <c r="M20" i="32"/>
  <c r="N20" i="32"/>
  <c r="O20" i="32" l="1"/>
  <c r="P20" i="32"/>
  <c r="Q20" i="32" s="1"/>
  <c r="R28" i="32"/>
  <c r="Q28" i="32"/>
  <c r="T28" i="32"/>
  <c r="Q23" i="32"/>
  <c r="R23" i="32"/>
  <c r="T23" i="32"/>
  <c r="R30" i="32"/>
  <c r="Q30" i="32"/>
  <c r="T30" i="32"/>
  <c r="O22" i="32"/>
  <c r="P22" i="32"/>
  <c r="P24" i="32"/>
  <c r="O24" i="32"/>
  <c r="P25" i="32"/>
  <c r="O25" i="32"/>
  <c r="Q25" i="32" l="1"/>
  <c r="R25" i="32"/>
  <c r="T25" i="32"/>
  <c r="R24" i="32"/>
  <c r="Q24" i="32"/>
  <c r="T24" i="32"/>
  <c r="R20" i="32"/>
  <c r="T20" i="32"/>
  <c r="R22" i="32"/>
  <c r="T22" i="32"/>
  <c r="Q22" i="32"/>
  <c r="T33" i="32" l="1"/>
  <c r="R33" i="32"/>
  <c r="S20" i="32" s="1"/>
  <c r="U24" i="32"/>
  <c r="U25" i="32"/>
  <c r="U22" i="32"/>
  <c r="S22" i="32" l="1"/>
  <c r="S25" i="32"/>
  <c r="S24" i="32"/>
  <c r="S33" i="32"/>
  <c r="S28" i="32"/>
  <c r="S27" i="32"/>
  <c r="S21" i="32"/>
  <c r="S29" i="32"/>
  <c r="S31" i="32"/>
  <c r="S26" i="32"/>
  <c r="S32" i="32"/>
  <c r="S23" i="32"/>
  <c r="S30" i="32"/>
  <c r="U33" i="32"/>
  <c r="U29" i="32"/>
  <c r="U27" i="32"/>
  <c r="U21" i="32"/>
  <c r="U28" i="32"/>
  <c r="U26" i="32"/>
  <c r="U32" i="32"/>
  <c r="U31" i="32"/>
  <c r="U30" i="32"/>
  <c r="U23" i="32"/>
  <c r="U20"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B3" authorId="0" shapeId="0" xr:uid="{56C5347A-0FEA-4F25-923E-EAC30AEBB2D2}">
      <text>
        <r>
          <rPr>
            <sz val="9"/>
            <color indexed="81"/>
            <rFont val="Tahoma"/>
            <family val="2"/>
          </rPr>
          <t>Attention aux produits saisonniers!!!!</t>
        </r>
      </text>
    </comment>
    <comment ref="N3" authorId="0" shapeId="0" xr:uid="{3142E11F-C29A-4035-928E-9D90F895DAB7}">
      <text>
        <r>
          <rPr>
            <b/>
            <sz val="9"/>
            <color indexed="81"/>
            <rFont val="Tahoma"/>
            <family val="2"/>
          </rPr>
          <t>Caroline Rossignol:</t>
        </r>
        <r>
          <rPr>
            <sz val="9"/>
            <color indexed="81"/>
            <rFont val="Tahoma"/>
            <family val="2"/>
          </rPr>
          <t xml:space="preserve">
Il faut ajuster les coûts qui ne sont pas ceux de votre simulation.</t>
        </r>
      </text>
    </comment>
    <comment ref="O5" authorId="0" shapeId="0" xr:uid="{CF41DB73-A337-42CB-86AD-9521E41CE600}">
      <text>
        <r>
          <rPr>
            <b/>
            <sz val="9"/>
            <color indexed="81"/>
            <rFont val="Tahoma"/>
            <family val="2"/>
          </rPr>
          <t>Caroline Rossignol:</t>
        </r>
        <r>
          <rPr>
            <sz val="9"/>
            <color indexed="81"/>
            <rFont val="Tahoma"/>
            <family val="2"/>
          </rPr>
          <t xml:space="preserve">
arrondi.sup(cellule rose;0)</t>
        </r>
      </text>
    </comment>
    <comment ref="O7" authorId="0" shapeId="0" xr:uid="{F54D2632-ED4F-476F-9D92-644778E7C65B}">
      <text>
        <r>
          <rPr>
            <b/>
            <sz val="9"/>
            <color indexed="81"/>
            <rFont val="Tahoma"/>
            <family val="2"/>
          </rPr>
          <t>Caroline Rossignol:</t>
        </r>
        <r>
          <rPr>
            <sz val="9"/>
            <color indexed="81"/>
            <rFont val="Tahoma"/>
            <family val="2"/>
          </rPr>
          <t xml:space="preserve">
M3/100 m3</t>
        </r>
      </text>
    </comment>
    <comment ref="I23" authorId="0" shapeId="0" xr:uid="{F2A19B02-34CF-44C2-802C-2DEC3FF9E98A}">
      <text>
        <r>
          <rPr>
            <b/>
            <sz val="9"/>
            <color indexed="81"/>
            <rFont val="Tahoma"/>
            <family val="2"/>
          </rPr>
          <t>Caroline Rossignol:</t>
        </r>
        <r>
          <rPr>
            <sz val="9"/>
            <color indexed="81"/>
            <rFont val="Tahoma"/>
            <family val="2"/>
          </rPr>
          <t xml:space="preserve">
arrondi.inf</t>
        </r>
      </text>
    </comment>
    <comment ref="G30" authorId="0" shapeId="0" xr:uid="{E19656E8-D2F9-476E-A33B-4175A7D71E32}">
      <text>
        <r>
          <rPr>
            <b/>
            <sz val="9"/>
            <color indexed="81"/>
            <rFont val="Tahoma"/>
            <family val="2"/>
          </rPr>
          <t>Caroline Rossignol:</t>
        </r>
        <r>
          <rPr>
            <sz val="9"/>
            <color indexed="81"/>
            <rFont val="Tahoma"/>
            <family val="2"/>
          </rPr>
          <t xml:space="preserve">
</t>
        </r>
        <r>
          <rPr>
            <b/>
            <u/>
            <sz val="9"/>
            <color indexed="81"/>
            <rFont val="Tahoma"/>
            <family val="2"/>
          </rPr>
          <t>à mettre au bilan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Y17" authorId="0" shapeId="0" xr:uid="{521AAF8B-DC4E-4F9A-AFC4-BE4747EA91A3}">
      <text>
        <r>
          <rPr>
            <b/>
            <sz val="9"/>
            <color indexed="81"/>
            <rFont val="Tahoma"/>
            <family val="2"/>
          </rPr>
          <t>Caroline Rossignol:</t>
        </r>
        <r>
          <rPr>
            <sz val="9"/>
            <color indexed="81"/>
            <rFont val="Tahoma"/>
            <family val="2"/>
          </rPr>
          <t xml:space="preserve">
volume m3 / capacité trimestrielle chariot élévateur (option 1)</t>
        </r>
      </text>
    </comment>
    <comment ref="Y18" authorId="0" shapeId="0" xr:uid="{B9A5587F-390B-4924-9C90-7F7CFFEDF402}">
      <text>
        <r>
          <rPr>
            <b/>
            <sz val="9"/>
            <color indexed="81"/>
            <rFont val="Tahoma"/>
            <family val="2"/>
          </rPr>
          <t>Caroline Rossignol:</t>
        </r>
        <r>
          <rPr>
            <sz val="9"/>
            <color indexed="81"/>
            <rFont val="Tahoma"/>
            <family val="2"/>
          </rPr>
          <t xml:space="preserve">
votre choix</t>
        </r>
      </text>
    </comment>
    <comment ref="K20" authorId="0" shapeId="0" xr:uid="{32D36F0E-6CDA-40ED-94EB-F748D72355CE}">
      <text>
        <r>
          <rPr>
            <b/>
            <sz val="9"/>
            <color indexed="81"/>
            <rFont val="Tahoma"/>
            <charset val="1"/>
          </rPr>
          <t>Caroline Rossignol:</t>
        </r>
        <r>
          <rPr>
            <sz val="9"/>
            <color indexed="81"/>
            <rFont val="Tahoma"/>
            <charset val="1"/>
          </rPr>
          <t xml:space="preserve">
à vous de décidez = 1-2-3-4 semaines de stock, etc.</t>
        </r>
      </text>
    </comment>
    <comment ref="V24" authorId="0" shapeId="0" xr:uid="{7F6F7A83-8362-421C-BA9B-0038601A565E}">
      <text>
        <r>
          <rPr>
            <b/>
            <sz val="9"/>
            <color indexed="81"/>
            <rFont val="Tahoma"/>
            <family val="2"/>
          </rPr>
          <t>Caroline Rossignol:</t>
        </r>
        <r>
          <rPr>
            <sz val="9"/>
            <color indexed="81"/>
            <rFont val="Tahoma"/>
            <family val="2"/>
          </rPr>
          <t xml:space="preserve">
évaluer le volume transporté avec le nombre de chariot élévateur choisi et compléter le résiduel avec un transpalette.
Ex: 1 chariot élévateur + (volume total - volume traité)/capacité trimestrielle transpalette
(option 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Q2" authorId="0" shapeId="0" xr:uid="{DDD1C9A6-4C91-498F-A6DA-EBC198A72AFE}">
      <text>
        <r>
          <rPr>
            <b/>
            <sz val="9"/>
            <color indexed="81"/>
            <rFont val="Tahoma"/>
            <family val="2"/>
          </rPr>
          <t>Caroline Rossignol:</t>
        </r>
        <r>
          <rPr>
            <sz val="9"/>
            <color indexed="81"/>
            <rFont val="Tahoma"/>
            <family val="2"/>
          </rPr>
          <t xml:space="preserve">
taxes à recevoir - taxes à payer (100%)</t>
        </r>
      </text>
    </comment>
    <comment ref="R2" authorId="0" shapeId="0" xr:uid="{B9114ECA-6924-462E-B59C-BB06CC72DD3C}">
      <text>
        <r>
          <rPr>
            <b/>
            <sz val="9"/>
            <color indexed="81"/>
            <rFont val="Tahoma"/>
            <family val="2"/>
          </rPr>
          <t>Caroline Rossignol:</t>
        </r>
        <r>
          <rPr>
            <sz val="9"/>
            <color indexed="81"/>
            <rFont val="Tahoma"/>
            <family val="2"/>
          </rPr>
          <t xml:space="preserve">
inventaire - comptes fournisseurs</t>
        </r>
      </text>
    </comment>
    <comment ref="S2" authorId="0" shapeId="0" xr:uid="{D90204B0-DA3F-4F37-8478-9628EF68957E}">
      <text>
        <r>
          <rPr>
            <b/>
            <sz val="9"/>
            <color indexed="81"/>
            <rFont val="Tahoma"/>
            <family val="2"/>
          </rPr>
          <t>Caroline Rossignol:</t>
        </r>
        <r>
          <rPr>
            <sz val="9"/>
            <color indexed="81"/>
            <rFont val="Tahoma"/>
            <family val="2"/>
          </rPr>
          <t xml:space="preserve">
comptes clients</t>
        </r>
      </text>
    </comment>
    <comment ref="P3" authorId="0" shapeId="0" xr:uid="{A62D98E3-A5A1-470F-8AE8-F9D607F287B8}">
      <text>
        <r>
          <rPr>
            <b/>
            <sz val="9"/>
            <color indexed="81"/>
            <rFont val="Tahoma"/>
            <family val="2"/>
          </rPr>
          <t>Caroline Rossignol:</t>
        </r>
        <r>
          <rPr>
            <sz val="9"/>
            <color indexed="81"/>
            <rFont val="Tahoma"/>
            <family val="2"/>
          </rPr>
          <t xml:space="preserve">
commande + taxes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B3" authorId="0" shapeId="0" xr:uid="{90AA4271-FDA2-40E5-87D1-1009E1FC3F12}">
      <text>
        <r>
          <rPr>
            <b/>
            <sz val="9"/>
            <color indexed="81"/>
            <rFont val="Tahoma"/>
            <family val="2"/>
          </rPr>
          <t>Caroline Rossignol:</t>
        </r>
        <r>
          <rPr>
            <sz val="9"/>
            <color indexed="81"/>
            <rFont val="Tahoma"/>
            <family val="2"/>
          </rPr>
          <t xml:space="preserve">
outil ventes</t>
        </r>
      </text>
    </comment>
    <comment ref="B4" authorId="0" shapeId="0" xr:uid="{30C384D0-4D2D-4F71-A9A8-4DA08274E3F9}">
      <text>
        <r>
          <rPr>
            <b/>
            <sz val="9"/>
            <color indexed="81"/>
            <rFont val="Tahoma"/>
            <family val="2"/>
          </rPr>
          <t>Caroline Rossignol:</t>
        </r>
        <r>
          <rPr>
            <sz val="9"/>
            <color indexed="81"/>
            <rFont val="Tahoma"/>
            <family val="2"/>
          </rPr>
          <t xml:space="preserve">
insérer ce calcul dans votre outil - vente: volume unitaire x qté achetée pour chaque produit</t>
        </r>
      </text>
    </comment>
    <comment ref="B5" authorId="0" shapeId="0" xr:uid="{283A5D73-19D1-45DA-9873-64F66E49215C}">
      <text>
        <r>
          <rPr>
            <b/>
            <sz val="9"/>
            <color indexed="81"/>
            <rFont val="Tahoma"/>
            <family val="2"/>
          </rPr>
          <t>Caroline Rossignol:</t>
        </r>
        <r>
          <rPr>
            <sz val="9"/>
            <color indexed="81"/>
            <rFont val="Tahoma"/>
            <family val="2"/>
          </rPr>
          <t xml:space="preserve">
outil - vente</t>
        </r>
      </text>
    </comment>
    <comment ref="B6" authorId="0" shapeId="0" xr:uid="{B652F2FC-324E-419D-982D-CFDC4E31DF2B}">
      <text>
        <r>
          <rPr>
            <b/>
            <sz val="9"/>
            <color indexed="81"/>
            <rFont val="Tahoma"/>
            <family val="2"/>
          </rPr>
          <t>Caroline Rossignol:</t>
        </r>
        <r>
          <rPr>
            <sz val="9"/>
            <color indexed="81"/>
            <rFont val="Tahoma"/>
            <family val="2"/>
          </rPr>
          <t xml:space="preserve">
outil immo</t>
        </r>
      </text>
    </comment>
    <comment ref="B11" authorId="0" shapeId="0" xr:uid="{268D0ED4-1968-4811-AB5C-F0C9E5471611}">
      <text>
        <r>
          <rPr>
            <b/>
            <sz val="9"/>
            <color indexed="81"/>
            <rFont val="Tahoma"/>
            <family val="2"/>
          </rPr>
          <t>Caroline Rossignol:</t>
        </r>
        <r>
          <rPr>
            <sz val="9"/>
            <color indexed="81"/>
            <rFont val="Tahoma"/>
            <family val="2"/>
          </rPr>
          <t xml:space="preserve">
pas d'inventaire de début</t>
        </r>
      </text>
    </comment>
    <comment ref="B12" authorId="0" shapeId="0" xr:uid="{A54C0C2C-9ED7-4A0F-A348-CCB77141EB0E}">
      <text>
        <r>
          <rPr>
            <b/>
            <sz val="9"/>
            <color indexed="81"/>
            <rFont val="Tahoma"/>
            <family val="2"/>
          </rPr>
          <t>Caroline Rossignol:</t>
        </r>
        <r>
          <rPr>
            <sz val="9"/>
            <color indexed="81"/>
            <rFont val="Tahoma"/>
            <family val="2"/>
          </rPr>
          <t xml:space="preserve">
inv au bilan + autres commandes</t>
        </r>
      </text>
    </comment>
    <comment ref="I12" authorId="0" shapeId="0" xr:uid="{7669B964-A07A-49FD-A462-F16F3232B4A8}">
      <text>
        <r>
          <rPr>
            <b/>
            <sz val="9"/>
            <color indexed="81"/>
            <rFont val="Tahoma"/>
            <family val="2"/>
          </rPr>
          <t>Caroline Rossignol:</t>
        </r>
        <r>
          <rPr>
            <sz val="9"/>
            <color indexed="81"/>
            <rFont val="Tahoma"/>
            <family val="2"/>
          </rPr>
          <t xml:space="preserve">
TRIM = 13 semaines</t>
        </r>
      </text>
    </comment>
    <comment ref="B13" authorId="0" shapeId="0" xr:uid="{38814F8A-699C-4465-B253-4DE872D85010}">
      <text>
        <r>
          <rPr>
            <b/>
            <sz val="9"/>
            <color indexed="81"/>
            <rFont val="Tahoma"/>
            <family val="2"/>
          </rPr>
          <t>Caroline Rossignol:</t>
        </r>
        <r>
          <rPr>
            <sz val="9"/>
            <color indexed="81"/>
            <rFont val="Tahoma"/>
            <family val="2"/>
          </rPr>
          <t xml:space="preserve">
pour les autres commandes, pas la commande de départ</t>
        </r>
      </text>
    </comment>
    <comment ref="G13" authorId="0" shapeId="0" xr:uid="{617AFBA7-2334-4E8F-9DA1-34DD8555A4E4}">
      <text>
        <r>
          <rPr>
            <b/>
            <sz val="9"/>
            <color indexed="81"/>
            <rFont val="Tahoma"/>
            <family val="2"/>
          </rPr>
          <t>Caroline Rossignol:</t>
        </r>
        <r>
          <rPr>
            <sz val="9"/>
            <color indexed="81"/>
            <rFont val="Tahoma"/>
            <family val="2"/>
          </rPr>
          <t xml:space="preserve">
fixé votre salaire</t>
        </r>
      </text>
    </comment>
    <comment ref="B14" authorId="0" shapeId="0" xr:uid="{D8F81D7A-2C87-47EC-B332-BC1677DE9A55}">
      <text>
        <r>
          <rPr>
            <b/>
            <sz val="9"/>
            <color indexed="81"/>
            <rFont val="Tahoma"/>
            <family val="2"/>
          </rPr>
          <t>Caroline Rossignol:</t>
        </r>
        <r>
          <rPr>
            <sz val="9"/>
            <color indexed="81"/>
            <rFont val="Tahoma"/>
            <family val="2"/>
          </rPr>
          <t xml:space="preserve">
déjà caclulé dans votre Outil - ventes</t>
        </r>
      </text>
    </comment>
    <comment ref="H14" authorId="0" shapeId="0" xr:uid="{030D78EB-7143-444A-9D26-4035F3FD7E06}">
      <text>
        <r>
          <rPr>
            <b/>
            <sz val="9"/>
            <color indexed="81"/>
            <rFont val="Tahoma"/>
            <family val="2"/>
          </rPr>
          <t>Caroline Rossignol:</t>
        </r>
        <r>
          <rPr>
            <sz val="9"/>
            <color indexed="81"/>
            <rFont val="Tahoma"/>
            <family val="2"/>
          </rPr>
          <t xml:space="preserve">
unités vendues trim 1 / capacité</t>
        </r>
      </text>
    </comment>
    <comment ref="E17" authorId="0" shapeId="0" xr:uid="{25B4D6D6-128F-4902-965B-8145A56016FF}">
      <text>
        <r>
          <rPr>
            <b/>
            <sz val="9"/>
            <color indexed="81"/>
            <rFont val="Tahoma"/>
            <family val="2"/>
          </rPr>
          <t>Caroline Rossignol:</t>
        </r>
        <r>
          <rPr>
            <sz val="9"/>
            <color indexed="81"/>
            <rFont val="Tahoma"/>
            <family val="2"/>
          </rPr>
          <t xml:space="preserve">
capacité du chariot élévateur ou autre, tenter d'optimiser l'utilisation des équipements.</t>
        </r>
      </text>
    </comment>
    <comment ref="H17" authorId="0" shapeId="0" xr:uid="{D3DFBBA5-3730-4EC1-AECF-A461ADD6C1A8}">
      <text>
        <r>
          <rPr>
            <b/>
            <sz val="9"/>
            <color indexed="81"/>
            <rFont val="Tahoma"/>
            <family val="2"/>
          </rPr>
          <t>Caroline Rossignol:</t>
        </r>
        <r>
          <rPr>
            <sz val="9"/>
            <color indexed="81"/>
            <rFont val="Tahoma"/>
            <family val="2"/>
          </rPr>
          <t xml:space="preserve">
volume achetés / capacité
</t>
        </r>
      </text>
    </comment>
    <comment ref="H18" authorId="0" shapeId="0" xr:uid="{A573B93F-FDD8-4A81-8C89-E4C87717E256}">
      <text>
        <r>
          <rPr>
            <b/>
            <sz val="9"/>
            <color indexed="81"/>
            <rFont val="Tahoma"/>
            <family val="2"/>
          </rPr>
          <t>Caroline Rossignol:</t>
        </r>
        <r>
          <rPr>
            <sz val="9"/>
            <color indexed="81"/>
            <rFont val="Tahoma"/>
            <family val="2"/>
          </rPr>
          <t xml:space="preserve">
volume du bâtiment / capacité</t>
        </r>
      </text>
    </comment>
    <comment ref="H19" authorId="0" shapeId="0" xr:uid="{C3A8B3CD-8F5E-48DE-8566-41B9B998353A}">
      <text>
        <r>
          <rPr>
            <b/>
            <sz val="9"/>
            <color indexed="81"/>
            <rFont val="Tahoma"/>
            <family val="2"/>
          </rPr>
          <t>Caroline Rossignol:</t>
        </r>
        <r>
          <rPr>
            <sz val="9"/>
            <color indexed="81"/>
            <rFont val="Tahoma"/>
            <family val="2"/>
          </rPr>
          <t xml:space="preserve">
arrondi (une décimale)</t>
        </r>
      </text>
    </comment>
    <comment ref="B31" authorId="0" shapeId="0" xr:uid="{C8B7A559-38B5-43E1-BBB9-27E96DEAC84A}">
      <text>
        <r>
          <rPr>
            <b/>
            <sz val="9"/>
            <color indexed="81"/>
            <rFont val="Tahoma"/>
            <family val="2"/>
          </rPr>
          <t>Caroline Rossignol:</t>
        </r>
        <r>
          <rPr>
            <sz val="9"/>
            <color indexed="81"/>
            <rFont val="Tahoma"/>
            <family val="2"/>
          </rPr>
          <t xml:space="preserve">
emloyés concernés: vendeurs - caissiers - comptables - gestionnaire (plafond à l'entier)</t>
        </r>
      </text>
    </comment>
    <comment ref="A43" authorId="0" shapeId="0" xr:uid="{ECE6CA80-CDAE-4E45-B6AC-463B68247C7A}">
      <text>
        <r>
          <rPr>
            <b/>
            <sz val="9"/>
            <color indexed="81"/>
            <rFont val="Tahoma"/>
            <family val="2"/>
          </rPr>
          <t>Caroline Rossignol:</t>
        </r>
        <r>
          <rPr>
            <sz val="9"/>
            <color indexed="81"/>
            <rFont val="Tahoma"/>
            <family val="2"/>
          </rPr>
          <t xml:space="preserve">
Achat: 20$/an/m3
Location: 8$/an/m3</t>
        </r>
      </text>
    </comment>
    <comment ref="C49" authorId="0" shapeId="0" xr:uid="{F998FC2D-2FF3-4E17-B54D-ECCEEE78083F}">
      <text>
        <r>
          <rPr>
            <b/>
            <sz val="9"/>
            <color indexed="81"/>
            <rFont val="Tahoma"/>
            <family val="2"/>
          </rPr>
          <t>Caroline Rossignol:</t>
        </r>
        <r>
          <rPr>
            <sz val="9"/>
            <color indexed="81"/>
            <rFont val="Tahoma"/>
            <family val="2"/>
          </rPr>
          <t xml:space="preserve">
employés concernés: Gestionnaire - comptables et vendeurs</t>
        </r>
      </text>
    </comment>
    <comment ref="F54" authorId="0" shapeId="0" xr:uid="{11DF459F-D97A-451A-911D-70E12BB115FA}">
      <text>
        <r>
          <rPr>
            <b/>
            <sz val="9"/>
            <color indexed="81"/>
            <rFont val="Tahoma"/>
            <family val="2"/>
          </rPr>
          <t>Caroline Rossignol:</t>
        </r>
        <r>
          <rPr>
            <sz val="9"/>
            <color indexed="81"/>
            <rFont val="Tahoma"/>
            <family val="2"/>
          </rPr>
          <t xml:space="preserve">
12% X ventes projetées du mois 1</t>
        </r>
      </text>
    </comment>
    <comment ref="G61" authorId="0" shapeId="0" xr:uid="{7B2F55C3-BB3E-4425-A3DE-AA3228944DE6}">
      <text>
        <r>
          <rPr>
            <b/>
            <sz val="9"/>
            <color indexed="81"/>
            <rFont val="Tahoma"/>
            <family val="2"/>
          </rPr>
          <t>Caroline Rossignol:</t>
        </r>
        <r>
          <rPr>
            <sz val="9"/>
            <color indexed="81"/>
            <rFont val="Tahoma"/>
            <family val="2"/>
          </rPr>
          <t xml:space="preserve">
Inscrire le nombre d'employés dans la cellule grise
tous les employés sauf manutentionnaires et concierges</t>
        </r>
      </text>
    </comment>
    <comment ref="A64" authorId="0" shapeId="0" xr:uid="{25F72A73-0B60-4D98-844C-463FCD0C29DE}">
      <text>
        <r>
          <rPr>
            <b/>
            <sz val="9"/>
            <color indexed="81"/>
            <rFont val="Tahoma"/>
            <family val="2"/>
          </rPr>
          <t>Caroline Rossignol:</t>
        </r>
        <r>
          <rPr>
            <sz val="9"/>
            <color indexed="81"/>
            <rFont val="Tahoma"/>
            <family val="2"/>
          </rPr>
          <t xml:space="preserve">
coût du terrain et du bâtiment</t>
        </r>
      </text>
    </comment>
    <comment ref="F68" authorId="0" shapeId="0" xr:uid="{95C45EE6-FBC6-455B-92AA-F1780555D5A2}">
      <text>
        <r>
          <rPr>
            <b/>
            <sz val="9"/>
            <color indexed="81"/>
            <rFont val="Tahoma"/>
            <family val="2"/>
          </rPr>
          <t>Caroline Rossignol:</t>
        </r>
        <r>
          <rPr>
            <sz val="9"/>
            <color indexed="81"/>
            <rFont val="Tahoma"/>
            <family val="2"/>
          </rPr>
          <t xml:space="preserve">
15$/5000 produits vendus</t>
        </r>
      </text>
    </comment>
    <comment ref="C69" authorId="0" shapeId="0" xr:uid="{2D9DCDFF-5906-4028-9118-9A5F1D49D672}">
      <text>
        <r>
          <rPr>
            <b/>
            <sz val="9"/>
            <color indexed="81"/>
            <rFont val="Tahoma"/>
            <family val="2"/>
          </rPr>
          <t>Caroline Rossignol:</t>
        </r>
        <r>
          <rPr>
            <sz val="9"/>
            <color indexed="81"/>
            <rFont val="Tahoma"/>
            <family val="2"/>
          </rPr>
          <t xml:space="preserve">
aller chercher les valeurs des différents biens (voir montage financier)
</t>
        </r>
      </text>
    </comment>
    <comment ref="G91" authorId="0" shapeId="0" xr:uid="{D3069976-2701-4375-A971-A919B9836BE7}">
      <text>
        <r>
          <rPr>
            <b/>
            <sz val="9"/>
            <color indexed="81"/>
            <rFont val="Tahoma"/>
            <family val="2"/>
          </rPr>
          <t>Caroline Rossignol:</t>
        </r>
        <r>
          <rPr>
            <sz val="9"/>
            <color indexed="81"/>
            <rFont val="Tahoma"/>
            <family val="2"/>
          </rPr>
          <t xml:space="preserve">
du total des ventes en ligne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Jean Lupien</author>
  </authors>
  <commentList>
    <comment ref="D3" authorId="0" shapeId="0" xr:uid="{C3FF32C6-1108-4D4E-99B2-D409B6178D41}">
      <text>
        <r>
          <rPr>
            <b/>
            <sz val="9"/>
            <color indexed="81"/>
            <rFont val="Tahoma"/>
            <family val="2"/>
          </rPr>
          <t>Quelle est la valeur de votre emprunt ?  Combien empruntez-vous ?</t>
        </r>
      </text>
    </comment>
    <comment ref="L3" authorId="0" shapeId="0" xr:uid="{BA9F9CBA-DFFB-4B9E-BCA3-290C2AAA5CE7}">
      <text>
        <r>
          <rPr>
            <b/>
            <sz val="9"/>
            <color indexed="81"/>
            <rFont val="Tahoma"/>
            <family val="2"/>
          </rPr>
          <t>Quelle est la valeur de votre emprunt ?  Combien empruntez-vous ?</t>
        </r>
      </text>
    </comment>
    <comment ref="T3" authorId="0" shapeId="0" xr:uid="{E4C258B3-2518-4DF3-B8EF-42F3DCC74FF8}">
      <text>
        <r>
          <rPr>
            <b/>
            <sz val="9"/>
            <color indexed="81"/>
            <rFont val="Tahoma"/>
            <family val="2"/>
          </rPr>
          <t>Quelle est la valeur de votre emprunt ?  Combien empruntez-vous ?</t>
        </r>
      </text>
    </comment>
    <comment ref="AB3" authorId="0" shapeId="0" xr:uid="{800F1751-1014-4CDE-992B-B0DBD7E79F18}">
      <text>
        <r>
          <rPr>
            <b/>
            <sz val="9"/>
            <color indexed="81"/>
            <rFont val="Tahoma"/>
            <family val="2"/>
          </rPr>
          <t>Quelle est la valeur de votre emprunt ?  Combien empruntez-vous ?</t>
        </r>
      </text>
    </comment>
    <comment ref="D4" authorId="0" shapeId="0" xr:uid="{FE7F43E3-BC56-4FF3-879A-505EBD9ACBD2}">
      <text>
        <r>
          <rPr>
            <b/>
            <sz val="9"/>
            <color indexed="81"/>
            <rFont val="Tahoma"/>
            <family val="2"/>
          </rPr>
          <t>À quel taux annuel empruntez-vous ?</t>
        </r>
      </text>
    </comment>
    <comment ref="L4" authorId="0" shapeId="0" xr:uid="{61980892-7374-4757-B89F-5847F1BB56EC}">
      <text>
        <r>
          <rPr>
            <b/>
            <sz val="9"/>
            <color indexed="81"/>
            <rFont val="Tahoma"/>
            <family val="2"/>
          </rPr>
          <t>À quel taux annuel empruntez-vous ?</t>
        </r>
      </text>
    </comment>
    <comment ref="T4" authorId="0" shapeId="0" xr:uid="{460EC07E-35CF-42E1-A98E-F4E253E914E5}">
      <text>
        <r>
          <rPr>
            <b/>
            <sz val="9"/>
            <color indexed="81"/>
            <rFont val="Tahoma"/>
            <family val="2"/>
          </rPr>
          <t>À quel taux annuel empruntez-vous ?</t>
        </r>
      </text>
    </comment>
    <comment ref="AB4" authorId="0" shapeId="0" xr:uid="{FA8888CC-7BC7-43D2-91A1-057D8FFAD97B}">
      <text>
        <r>
          <rPr>
            <b/>
            <sz val="9"/>
            <color indexed="81"/>
            <rFont val="Tahoma"/>
            <family val="2"/>
          </rPr>
          <t>À quel taux annuel empruntez-vous ?</t>
        </r>
      </text>
    </comment>
    <comment ref="D5" authorId="0" shapeId="0" xr:uid="{7BB77EAF-EC58-4D5C-9B9B-CF08417E1A55}">
      <text>
        <r>
          <rPr>
            <b/>
            <sz val="9"/>
            <color indexed="81"/>
            <rFont val="Tahoma"/>
            <family val="2"/>
          </rPr>
          <t>Cet emprunt est pour combien d'années ?</t>
        </r>
      </text>
    </comment>
    <comment ref="L5" authorId="0" shapeId="0" xr:uid="{A70A7BAA-9891-4949-8C58-04A00273C873}">
      <text>
        <r>
          <rPr>
            <b/>
            <sz val="9"/>
            <color indexed="81"/>
            <rFont val="Tahoma"/>
            <family val="2"/>
          </rPr>
          <t>Cet emprunt est pour combien d'années ?</t>
        </r>
      </text>
    </comment>
    <comment ref="T5" authorId="0" shapeId="0" xr:uid="{2DCA3657-2B89-4A4F-97DB-6D5089B82C09}">
      <text>
        <r>
          <rPr>
            <b/>
            <sz val="9"/>
            <color indexed="81"/>
            <rFont val="Tahoma"/>
            <family val="2"/>
          </rPr>
          <t>Cet emprunt est pour combien d'années ?</t>
        </r>
      </text>
    </comment>
    <comment ref="AB5" authorId="0" shapeId="0" xr:uid="{5E833DCF-D86D-4798-BA7B-A4F94C754574}">
      <text>
        <r>
          <rPr>
            <b/>
            <sz val="9"/>
            <color indexed="81"/>
            <rFont val="Tahoma"/>
            <family val="2"/>
          </rPr>
          <t>Cet emprunt est pour combien d'années ?</t>
        </r>
      </text>
    </comment>
    <comment ref="D6" authorId="0" shapeId="0" xr:uid="{D1041547-BF28-44F8-B48A-39530242BF34}">
      <text>
        <r>
          <rPr>
            <b/>
            <sz val="9"/>
            <color indexed="81"/>
            <rFont val="Tahoma"/>
            <family val="2"/>
          </rPr>
          <t>Voici le montant que vous aurez à payer à chaque fin de mois à partir du moment de votre emprunt. Ce montant sera séparé en 2 portions : Remboursement du capital et Intérêts.</t>
        </r>
      </text>
    </comment>
    <comment ref="L6" authorId="0" shapeId="0" xr:uid="{027EF073-CF7B-4D70-9525-24E0B843C35D}">
      <text>
        <r>
          <rPr>
            <b/>
            <sz val="9"/>
            <color indexed="81"/>
            <rFont val="Tahoma"/>
            <family val="2"/>
          </rPr>
          <t>Voici le montant que vous aurez à payer à chaque fin de mois à partir du moment de votre emprunt. Ce montant sera séparé en 2 portions : Remboursement du capital et Intérêts.</t>
        </r>
      </text>
    </comment>
    <comment ref="T6" authorId="0" shapeId="0" xr:uid="{7B6ADEB7-18F9-4DC3-853F-C2C5C7255277}">
      <text>
        <r>
          <rPr>
            <b/>
            <sz val="9"/>
            <color indexed="81"/>
            <rFont val="Tahoma"/>
            <family val="2"/>
          </rPr>
          <t>Voici le montant que vous aurez à payer à chaque fin de mois à partir du moment de votre emprunt. Ce montant sera séparé en 2 portions : Remboursement du capital et Intérêts.</t>
        </r>
      </text>
    </comment>
    <comment ref="AB6" authorId="0" shapeId="0" xr:uid="{2334AE2E-4418-4E30-8EF2-3B165CBA79E8}">
      <text>
        <r>
          <rPr>
            <b/>
            <sz val="9"/>
            <color indexed="81"/>
            <rFont val="Tahoma"/>
            <family val="2"/>
          </rPr>
          <t>Voici le montant que vous aurez à payer à chaque fin de mois à partir du moment de votre emprunt. Ce montant sera séparé en 2 portions : Remboursement du capital et Intérêts.</t>
        </r>
      </text>
    </comment>
    <comment ref="B10" authorId="0" shapeId="0" xr:uid="{AA329917-4CD9-4131-9CCB-CFA4DD1131A0}">
      <text>
        <r>
          <rPr>
            <b/>
            <sz val="9"/>
            <color indexed="81"/>
            <rFont val="Tahoma"/>
            <family val="2"/>
          </rPr>
          <t>Vous pouvez inscrire les dates des versements ici.</t>
        </r>
      </text>
    </comment>
    <comment ref="C10" authorId="0" shapeId="0" xr:uid="{92CCC4EF-1527-4F5B-9FCF-27207D83A416}">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D10" authorId="0" shapeId="0" xr:uid="{84F87C32-E2AB-408F-8039-3565C0BF51B6}">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E10" authorId="0" shapeId="0" xr:uid="{2C23681E-D53A-4773-A185-FD376B718C0D}">
      <text>
        <r>
          <rPr>
            <b/>
            <sz val="9"/>
            <color indexed="81"/>
            <rFont val="Tahoma"/>
            <family val="2"/>
          </rPr>
          <t>Ici, se cumule les portions servant à rembourser votre capital.</t>
        </r>
      </text>
    </comment>
    <comment ref="F10" authorId="0" shapeId="0" xr:uid="{45C9F66D-6DB0-41B9-80F2-60B0B06F5FBD}">
      <text>
        <r>
          <rPr>
            <b/>
            <sz val="9"/>
            <color indexed="81"/>
            <rFont val="Tahoma"/>
            <family val="2"/>
          </rPr>
          <t>Ici se cumule les portions servant à payer l'intérêt sur votre emprunt.</t>
        </r>
      </text>
    </comment>
    <comment ref="G10" authorId="0" shapeId="0" xr:uid="{36AED2C9-A9D9-4D5A-AEE8-F1A0CEBF80C8}">
      <text>
        <r>
          <rPr>
            <b/>
            <sz val="9"/>
            <color indexed="81"/>
            <rFont val="Tahoma"/>
            <family val="2"/>
          </rPr>
          <t>Cette dernière colonne vous informe du solde de votre emprunt après le remboursement de la portion capital du mois.</t>
        </r>
      </text>
    </comment>
    <comment ref="J10" authorId="0" shapeId="0" xr:uid="{75E846FB-95B1-4FB3-9C6F-8FBDF3A813FF}">
      <text>
        <r>
          <rPr>
            <b/>
            <sz val="9"/>
            <color indexed="81"/>
            <rFont val="Tahoma"/>
            <family val="2"/>
          </rPr>
          <t>Vous pouvez inscrire les dates des versements ici.</t>
        </r>
      </text>
    </comment>
    <comment ref="K10" authorId="0" shapeId="0" xr:uid="{3C7858F7-8F4F-42A6-9182-4C9E6D6C6C70}">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L10" authorId="0" shapeId="0" xr:uid="{53530C13-F3ED-4345-918B-FD9DEE1C052A}">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M10" authorId="0" shapeId="0" xr:uid="{739FCE05-7AE8-4EF8-8986-90CB2216265B}">
      <text>
        <r>
          <rPr>
            <b/>
            <sz val="9"/>
            <color indexed="81"/>
            <rFont val="Tahoma"/>
            <family val="2"/>
          </rPr>
          <t>Ici, se cumule les portions servant à rembourser votre capital.</t>
        </r>
      </text>
    </comment>
    <comment ref="N10" authorId="0" shapeId="0" xr:uid="{F133FE94-3B05-44EC-8727-284B2E7CB861}">
      <text>
        <r>
          <rPr>
            <b/>
            <sz val="9"/>
            <color indexed="81"/>
            <rFont val="Tahoma"/>
            <family val="2"/>
          </rPr>
          <t>Ici se cumule les portions servant à payer l'intérêt sur votre emprunt.</t>
        </r>
      </text>
    </comment>
    <comment ref="O10" authorId="0" shapeId="0" xr:uid="{C01C9517-8880-43E0-A142-0A439EE66AF7}">
      <text>
        <r>
          <rPr>
            <b/>
            <sz val="9"/>
            <color indexed="81"/>
            <rFont val="Tahoma"/>
            <family val="2"/>
          </rPr>
          <t>Cette dernière colonne vous informe du solde de votre emprunt après le remboursement de la portion capital du mois.</t>
        </r>
      </text>
    </comment>
    <comment ref="R10" authorId="0" shapeId="0" xr:uid="{4DDDEE56-0E23-40EA-B832-C2731D804EF6}">
      <text>
        <r>
          <rPr>
            <b/>
            <sz val="9"/>
            <color indexed="81"/>
            <rFont val="Tahoma"/>
            <family val="2"/>
          </rPr>
          <t>Vous pouvez inscrire les dates des versements ici.</t>
        </r>
      </text>
    </comment>
    <comment ref="S10" authorId="0" shapeId="0" xr:uid="{E660B9F8-7C6A-4DF6-B0A6-11FAC9E19DE6}">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T10" authorId="0" shapeId="0" xr:uid="{EEBDED91-713F-4BEF-BB07-2FA29145E011}">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U10" authorId="0" shapeId="0" xr:uid="{63689F46-752C-47F5-B738-A174CC5E2243}">
      <text>
        <r>
          <rPr>
            <b/>
            <sz val="9"/>
            <color indexed="81"/>
            <rFont val="Tahoma"/>
            <family val="2"/>
          </rPr>
          <t>Ici, se cumule les portions servant à rembourser votre capital.</t>
        </r>
      </text>
    </comment>
    <comment ref="V10" authorId="0" shapeId="0" xr:uid="{F3D38153-A74F-4C4F-B763-9275071B56D6}">
      <text>
        <r>
          <rPr>
            <b/>
            <sz val="9"/>
            <color indexed="81"/>
            <rFont val="Tahoma"/>
            <family val="2"/>
          </rPr>
          <t>Ici se cumule les portions servant à payer l'intérêt sur votre emprunt.</t>
        </r>
      </text>
    </comment>
    <comment ref="W10" authorId="0" shapeId="0" xr:uid="{224473CC-41D3-4517-94A8-5D10326D7E83}">
      <text>
        <r>
          <rPr>
            <b/>
            <sz val="9"/>
            <color indexed="81"/>
            <rFont val="Tahoma"/>
            <family val="2"/>
          </rPr>
          <t>Cette dernière colonne vous informe du solde de votre emprunt après le remboursement de la portion capital du mois.</t>
        </r>
      </text>
    </comment>
    <comment ref="Z10" authorId="0" shapeId="0" xr:uid="{D13E1CB9-CD84-4ADD-B2BB-DE5C3A639D21}">
      <text>
        <r>
          <rPr>
            <b/>
            <sz val="9"/>
            <color indexed="81"/>
            <rFont val="Tahoma"/>
            <family val="2"/>
          </rPr>
          <t>Vous pouvez inscrire les dates des versements ici.</t>
        </r>
      </text>
    </comment>
    <comment ref="AA10" authorId="0" shapeId="0" xr:uid="{479F2138-8BF8-4CC7-B4AC-57D9498F7F28}">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AB10" authorId="0" shapeId="0" xr:uid="{B4C30FC9-DCFE-4F61-9092-1AF8D8C1ACE8}">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AC10" authorId="0" shapeId="0" xr:uid="{15AFBF05-2B86-4490-AAA0-EAD608DA68B5}">
      <text>
        <r>
          <rPr>
            <b/>
            <sz val="9"/>
            <color indexed="81"/>
            <rFont val="Tahoma"/>
            <family val="2"/>
          </rPr>
          <t>Ici, se cumule les portions servant à rembourser votre capital.</t>
        </r>
      </text>
    </comment>
    <comment ref="AD10" authorId="0" shapeId="0" xr:uid="{45AB63A2-E416-4943-AECF-913C2B7EE966}">
      <text>
        <r>
          <rPr>
            <b/>
            <sz val="9"/>
            <color indexed="81"/>
            <rFont val="Tahoma"/>
            <family val="2"/>
          </rPr>
          <t>Ici se cumule les portions servant à payer l'intérêt sur votre emprunt.</t>
        </r>
      </text>
    </comment>
    <comment ref="AE10" authorId="0" shapeId="0" xr:uid="{87615633-94CD-4CAA-87C3-4564399E38DB}">
      <text>
        <r>
          <rPr>
            <b/>
            <sz val="9"/>
            <color indexed="81"/>
            <rFont val="Tahoma"/>
            <family val="2"/>
          </rPr>
          <t>Cette dernière colonne vous informe du solde de votre emprunt après le remboursement de la portion capital du mois.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S19" authorId="0" shapeId="0" xr:uid="{F2FFF029-AB15-4481-BA0B-FC15B25E24F7}">
      <text>
        <r>
          <rPr>
            <b/>
            <sz val="9"/>
            <color indexed="81"/>
            <rFont val="Tahoma"/>
            <charset val="1"/>
          </rPr>
          <t>Caroline Rossignol:</t>
        </r>
        <r>
          <rPr>
            <sz val="9"/>
            <color indexed="81"/>
            <rFont val="Tahoma"/>
            <charset val="1"/>
          </rPr>
          <t xml:space="preserve">
marge avec volume d'un produit / marge total de l'ensemble des produits</t>
        </r>
      </text>
    </comment>
    <comment ref="F41" authorId="0" shapeId="0" xr:uid="{8158C9A0-5E51-4706-8D98-9CC39B04AA0B}">
      <text>
        <r>
          <rPr>
            <b/>
            <sz val="9"/>
            <color indexed="81"/>
            <rFont val="Tahoma"/>
            <charset val="1"/>
          </rPr>
          <t>Caroline Rossignol:</t>
        </r>
        <r>
          <rPr>
            <sz val="9"/>
            <color indexed="81"/>
            <rFont val="Tahoma"/>
            <charset val="1"/>
          </rPr>
          <t xml:space="preserve">
550$/150 m3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B3" authorId="0" shapeId="0" xr:uid="{EB332500-4E62-495E-AF71-7FCABA01BFC4}">
      <text>
        <r>
          <rPr>
            <sz val="9"/>
            <color indexed="81"/>
            <rFont val="Tahoma"/>
            <family val="2"/>
          </rPr>
          <t>Attention aux produits saisonniers!!!!</t>
        </r>
      </text>
    </comment>
    <comment ref="O3" authorId="0" shapeId="0" xr:uid="{A87E9B86-F237-4577-9404-081C6CB3E453}">
      <text>
        <r>
          <rPr>
            <b/>
            <sz val="9"/>
            <color indexed="81"/>
            <rFont val="Tahoma"/>
            <family val="2"/>
          </rPr>
          <t>Caroline Rossignol:</t>
        </r>
        <r>
          <rPr>
            <sz val="9"/>
            <color indexed="81"/>
            <rFont val="Tahoma"/>
            <family val="2"/>
          </rPr>
          <t xml:space="preserve">
Il faut ajuster les coûts qui ne sont pas ceux de votre simulation.</t>
        </r>
      </text>
    </comment>
    <comment ref="P5" authorId="0" shapeId="0" xr:uid="{2100758C-0EDC-4635-9F63-B97FD0568688}">
      <text>
        <r>
          <rPr>
            <b/>
            <sz val="9"/>
            <color indexed="81"/>
            <rFont val="Tahoma"/>
            <family val="2"/>
          </rPr>
          <t>Caroline Rossignol:</t>
        </r>
        <r>
          <rPr>
            <sz val="9"/>
            <color indexed="81"/>
            <rFont val="Tahoma"/>
            <family val="2"/>
          </rPr>
          <t xml:space="preserve">
arrondi.sup(cellule rose;0)</t>
        </r>
      </text>
    </comment>
    <comment ref="P7" authorId="0" shapeId="0" xr:uid="{FB932DDB-9613-4AAD-B505-76A68695FC5B}">
      <text>
        <r>
          <rPr>
            <b/>
            <sz val="9"/>
            <color indexed="81"/>
            <rFont val="Tahoma"/>
            <family val="2"/>
          </rPr>
          <t>Caroline Rossignol:</t>
        </r>
        <r>
          <rPr>
            <sz val="9"/>
            <color indexed="81"/>
            <rFont val="Tahoma"/>
            <family val="2"/>
          </rPr>
          <t xml:space="preserve">
M3/100 m3</t>
        </r>
      </text>
    </comment>
    <comment ref="J23" authorId="0" shapeId="0" xr:uid="{F370F3A9-1FAB-4CC0-901C-B5868BCD3E71}">
      <text>
        <r>
          <rPr>
            <b/>
            <sz val="9"/>
            <color indexed="81"/>
            <rFont val="Tahoma"/>
            <family val="2"/>
          </rPr>
          <t>Caroline Rossignol:</t>
        </r>
        <r>
          <rPr>
            <sz val="9"/>
            <color indexed="81"/>
            <rFont val="Tahoma"/>
            <family val="2"/>
          </rPr>
          <t xml:space="preserve">
arrondi.inf</t>
        </r>
      </text>
    </comment>
    <comment ref="H30" authorId="0" shapeId="0" xr:uid="{77B28178-0A13-4C85-A05F-E04FE6C28DC7}">
      <text>
        <r>
          <rPr>
            <b/>
            <sz val="9"/>
            <color indexed="81"/>
            <rFont val="Tahoma"/>
            <family val="2"/>
          </rPr>
          <t>Caroline Rossignol:</t>
        </r>
        <r>
          <rPr>
            <sz val="9"/>
            <color indexed="81"/>
            <rFont val="Tahoma"/>
            <family val="2"/>
          </rPr>
          <t xml:space="preserve">
</t>
        </r>
        <r>
          <rPr>
            <b/>
            <u/>
            <sz val="9"/>
            <color indexed="81"/>
            <rFont val="Tahoma"/>
            <family val="2"/>
          </rPr>
          <t>à mettre au bilan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B3" authorId="0" shapeId="0" xr:uid="{EFA65A73-AC91-4E2A-B0C2-4F24234BAC37}">
      <text>
        <r>
          <rPr>
            <b/>
            <sz val="9"/>
            <color indexed="81"/>
            <rFont val="Tahoma"/>
            <family val="2"/>
          </rPr>
          <t>Caroline Rossignol:</t>
        </r>
        <r>
          <rPr>
            <sz val="9"/>
            <color indexed="81"/>
            <rFont val="Tahoma"/>
            <family val="2"/>
          </rPr>
          <t xml:space="preserve">
outil ventes</t>
        </r>
      </text>
    </comment>
    <comment ref="B4" authorId="0" shapeId="0" xr:uid="{9869597C-944B-4963-AFDE-8B52AC861D30}">
      <text>
        <r>
          <rPr>
            <b/>
            <sz val="9"/>
            <color indexed="81"/>
            <rFont val="Tahoma"/>
            <family val="2"/>
          </rPr>
          <t>Caroline Rossignol:</t>
        </r>
        <r>
          <rPr>
            <sz val="9"/>
            <color indexed="81"/>
            <rFont val="Tahoma"/>
            <family val="2"/>
          </rPr>
          <t xml:space="preserve">
insérer ce calcul dans votre outil - vente: volume unitaire x qté achetée pour chaque produit</t>
        </r>
      </text>
    </comment>
    <comment ref="B5" authorId="0" shapeId="0" xr:uid="{A103C583-F537-494F-A6E4-004BD0458741}">
      <text>
        <r>
          <rPr>
            <b/>
            <sz val="9"/>
            <color indexed="81"/>
            <rFont val="Tahoma"/>
            <family val="2"/>
          </rPr>
          <t>Caroline Rossignol:</t>
        </r>
        <r>
          <rPr>
            <sz val="9"/>
            <color indexed="81"/>
            <rFont val="Tahoma"/>
            <family val="2"/>
          </rPr>
          <t xml:space="preserve">
outil - vente</t>
        </r>
      </text>
    </comment>
    <comment ref="B6" authorId="0" shapeId="0" xr:uid="{EC0ED756-1311-486E-9704-D3CAE99FCAF4}">
      <text>
        <r>
          <rPr>
            <b/>
            <sz val="9"/>
            <color indexed="81"/>
            <rFont val="Tahoma"/>
            <family val="2"/>
          </rPr>
          <t>Caroline Rossignol:</t>
        </r>
        <r>
          <rPr>
            <sz val="9"/>
            <color indexed="81"/>
            <rFont val="Tahoma"/>
            <family val="2"/>
          </rPr>
          <t xml:space="preserve">
outil immo</t>
        </r>
      </text>
    </comment>
    <comment ref="B11" authorId="0" shapeId="0" xr:uid="{35C3040F-DBDB-4436-AA41-FB26294B9982}">
      <text>
        <r>
          <rPr>
            <b/>
            <sz val="9"/>
            <color indexed="81"/>
            <rFont val="Tahoma"/>
            <family val="2"/>
          </rPr>
          <t>Caroline Rossignol:</t>
        </r>
        <r>
          <rPr>
            <sz val="9"/>
            <color indexed="81"/>
            <rFont val="Tahoma"/>
            <family val="2"/>
          </rPr>
          <t xml:space="preserve">
pas d'inventaire de début</t>
        </r>
      </text>
    </comment>
    <comment ref="B12" authorId="0" shapeId="0" xr:uid="{1BD3B117-DE11-4B78-9426-252C28BB9A45}">
      <text>
        <r>
          <rPr>
            <b/>
            <sz val="9"/>
            <color indexed="81"/>
            <rFont val="Tahoma"/>
            <family val="2"/>
          </rPr>
          <t>Caroline Rossignol:</t>
        </r>
        <r>
          <rPr>
            <sz val="9"/>
            <color indexed="81"/>
            <rFont val="Tahoma"/>
            <family val="2"/>
          </rPr>
          <t xml:space="preserve">
inv au bilan + autres commandes</t>
        </r>
      </text>
    </comment>
    <comment ref="I12" authorId="0" shapeId="0" xr:uid="{B80FD0E5-EABF-4F01-82DF-F73B0733D912}">
      <text>
        <r>
          <rPr>
            <b/>
            <sz val="9"/>
            <color indexed="81"/>
            <rFont val="Tahoma"/>
            <family val="2"/>
          </rPr>
          <t>Caroline Rossignol:</t>
        </r>
        <r>
          <rPr>
            <sz val="9"/>
            <color indexed="81"/>
            <rFont val="Tahoma"/>
            <family val="2"/>
          </rPr>
          <t xml:space="preserve">
TRIM = 13 semaines</t>
        </r>
      </text>
    </comment>
    <comment ref="B13" authorId="0" shapeId="0" xr:uid="{A65307F3-3069-4A52-A729-B096ECF7285A}">
      <text>
        <r>
          <rPr>
            <b/>
            <sz val="9"/>
            <color indexed="81"/>
            <rFont val="Tahoma"/>
            <family val="2"/>
          </rPr>
          <t>Caroline Rossignol:</t>
        </r>
        <r>
          <rPr>
            <sz val="9"/>
            <color indexed="81"/>
            <rFont val="Tahoma"/>
            <family val="2"/>
          </rPr>
          <t xml:space="preserve">
pour les autres commandes, pas la commande de départ</t>
        </r>
      </text>
    </comment>
    <comment ref="G13" authorId="0" shapeId="0" xr:uid="{76F87708-3736-42EF-89AE-0C1AF4051C89}">
      <text>
        <r>
          <rPr>
            <b/>
            <sz val="9"/>
            <color indexed="81"/>
            <rFont val="Tahoma"/>
            <family val="2"/>
          </rPr>
          <t>Caroline Rossignol:</t>
        </r>
        <r>
          <rPr>
            <sz val="9"/>
            <color indexed="81"/>
            <rFont val="Tahoma"/>
            <family val="2"/>
          </rPr>
          <t xml:space="preserve">
fixé votre salaire</t>
        </r>
      </text>
    </comment>
    <comment ref="B14" authorId="0" shapeId="0" xr:uid="{BC3BB25B-BFA5-40C8-A124-5056190018DF}">
      <text>
        <r>
          <rPr>
            <b/>
            <sz val="9"/>
            <color indexed="81"/>
            <rFont val="Tahoma"/>
            <family val="2"/>
          </rPr>
          <t>Caroline Rossignol:</t>
        </r>
        <r>
          <rPr>
            <sz val="9"/>
            <color indexed="81"/>
            <rFont val="Tahoma"/>
            <family val="2"/>
          </rPr>
          <t xml:space="preserve">
déjà caclulé dans votre Outil - ventes</t>
        </r>
      </text>
    </comment>
    <comment ref="H14" authorId="0" shapeId="0" xr:uid="{502B1D78-1C88-4B1F-ACD3-5427DBD1ABEF}">
      <text>
        <r>
          <rPr>
            <b/>
            <sz val="9"/>
            <color indexed="81"/>
            <rFont val="Tahoma"/>
            <family val="2"/>
          </rPr>
          <t>Caroline Rossignol:</t>
        </r>
        <r>
          <rPr>
            <sz val="9"/>
            <color indexed="81"/>
            <rFont val="Tahoma"/>
            <family val="2"/>
          </rPr>
          <t xml:space="preserve">
unités vendues trim 1 / capacité</t>
        </r>
      </text>
    </comment>
    <comment ref="E17" authorId="0" shapeId="0" xr:uid="{5B84DC19-FFE8-4C56-96EB-EFEF1082F3EF}">
      <text>
        <r>
          <rPr>
            <b/>
            <sz val="9"/>
            <color indexed="81"/>
            <rFont val="Tahoma"/>
            <family val="2"/>
          </rPr>
          <t>Caroline Rossignol:</t>
        </r>
        <r>
          <rPr>
            <sz val="9"/>
            <color indexed="81"/>
            <rFont val="Tahoma"/>
            <family val="2"/>
          </rPr>
          <t xml:space="preserve">
capacité du chariot élévateur ou autre, tenter d'optimiser l'utilisation des équipements.</t>
        </r>
      </text>
    </comment>
    <comment ref="H17" authorId="0" shapeId="0" xr:uid="{15B40A58-3616-496B-B330-0D41CD150B85}">
      <text>
        <r>
          <rPr>
            <b/>
            <sz val="9"/>
            <color indexed="81"/>
            <rFont val="Tahoma"/>
            <family val="2"/>
          </rPr>
          <t>Caroline Rossignol:</t>
        </r>
        <r>
          <rPr>
            <sz val="9"/>
            <color indexed="81"/>
            <rFont val="Tahoma"/>
            <family val="2"/>
          </rPr>
          <t xml:space="preserve">
volume achetés / capacité
</t>
        </r>
      </text>
    </comment>
    <comment ref="H18" authorId="0" shapeId="0" xr:uid="{A163213B-0BE1-4145-BA69-1FBAD1383771}">
      <text>
        <r>
          <rPr>
            <b/>
            <sz val="9"/>
            <color indexed="81"/>
            <rFont val="Tahoma"/>
            <family val="2"/>
          </rPr>
          <t>Caroline Rossignol:</t>
        </r>
        <r>
          <rPr>
            <sz val="9"/>
            <color indexed="81"/>
            <rFont val="Tahoma"/>
            <family val="2"/>
          </rPr>
          <t xml:space="preserve">
volume du bâtiment / capacité</t>
        </r>
      </text>
    </comment>
    <comment ref="H19" authorId="0" shapeId="0" xr:uid="{39889C3F-FEA7-43DC-984E-C2A67E7B6EF4}">
      <text>
        <r>
          <rPr>
            <b/>
            <sz val="9"/>
            <color indexed="81"/>
            <rFont val="Tahoma"/>
            <family val="2"/>
          </rPr>
          <t>Caroline Rossignol:</t>
        </r>
        <r>
          <rPr>
            <sz val="9"/>
            <color indexed="81"/>
            <rFont val="Tahoma"/>
            <family val="2"/>
          </rPr>
          <t xml:space="preserve">
arrondi (une décimale)</t>
        </r>
      </text>
    </comment>
    <comment ref="B31" authorId="0" shapeId="0" xr:uid="{D9A04D81-7EF2-4A4F-BB9A-4417A010C235}">
      <text>
        <r>
          <rPr>
            <b/>
            <sz val="9"/>
            <color indexed="81"/>
            <rFont val="Tahoma"/>
            <family val="2"/>
          </rPr>
          <t>Caroline Rossignol:</t>
        </r>
        <r>
          <rPr>
            <sz val="9"/>
            <color indexed="81"/>
            <rFont val="Tahoma"/>
            <family val="2"/>
          </rPr>
          <t xml:space="preserve">
emloyés concernés: vendeurs - caissiers - comptables - gestionnaire (plafond à l'entier)</t>
        </r>
      </text>
    </comment>
    <comment ref="A43" authorId="0" shapeId="0" xr:uid="{B5BD67C2-3B13-4AFD-A408-761D6A79649E}">
      <text>
        <r>
          <rPr>
            <b/>
            <sz val="9"/>
            <color indexed="81"/>
            <rFont val="Tahoma"/>
            <family val="2"/>
          </rPr>
          <t>Caroline Rossignol:</t>
        </r>
        <r>
          <rPr>
            <sz val="9"/>
            <color indexed="81"/>
            <rFont val="Tahoma"/>
            <family val="2"/>
          </rPr>
          <t xml:space="preserve">
Achat: 20$/an/m3
Location: 8$/an/m3</t>
        </r>
      </text>
    </comment>
    <comment ref="C49" authorId="0" shapeId="0" xr:uid="{FC33D296-6BBB-4B7A-8980-BB36F599C6D7}">
      <text>
        <r>
          <rPr>
            <b/>
            <sz val="9"/>
            <color indexed="81"/>
            <rFont val="Tahoma"/>
            <family val="2"/>
          </rPr>
          <t>Caroline Rossignol:</t>
        </r>
        <r>
          <rPr>
            <sz val="9"/>
            <color indexed="81"/>
            <rFont val="Tahoma"/>
            <family val="2"/>
          </rPr>
          <t xml:space="preserve">
employés concernés: Gestionnaire - comptables et vendeurs</t>
        </r>
      </text>
    </comment>
    <comment ref="F54" authorId="0" shapeId="0" xr:uid="{7EB0BF51-BF36-400B-9EDE-9E0D1D47EC80}">
      <text>
        <r>
          <rPr>
            <b/>
            <sz val="9"/>
            <color indexed="81"/>
            <rFont val="Tahoma"/>
            <family val="2"/>
          </rPr>
          <t>Caroline Rossignol:</t>
        </r>
        <r>
          <rPr>
            <sz val="9"/>
            <color indexed="81"/>
            <rFont val="Tahoma"/>
            <family val="2"/>
          </rPr>
          <t xml:space="preserve">
12% X ventes projetées du mois 1</t>
        </r>
      </text>
    </comment>
    <comment ref="G61" authorId="0" shapeId="0" xr:uid="{8DDA01AE-92DA-4137-92DD-7B514E86DC76}">
      <text>
        <r>
          <rPr>
            <b/>
            <sz val="9"/>
            <color indexed="81"/>
            <rFont val="Tahoma"/>
            <family val="2"/>
          </rPr>
          <t>Caroline Rossignol:</t>
        </r>
        <r>
          <rPr>
            <sz val="9"/>
            <color indexed="81"/>
            <rFont val="Tahoma"/>
            <family val="2"/>
          </rPr>
          <t xml:space="preserve">
Inscrire le nombre d'employés dans la cellule grise
tous les employés sauf manutentionnaires et concierges</t>
        </r>
      </text>
    </comment>
    <comment ref="A64" authorId="0" shapeId="0" xr:uid="{6B5A080E-35B5-4AFC-83D7-DDEE6E2D8DA5}">
      <text>
        <r>
          <rPr>
            <b/>
            <sz val="9"/>
            <color indexed="81"/>
            <rFont val="Tahoma"/>
            <family val="2"/>
          </rPr>
          <t>Caroline Rossignol:</t>
        </r>
        <r>
          <rPr>
            <sz val="9"/>
            <color indexed="81"/>
            <rFont val="Tahoma"/>
            <family val="2"/>
          </rPr>
          <t xml:space="preserve">
coût du terrain et du bâtiment</t>
        </r>
      </text>
    </comment>
    <comment ref="F72" authorId="0" shapeId="0" xr:uid="{98E903B0-0709-4CC3-9667-FBBA9DF50C9C}">
      <text>
        <r>
          <rPr>
            <b/>
            <sz val="9"/>
            <color indexed="81"/>
            <rFont val="Tahoma"/>
            <family val="2"/>
          </rPr>
          <t>Caroline Rossignol:</t>
        </r>
        <r>
          <rPr>
            <sz val="9"/>
            <color indexed="81"/>
            <rFont val="Tahoma"/>
            <family val="2"/>
          </rPr>
          <t xml:space="preserve">
15$/5000 produits vendus</t>
        </r>
      </text>
    </comment>
    <comment ref="C73" authorId="0" shapeId="0" xr:uid="{E8A65DDF-1BF3-40C4-8EC9-7DB1F6712978}">
      <text>
        <r>
          <rPr>
            <b/>
            <sz val="9"/>
            <color indexed="81"/>
            <rFont val="Tahoma"/>
            <family val="2"/>
          </rPr>
          <t>Caroline Rossignol:</t>
        </r>
        <r>
          <rPr>
            <sz val="9"/>
            <color indexed="81"/>
            <rFont val="Tahoma"/>
            <family val="2"/>
          </rPr>
          <t xml:space="preserve">
aller chercher les valeurs des différents biens (voir montage financier)
</t>
        </r>
      </text>
    </comment>
    <comment ref="G95" authorId="0" shapeId="0" xr:uid="{2EB13BF3-85F2-4218-8410-CD4E5D71D7B7}">
      <text>
        <r>
          <rPr>
            <b/>
            <sz val="9"/>
            <color indexed="81"/>
            <rFont val="Tahoma"/>
            <family val="2"/>
          </rPr>
          <t>Caroline Rossignol:</t>
        </r>
        <r>
          <rPr>
            <sz val="9"/>
            <color indexed="81"/>
            <rFont val="Tahoma"/>
            <family val="2"/>
          </rPr>
          <t xml:space="preserve">
du total des ventes en ligne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Jean Lupien</author>
  </authors>
  <commentList>
    <comment ref="D3" authorId="0" shapeId="0" xr:uid="{92D95690-DA2D-4E9D-BC05-58066499C736}">
      <text>
        <r>
          <rPr>
            <b/>
            <sz val="9"/>
            <color indexed="81"/>
            <rFont val="Tahoma"/>
            <family val="2"/>
          </rPr>
          <t>Quelle est la valeur de votre emprunt ?  Combien empruntez-vous ?</t>
        </r>
      </text>
    </comment>
    <comment ref="L3" authorId="0" shapeId="0" xr:uid="{298E14CE-116A-416F-BD5B-5C85E40E39E8}">
      <text>
        <r>
          <rPr>
            <b/>
            <sz val="9"/>
            <color indexed="81"/>
            <rFont val="Tahoma"/>
            <family val="2"/>
          </rPr>
          <t>Quelle est la valeur de votre emprunt ?  Combien empruntez-vous ?</t>
        </r>
      </text>
    </comment>
    <comment ref="T3" authorId="0" shapeId="0" xr:uid="{1312B1C8-5B5C-4480-88F1-0AA99AE5A13D}">
      <text>
        <r>
          <rPr>
            <b/>
            <sz val="9"/>
            <color indexed="81"/>
            <rFont val="Tahoma"/>
            <family val="2"/>
          </rPr>
          <t>Quelle est la valeur de votre emprunt ?  Combien empruntez-vous ?</t>
        </r>
      </text>
    </comment>
    <comment ref="AB3" authorId="0" shapeId="0" xr:uid="{4A6AC3F0-D80F-4068-971F-AB247569C578}">
      <text>
        <r>
          <rPr>
            <b/>
            <sz val="9"/>
            <color indexed="81"/>
            <rFont val="Tahoma"/>
            <family val="2"/>
          </rPr>
          <t>Quelle est la valeur de votre emprunt ?  Combien empruntez-vous ?</t>
        </r>
      </text>
    </comment>
    <comment ref="D4" authorId="0" shapeId="0" xr:uid="{CA9CA54E-AEED-4806-9D37-6029ADE5EDB6}">
      <text>
        <r>
          <rPr>
            <b/>
            <sz val="9"/>
            <color indexed="81"/>
            <rFont val="Tahoma"/>
            <family val="2"/>
          </rPr>
          <t>À quel taux annuel empruntez-vous ?</t>
        </r>
      </text>
    </comment>
    <comment ref="L4" authorId="0" shapeId="0" xr:uid="{E8CECB64-1639-45A3-9781-075894B40D24}">
      <text>
        <r>
          <rPr>
            <b/>
            <sz val="9"/>
            <color indexed="81"/>
            <rFont val="Tahoma"/>
            <family val="2"/>
          </rPr>
          <t>À quel taux annuel empruntez-vous ?</t>
        </r>
      </text>
    </comment>
    <comment ref="T4" authorId="0" shapeId="0" xr:uid="{AC795F43-C567-40BC-A23A-8054EE164D17}">
      <text>
        <r>
          <rPr>
            <b/>
            <sz val="9"/>
            <color indexed="81"/>
            <rFont val="Tahoma"/>
            <family val="2"/>
          </rPr>
          <t>À quel taux annuel empruntez-vous ?</t>
        </r>
      </text>
    </comment>
    <comment ref="AB4" authorId="0" shapeId="0" xr:uid="{8BC45D06-0E59-42F0-94C6-FA8BFABBD198}">
      <text>
        <r>
          <rPr>
            <b/>
            <sz val="9"/>
            <color indexed="81"/>
            <rFont val="Tahoma"/>
            <family val="2"/>
          </rPr>
          <t>À quel taux annuel empruntez-vous ?</t>
        </r>
      </text>
    </comment>
    <comment ref="D5" authorId="0" shapeId="0" xr:uid="{7A569A46-A0BA-4215-8E00-DA1D7D823F27}">
      <text>
        <r>
          <rPr>
            <b/>
            <sz val="9"/>
            <color indexed="81"/>
            <rFont val="Tahoma"/>
            <family val="2"/>
          </rPr>
          <t>Cet emprunt est pour combien d'années ?</t>
        </r>
      </text>
    </comment>
    <comment ref="L5" authorId="0" shapeId="0" xr:uid="{A06857C9-3B29-4DC7-9989-486F8513CA1A}">
      <text>
        <r>
          <rPr>
            <b/>
            <sz val="9"/>
            <color indexed="81"/>
            <rFont val="Tahoma"/>
            <family val="2"/>
          </rPr>
          <t>Cet emprunt est pour combien d'années ?</t>
        </r>
      </text>
    </comment>
    <comment ref="T5" authorId="0" shapeId="0" xr:uid="{CD9B17DF-90E7-4526-AC19-AAA680F126CB}">
      <text>
        <r>
          <rPr>
            <b/>
            <sz val="9"/>
            <color indexed="81"/>
            <rFont val="Tahoma"/>
            <family val="2"/>
          </rPr>
          <t>Cet emprunt est pour combien d'années ?</t>
        </r>
      </text>
    </comment>
    <comment ref="AB5" authorId="0" shapeId="0" xr:uid="{4729F102-3841-472E-A091-68B68F2DAF51}">
      <text>
        <r>
          <rPr>
            <b/>
            <sz val="9"/>
            <color indexed="81"/>
            <rFont val="Tahoma"/>
            <family val="2"/>
          </rPr>
          <t>Cet emprunt est pour combien d'années ?</t>
        </r>
      </text>
    </comment>
    <comment ref="D6" authorId="0" shapeId="0" xr:uid="{4913DA08-1776-4960-BF3D-46CDEAA59CF3}">
      <text>
        <r>
          <rPr>
            <b/>
            <sz val="9"/>
            <color indexed="81"/>
            <rFont val="Tahoma"/>
            <family val="2"/>
          </rPr>
          <t>Voici le montant que vous aurez à payer à chaque fin de mois à partir du moment de votre emprunt. Ce montant sera séparé en 2 portions : Remboursement du capital et Intérêts.</t>
        </r>
      </text>
    </comment>
    <comment ref="L6" authorId="0" shapeId="0" xr:uid="{CC027B6F-2C7C-4AD6-9FEB-E72FFC2F0924}">
      <text>
        <r>
          <rPr>
            <b/>
            <sz val="9"/>
            <color indexed="81"/>
            <rFont val="Tahoma"/>
            <family val="2"/>
          </rPr>
          <t>Voici le montant que vous aurez à payer à chaque fin de mois à partir du moment de votre emprunt. Ce montant sera séparé en 2 portions : Remboursement du capital et Intérêts.</t>
        </r>
      </text>
    </comment>
    <comment ref="T6" authorId="0" shapeId="0" xr:uid="{4303347E-FA93-4ADF-AAF4-5A221C6B23FA}">
      <text>
        <r>
          <rPr>
            <b/>
            <sz val="9"/>
            <color indexed="81"/>
            <rFont val="Tahoma"/>
            <family val="2"/>
          </rPr>
          <t>Voici le montant que vous aurez à payer à chaque fin de mois à partir du moment de votre emprunt. Ce montant sera séparé en 2 portions : Remboursement du capital et Intérêts.</t>
        </r>
      </text>
    </comment>
    <comment ref="AB6" authorId="0" shapeId="0" xr:uid="{A11C3751-B86B-4BEE-BDD6-6EBFA94508EC}">
      <text>
        <r>
          <rPr>
            <b/>
            <sz val="9"/>
            <color indexed="81"/>
            <rFont val="Tahoma"/>
            <family val="2"/>
          </rPr>
          <t>Voici le montant que vous aurez à payer à chaque fin de mois à partir du moment de votre emprunt. Ce montant sera séparé en 2 portions : Remboursement du capital et Intérêts.</t>
        </r>
      </text>
    </comment>
    <comment ref="B10" authorId="0" shapeId="0" xr:uid="{E4AF0CAB-F583-4DCA-B4BF-38478E8814D0}">
      <text>
        <r>
          <rPr>
            <b/>
            <sz val="9"/>
            <color indexed="81"/>
            <rFont val="Tahoma"/>
            <family val="2"/>
          </rPr>
          <t>Vous pouvez inscrire les dates des versements ici.</t>
        </r>
      </text>
    </comment>
    <comment ref="C10" authorId="0" shapeId="0" xr:uid="{5493A3AA-C17B-4E5C-B9C2-DF2CC37FE20D}">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D10" authorId="0" shapeId="0" xr:uid="{9D3A2912-84ED-458F-B886-7967B2D03F59}">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E10" authorId="0" shapeId="0" xr:uid="{52CB4F84-D788-4807-BC0F-8DA1EB3F0A48}">
      <text>
        <r>
          <rPr>
            <b/>
            <sz val="9"/>
            <color indexed="81"/>
            <rFont val="Tahoma"/>
            <family val="2"/>
          </rPr>
          <t>Ici, se cumule les portions servant à rembourser votre capital.</t>
        </r>
      </text>
    </comment>
    <comment ref="F10" authorId="0" shapeId="0" xr:uid="{33A7D4C0-56B7-4522-B63A-35F0BC6F140A}">
      <text>
        <r>
          <rPr>
            <b/>
            <sz val="9"/>
            <color indexed="81"/>
            <rFont val="Tahoma"/>
            <family val="2"/>
          </rPr>
          <t>Ici se cumule les portions servant à payer l'intérêt sur votre emprunt.</t>
        </r>
      </text>
    </comment>
    <comment ref="G10" authorId="0" shapeId="0" xr:uid="{E5C71AA5-5EAD-42B2-B7EA-EA8BC762A4F2}">
      <text>
        <r>
          <rPr>
            <b/>
            <sz val="9"/>
            <color indexed="81"/>
            <rFont val="Tahoma"/>
            <family val="2"/>
          </rPr>
          <t>Cette dernière colonne vous informe du solde de votre emprunt après le remboursement de la portion capital du mois.</t>
        </r>
      </text>
    </comment>
    <comment ref="J10" authorId="0" shapeId="0" xr:uid="{F4D85A36-EB61-4EF9-B0C7-3A50FCA8270A}">
      <text>
        <r>
          <rPr>
            <b/>
            <sz val="9"/>
            <color indexed="81"/>
            <rFont val="Tahoma"/>
            <family val="2"/>
          </rPr>
          <t>Vous pouvez inscrire les dates des versements ici.</t>
        </r>
      </text>
    </comment>
    <comment ref="K10" authorId="0" shapeId="0" xr:uid="{DD0AD019-538D-40B9-8D9C-29C7813B8A2C}">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L10" authorId="0" shapeId="0" xr:uid="{3E8B9D45-64CB-4756-9E09-140DAACB591B}">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M10" authorId="0" shapeId="0" xr:uid="{0D330EB3-624B-4C86-9DE0-0CEC8591E420}">
      <text>
        <r>
          <rPr>
            <b/>
            <sz val="9"/>
            <color indexed="81"/>
            <rFont val="Tahoma"/>
            <family val="2"/>
          </rPr>
          <t>Ici, se cumule les portions servant à rembourser votre capital.</t>
        </r>
      </text>
    </comment>
    <comment ref="N10" authorId="0" shapeId="0" xr:uid="{2236EEAE-6377-4B5C-B951-1BE28020E14C}">
      <text>
        <r>
          <rPr>
            <b/>
            <sz val="9"/>
            <color indexed="81"/>
            <rFont val="Tahoma"/>
            <family val="2"/>
          </rPr>
          <t>Ici se cumule les portions servant à payer l'intérêt sur votre emprunt.</t>
        </r>
      </text>
    </comment>
    <comment ref="O10" authorId="0" shapeId="0" xr:uid="{8E976C2F-733E-4154-83F7-9EAC9E7878D9}">
      <text>
        <r>
          <rPr>
            <b/>
            <sz val="9"/>
            <color indexed="81"/>
            <rFont val="Tahoma"/>
            <family val="2"/>
          </rPr>
          <t>Cette dernière colonne vous informe du solde de votre emprunt après le remboursement de la portion capital du mois.</t>
        </r>
      </text>
    </comment>
    <comment ref="R10" authorId="0" shapeId="0" xr:uid="{CFCDA8D7-CE21-4A0D-90F6-AE224BA7D39A}">
      <text>
        <r>
          <rPr>
            <b/>
            <sz val="9"/>
            <color indexed="81"/>
            <rFont val="Tahoma"/>
            <family val="2"/>
          </rPr>
          <t>Vous pouvez inscrire les dates des versements ici.</t>
        </r>
      </text>
    </comment>
    <comment ref="S10" authorId="0" shapeId="0" xr:uid="{6E549E2F-A0C4-45BB-B69F-044D404DE620}">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T10" authorId="0" shapeId="0" xr:uid="{227068E3-2C7F-41F8-ADF2-782CD7E5C30E}">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U10" authorId="0" shapeId="0" xr:uid="{2DCD787D-1BD0-4493-B7E9-C496B190F074}">
      <text>
        <r>
          <rPr>
            <b/>
            <sz val="9"/>
            <color indexed="81"/>
            <rFont val="Tahoma"/>
            <family val="2"/>
          </rPr>
          <t>Ici, se cumule les portions servant à rembourser votre capital.</t>
        </r>
      </text>
    </comment>
    <comment ref="V10" authorId="0" shapeId="0" xr:uid="{5E35319C-7724-4804-93A4-38CD0E5696E9}">
      <text>
        <r>
          <rPr>
            <b/>
            <sz val="9"/>
            <color indexed="81"/>
            <rFont val="Tahoma"/>
            <family val="2"/>
          </rPr>
          <t>Ici se cumule les portions servant à payer l'intérêt sur votre emprunt.</t>
        </r>
      </text>
    </comment>
    <comment ref="W10" authorId="0" shapeId="0" xr:uid="{4A5C7273-D7C8-4757-9E16-A245742A7D1B}">
      <text>
        <r>
          <rPr>
            <b/>
            <sz val="9"/>
            <color indexed="81"/>
            <rFont val="Tahoma"/>
            <family val="2"/>
          </rPr>
          <t>Cette dernière colonne vous informe du solde de votre emprunt après le remboursement de la portion capital du mois.</t>
        </r>
      </text>
    </comment>
    <comment ref="Z10" authorId="0" shapeId="0" xr:uid="{59CE6D17-C65A-4635-BB57-3941D809F187}">
      <text>
        <r>
          <rPr>
            <b/>
            <sz val="9"/>
            <color indexed="81"/>
            <rFont val="Tahoma"/>
            <family val="2"/>
          </rPr>
          <t>Vous pouvez inscrire les dates des versements ici.</t>
        </r>
      </text>
    </comment>
    <comment ref="AA10" authorId="0" shapeId="0" xr:uid="{0F40EF1F-BD89-419B-BDBC-C182EBEC8043}">
      <text>
        <r>
          <rPr>
            <b/>
            <sz val="9"/>
            <color indexed="81"/>
            <rFont val="Tahoma"/>
            <family val="2"/>
          </rPr>
          <t>Voici la portion de votre versement mensuel qui servira à rembourser le capital de votre emprunt. Le capital est le montant que vous avez empruntez. Cette portion du versement va en augmentant.</t>
        </r>
      </text>
    </comment>
    <comment ref="AB10" authorId="0" shapeId="0" xr:uid="{5D92D3E4-E917-40FE-8547-8E9490255C36}">
      <text>
        <r>
          <rPr>
            <b/>
            <sz val="9"/>
            <color indexed="81"/>
            <rFont val="Tahoma"/>
            <family val="2"/>
          </rPr>
          <t>Voici la portion de votre versement mensuel qui représente le coût en intérêt pour le mois 1.  Cette protion diminue avec le temps car le solde de notre emprunt diminue. Donc, on a moins d'intérêt à payer.</t>
        </r>
      </text>
    </comment>
    <comment ref="AC10" authorId="0" shapeId="0" xr:uid="{07E9F058-66F7-454F-A134-5B46D62A4ECD}">
      <text>
        <r>
          <rPr>
            <b/>
            <sz val="9"/>
            <color indexed="81"/>
            <rFont val="Tahoma"/>
            <family val="2"/>
          </rPr>
          <t>Ici, se cumule les portions servant à rembourser votre capital.</t>
        </r>
      </text>
    </comment>
    <comment ref="AD10" authorId="0" shapeId="0" xr:uid="{E014789B-C3BF-4409-8D61-2F4F95336173}">
      <text>
        <r>
          <rPr>
            <b/>
            <sz val="9"/>
            <color indexed="81"/>
            <rFont val="Tahoma"/>
            <family val="2"/>
          </rPr>
          <t>Ici se cumule les portions servant à payer l'intérêt sur votre emprunt.</t>
        </r>
      </text>
    </comment>
    <comment ref="AE10" authorId="0" shapeId="0" xr:uid="{6A45662D-784C-44A6-AAAB-0130D013E3AD}">
      <text>
        <r>
          <rPr>
            <b/>
            <sz val="9"/>
            <color indexed="81"/>
            <rFont val="Tahoma"/>
            <family val="2"/>
          </rPr>
          <t>Cette dernière colonne vous informe du solde de votre emprunt après le remboursement de la portion capital du mois.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Caroline Rossignol</author>
  </authors>
  <commentList>
    <comment ref="C5" authorId="0" shapeId="0" xr:uid="{0ACC1B94-2EEF-4B5D-A526-A717A82483D5}">
      <text>
        <r>
          <rPr>
            <b/>
            <sz val="9"/>
            <color indexed="81"/>
            <rFont val="Tahoma"/>
            <family val="2"/>
          </rPr>
          <t>Caroline Rossignol:</t>
        </r>
        <r>
          <rPr>
            <sz val="9"/>
            <color indexed="81"/>
            <rFont val="Tahoma"/>
            <family val="2"/>
          </rPr>
          <t xml:space="preserve">
Etat des résultats semestriel</t>
        </r>
      </text>
    </comment>
    <comment ref="H5" authorId="0" shapeId="0" xr:uid="{8C9A4D4A-E3B2-456B-8263-7961BAA8501F}">
      <text>
        <r>
          <rPr>
            <b/>
            <sz val="9"/>
            <color indexed="81"/>
            <rFont val="Tahoma"/>
            <family val="2"/>
          </rPr>
          <t>Caroline Rossignol:</t>
        </r>
        <r>
          <rPr>
            <sz val="9"/>
            <color indexed="81"/>
            <rFont val="Tahoma"/>
            <family val="2"/>
          </rPr>
          <t xml:space="preserve">
État des résultats semestiels</t>
        </r>
      </text>
    </comment>
    <comment ref="C6" authorId="0" shapeId="0" xr:uid="{0927CC4B-119C-47A9-94D7-1E881EC1448D}">
      <text>
        <r>
          <rPr>
            <b/>
            <sz val="9"/>
            <color indexed="81"/>
            <rFont val="Tahoma"/>
            <family val="2"/>
          </rPr>
          <t>Caroline Rossignol:</t>
        </r>
        <r>
          <rPr>
            <sz val="9"/>
            <color indexed="81"/>
            <rFont val="Tahoma"/>
            <family val="2"/>
          </rPr>
          <t xml:space="preserve">
Outil charge (TRIM 1 et 2)
</t>
        </r>
      </text>
    </comment>
    <comment ref="I6" authorId="0" shapeId="0" xr:uid="{B05050B8-2AAD-4CB0-8E5C-E5539ABA529E}">
      <text>
        <r>
          <rPr>
            <b/>
            <sz val="9"/>
            <color indexed="81"/>
            <rFont val="Tahoma"/>
            <family val="2"/>
          </rPr>
          <t>Caroline Rossignol:</t>
        </r>
        <r>
          <rPr>
            <sz val="9"/>
            <color indexed="81"/>
            <rFont val="Tahoma"/>
            <family val="2"/>
          </rPr>
          <t xml:space="preserve">
à chaque fois que j'ai 1$ de vente, j'ai X$ de dépenses.</t>
        </r>
      </text>
    </comment>
    <comment ref="C11" authorId="0" shapeId="0" xr:uid="{5F231B51-53D8-402D-BC77-5B404111B851}">
      <text>
        <r>
          <rPr>
            <b/>
            <sz val="9"/>
            <color indexed="81"/>
            <rFont val="Tahoma"/>
            <family val="2"/>
          </rPr>
          <t>Caroline Rossignol:</t>
        </r>
        <r>
          <rPr>
            <sz val="9"/>
            <color indexed="81"/>
            <rFont val="Tahoma"/>
            <family val="2"/>
          </rPr>
          <t xml:space="preserve">
à calculer avec le salaire brut
</t>
        </r>
      </text>
    </comment>
    <comment ref="C14" authorId="0" shapeId="0" xr:uid="{07142DF9-78DE-45DF-AEE9-D9AA8BECFDB7}">
      <text>
        <r>
          <rPr>
            <b/>
            <sz val="9"/>
            <color indexed="81"/>
            <rFont val="Tahoma"/>
            <family val="2"/>
          </rPr>
          <t>Caroline Rossignol:</t>
        </r>
        <r>
          <rPr>
            <sz val="9"/>
            <color indexed="81"/>
            <rFont val="Tahoma"/>
            <family val="2"/>
          </rPr>
          <t xml:space="preserve">
à calculer avec le nombre d'employés et ne pas oublier de multiplier par 13 semaines.</t>
        </r>
      </text>
    </comment>
    <comment ref="C16" authorId="0" shapeId="0" xr:uid="{C380E5FE-2499-420E-B03C-CEA46B453305}">
      <text>
        <r>
          <rPr>
            <b/>
            <sz val="9"/>
            <color indexed="81"/>
            <rFont val="Tahoma"/>
            <family val="2"/>
          </rPr>
          <t>Caroline Rossignol:</t>
        </r>
        <r>
          <rPr>
            <sz val="9"/>
            <color indexed="81"/>
            <rFont val="Tahoma"/>
            <family val="2"/>
          </rPr>
          <t xml:space="preserve">
valider la partie de l'entretien qui est variable</t>
        </r>
      </text>
    </comment>
    <comment ref="L17" authorId="0" shapeId="0" xr:uid="{F40DFE85-3693-494F-AF04-2F36B0067B7D}">
      <text>
        <r>
          <rPr>
            <b/>
            <sz val="9"/>
            <color indexed="81"/>
            <rFont val="Tahoma"/>
            <family val="2"/>
          </rPr>
          <t>Caroline Rossignol:</t>
        </r>
        <r>
          <rPr>
            <sz val="9"/>
            <color indexed="81"/>
            <rFont val="Tahoma"/>
            <family val="2"/>
          </rPr>
          <t xml:space="preserve">
'=ventes prévues semestre 1/ ventes prévues année 1</t>
        </r>
      </text>
    </comment>
    <comment ref="F20" authorId="0" shapeId="0" xr:uid="{7DECA56A-25BB-4F35-8A5B-BCE86D368DD9}">
      <text>
        <r>
          <rPr>
            <b/>
            <sz val="9"/>
            <color indexed="81"/>
            <rFont val="Tahoma"/>
            <family val="2"/>
          </rPr>
          <t>Caroline Rossignol:</t>
        </r>
        <r>
          <rPr>
            <sz val="9"/>
            <color indexed="81"/>
            <rFont val="Tahoma"/>
            <family val="2"/>
          </rPr>
          <t xml:space="preserve">
on peut valider avec une étude de marché et voir si c'est réaliste</t>
        </r>
      </text>
    </comment>
    <comment ref="H20" authorId="0" shapeId="0" xr:uid="{277878AD-0F52-43CA-918E-86D0F5F6E6AC}">
      <text>
        <r>
          <rPr>
            <b/>
            <sz val="9"/>
            <color indexed="81"/>
            <rFont val="Tahoma"/>
            <family val="2"/>
          </rPr>
          <t>Caroline Rossignol:</t>
        </r>
        <r>
          <rPr>
            <sz val="9"/>
            <color indexed="81"/>
            <rFont val="Tahoma"/>
            <family val="2"/>
          </rPr>
          <t xml:space="preserve">
prendre vos projections en $ (dans S1 - projection des ventes)</t>
        </r>
      </text>
    </comment>
    <comment ref="L20" authorId="0" shapeId="0" xr:uid="{550F275B-E55F-4665-8D7E-E43FD64529C7}">
      <text>
        <r>
          <rPr>
            <b/>
            <sz val="9"/>
            <color indexed="81"/>
            <rFont val="Tahoma"/>
            <family val="2"/>
          </rPr>
          <t>Caroline Rossignol:</t>
        </r>
        <r>
          <rPr>
            <sz val="9"/>
            <color indexed="81"/>
            <rFont val="Tahoma"/>
            <family val="2"/>
          </rPr>
          <t xml:space="preserve">
ventes semestre 1/ %</t>
        </r>
      </text>
    </comment>
    <comment ref="F21" authorId="0" shapeId="0" xr:uid="{59E91D7A-6C6B-4421-BC11-5FC802F89EFC}">
      <text>
        <r>
          <rPr>
            <b/>
            <sz val="9"/>
            <color indexed="81"/>
            <rFont val="Tahoma"/>
            <family val="2"/>
          </rPr>
          <t>Caroline Rossignol:</t>
        </r>
        <r>
          <rPr>
            <sz val="9"/>
            <color indexed="81"/>
            <rFont val="Tahoma"/>
            <family val="2"/>
          </rPr>
          <t xml:space="preserve">
estimation bien sûr!</t>
        </r>
      </text>
    </comment>
    <comment ref="L24" authorId="0" shapeId="0" xr:uid="{78BEBBD6-820A-4C58-80B8-07F14B27A94A}">
      <text>
        <r>
          <rPr>
            <b/>
            <sz val="9"/>
            <color indexed="81"/>
            <rFont val="Tahoma"/>
            <family val="2"/>
          </rPr>
          <t>Caroline Rossignol:</t>
        </r>
        <r>
          <rPr>
            <sz val="9"/>
            <color indexed="81"/>
            <rFont val="Tahoma"/>
            <family val="2"/>
          </rPr>
          <t xml:space="preserve">
nous avons considéré 6 mois réels, donc le bénéfice projeté est plus précis</t>
        </r>
      </text>
    </comment>
    <comment ref="H25" authorId="0" shapeId="0" xr:uid="{B5C14C24-5B1D-46F7-A559-9397CE706EFB}">
      <text>
        <r>
          <rPr>
            <b/>
            <sz val="9"/>
            <color indexed="81"/>
            <rFont val="Tahoma"/>
            <family val="2"/>
          </rPr>
          <t>Caroline Rossignol:</t>
        </r>
        <r>
          <rPr>
            <sz val="9"/>
            <color indexed="81"/>
            <rFont val="Tahoma"/>
            <family val="2"/>
          </rPr>
          <t xml:space="preserve">
ventes annuelles estimées - vente au seuil de rentabilité</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<sst xmlns="http://schemas.openxmlformats.org/spreadsheetml/2006/main" count="2201" uniqueCount="917">
  <si>
    <t>Dimension unitaire</t>
  </si>
  <si>
    <r>
      <t xml:space="preserve">Coûts unitaires </t>
    </r>
    <r>
      <rPr>
        <sz val="9"/>
        <color theme="1"/>
        <rFont val="Calibri"/>
        <family val="2"/>
      </rPr>
      <t>(+15% «express»)</t>
    </r>
  </si>
  <si>
    <t>Prix de vente unitaire</t>
  </si>
  <si>
    <t>Lots</t>
  </si>
  <si>
    <t>P1</t>
  </si>
  <si>
    <t>1x0,4x0,45 m</t>
  </si>
  <si>
    <t>P2</t>
  </si>
  <si>
    <t>0,5x0,5x0,9  m</t>
  </si>
  <si>
    <t>0,9x0,5x1½ m</t>
  </si>
  <si>
    <t>P4</t>
  </si>
  <si>
    <t>1x0,5x1  m</t>
  </si>
  <si>
    <t>P5</t>
  </si>
  <si>
    <t>0,5x1x1½ m</t>
  </si>
  <si>
    <t>0,5x1x1,8 m</t>
  </si>
  <si>
    <t>P7</t>
  </si>
  <si>
    <t>0,5x1x1¾ m</t>
  </si>
  <si>
    <t>P8</t>
  </si>
  <si>
    <t>1,8x1x1 m</t>
  </si>
  <si>
    <t>0,9x0,5x1¼ m</t>
  </si>
  <si>
    <t>P10</t>
  </si>
  <si>
    <t>1x0,5x1½ m</t>
  </si>
  <si>
    <t>0,5x0,9x1½ m</t>
  </si>
  <si>
    <t>1x1¾x1 m</t>
  </si>
  <si>
    <t>1x1x1¼ m</t>
  </si>
  <si>
    <t>Produits</t>
  </si>
  <si>
    <t>Demande max.</t>
  </si>
  <si>
    <t>Demande min.</t>
  </si>
  <si>
    <t>La</t>
  </si>
  <si>
    <t>Lo</t>
  </si>
  <si>
    <t>Ha</t>
  </si>
  <si>
    <t xml:space="preserve">P3 </t>
  </si>
  <si>
    <t>Trim 1 et trim 4</t>
  </si>
  <si>
    <t xml:space="preserve">P6 </t>
  </si>
  <si>
    <t xml:space="preserve">P9 </t>
  </si>
  <si>
    <t>P11</t>
  </si>
  <si>
    <t>Trim 2 et trim 4</t>
  </si>
  <si>
    <t xml:space="preserve">P12 </t>
  </si>
  <si>
    <t xml:space="preserve">P13 </t>
  </si>
  <si>
    <t xml:space="preserve">Dimension en mètre cube </t>
  </si>
  <si>
    <t>Prévision ventes année 1 :</t>
  </si>
  <si>
    <t>Prévision ventes année 2 :</t>
  </si>
  <si>
    <t>Prévision ventes année 3 :</t>
  </si>
  <si>
    <t>TRIM 1</t>
  </si>
  <si>
    <t>TRIM 2</t>
  </si>
  <si>
    <t>TRIM 3</t>
  </si>
  <si>
    <t>TRIM 4</t>
  </si>
  <si>
    <t>Augmentations :</t>
  </si>
  <si>
    <t>Mois 1</t>
  </si>
  <si>
    <t>Mois 2</t>
  </si>
  <si>
    <t>Mois 3</t>
  </si>
  <si>
    <t>Mois 4</t>
  </si>
  <si>
    <t>Mois 5</t>
  </si>
  <si>
    <t>Mois 6</t>
  </si>
  <si>
    <t>Mois 7</t>
  </si>
  <si>
    <t>Mois 8</t>
  </si>
  <si>
    <t>Mois 9</t>
  </si>
  <si>
    <t>Mois 10</t>
  </si>
  <si>
    <t>Mois 11</t>
  </si>
  <si>
    <t>Mois 12</t>
  </si>
  <si>
    <t>Année 1</t>
  </si>
  <si>
    <t>Année 2</t>
  </si>
  <si>
    <t>Année 3</t>
  </si>
  <si>
    <t>Quantité :</t>
  </si>
  <si>
    <t>(Trim 1 et 4 seulement)</t>
  </si>
  <si>
    <t>(Trim 1 et 4  seulement)</t>
  </si>
  <si>
    <t>(Trim 2 et 4 seulement)</t>
  </si>
  <si>
    <t>P12</t>
  </si>
  <si>
    <t>P13</t>
  </si>
  <si>
    <t>Total</t>
  </si>
  <si>
    <t>trimestre</t>
  </si>
  <si>
    <t>Valeur</t>
  </si>
  <si>
    <t>Donc, le rapport entre le mois 1 et le trimestre est de : 1 / 3,64, soit 27,5%.</t>
  </si>
  <si>
    <t>Projection Mois 1</t>
  </si>
  <si>
    <t>Projection de ventes trim 1</t>
  </si>
  <si>
    <t>ISSA OUEDRAOGO</t>
  </si>
  <si>
    <t>Évaluation de l'inventaire au démarrage TRIM 1:</t>
  </si>
  <si>
    <t>Données d'entreprise à ajuster en fonction de la situation</t>
  </si>
  <si>
    <t>(Plafond ou Plancher)</t>
  </si>
  <si>
    <r>
      <t xml:space="preserve">Tableau de </t>
    </r>
    <r>
      <rPr>
        <b/>
        <u/>
        <sz val="11"/>
        <color theme="1"/>
        <rFont val="Aptos Narrow"/>
        <family val="2"/>
        <scheme val="minor"/>
      </rPr>
      <t>comparaison</t>
    </r>
    <r>
      <rPr>
        <sz val="11"/>
        <color theme="1"/>
        <rFont val="Aptos Narrow"/>
        <family val="2"/>
        <scheme val="minor"/>
      </rPr>
      <t xml:space="preserve"> des transporteurs:</t>
    </r>
  </si>
  <si>
    <t>Ventes TRIM 1</t>
  </si>
  <si>
    <t>Lot</t>
  </si>
  <si>
    <t>Qté à commander</t>
  </si>
  <si>
    <t>Coût unitaire</t>
  </si>
  <si>
    <t>Coût total</t>
  </si>
  <si>
    <t>Volume unitaire (M3)</t>
  </si>
  <si>
    <t>Volume total (M3)</t>
  </si>
  <si>
    <t>M3</t>
  </si>
  <si>
    <t>Coût</t>
  </si>
  <si>
    <t>Nombre de voyages</t>
  </si>
  <si>
    <t>FTL</t>
  </si>
  <si>
    <t>Fournisseur:</t>
  </si>
  <si>
    <t>LTL</t>
  </si>
  <si>
    <t>Desgagné:</t>
  </si>
  <si>
    <t>volume total</t>
  </si>
  <si>
    <t>Nombre de voyage de 150 m3 en FTL</t>
  </si>
  <si>
    <t>volume chargé:</t>
  </si>
  <si>
    <t>reste</t>
  </si>
  <si>
    <t>m3</t>
  </si>
  <si>
    <t>Voyage 100 m3</t>
  </si>
  <si>
    <t>Coût de la commande 1=</t>
  </si>
  <si>
    <t>+frais de transport = le plus petit montant</t>
  </si>
  <si>
    <t>Total:</t>
  </si>
  <si>
    <t>Note: Taxes à recevoir à traiter plus tard</t>
  </si>
  <si>
    <t>P3</t>
  </si>
  <si>
    <t>P6</t>
  </si>
  <si>
    <t>P9</t>
  </si>
  <si>
    <t>Évaluation du bâtiment</t>
  </si>
  <si>
    <t>Choix:</t>
  </si>
  <si>
    <t>Acheter</t>
  </si>
  <si>
    <t>Louer</t>
  </si>
  <si>
    <t>Volume d'étalage =</t>
  </si>
  <si>
    <t>Caisses enregistreuses:</t>
  </si>
  <si>
    <t>Cafétéria:</t>
  </si>
  <si>
    <t>Magasin et Entrepôt</t>
  </si>
  <si>
    <t>Votre choix: Ventes en unité</t>
  </si>
  <si>
    <r>
      <t xml:space="preserve">Nombre d'unité vendues </t>
    </r>
    <r>
      <rPr>
        <b/>
        <u/>
        <sz val="11"/>
        <color theme="1"/>
        <rFont val="Aptos Narrow"/>
        <family val="2"/>
        <scheme val="minor"/>
      </rPr>
      <t>totales</t>
    </r>
    <r>
      <rPr>
        <sz val="11"/>
        <color theme="1"/>
        <rFont val="Aptos Narrow"/>
        <family val="2"/>
        <scheme val="minor"/>
      </rPr>
      <t xml:space="preserve"> (en fct de votre choix)</t>
    </r>
  </si>
  <si>
    <t>m de hauteur</t>
  </si>
  <si>
    <t>Espace pour les caisses enregistreuses</t>
  </si>
  <si>
    <t>capacité des caisses enregistreuses en nombre d'unités par trimestre</t>
  </si>
  <si>
    <r>
      <t xml:space="preserve">Espace de cafétéria pour les employés </t>
    </r>
    <r>
      <rPr>
        <sz val="8"/>
        <color theme="1"/>
        <rFont val="Aptos Narrow"/>
        <family val="2"/>
        <scheme val="minor"/>
      </rPr>
      <t>(60% des employés)</t>
    </r>
  </si>
  <si>
    <t>caisses enregistreuses nécessaires (plafond 1)</t>
  </si>
  <si>
    <t>Gestionnaire</t>
  </si>
  <si>
    <t>Espace de bureaux pour vous et certains employés</t>
  </si>
  <si>
    <t>m2 par caisse enregistreuse</t>
  </si>
  <si>
    <t>Caissier</t>
  </si>
  <si>
    <t>(en lien avec le nombre de caisse, non-arrondi)</t>
  </si>
  <si>
    <t>m2 pour le total des caisses enregistreuses</t>
  </si>
  <si>
    <t>Comptable-gestionnaire</t>
  </si>
  <si>
    <t>(capacité X produits/semaine)</t>
  </si>
  <si>
    <t>Volume total du bâtiment =</t>
  </si>
  <si>
    <t>Vendeur</t>
  </si>
  <si>
    <t>m3 pour les caisses enregistreuses</t>
  </si>
  <si>
    <t>Manutentionnaire</t>
  </si>
  <si>
    <t>(capacité X m3 de marchandises/semaine)</t>
  </si>
  <si>
    <t>Concierge</t>
  </si>
  <si>
    <t>Total des employés:</t>
  </si>
  <si>
    <t>ajouter le nombre de concierges à la main</t>
  </si>
  <si>
    <t>(60% des employés)</t>
  </si>
  <si>
    <t>m2/employé</t>
  </si>
  <si>
    <t>M2 total pour les 60% employé</t>
  </si>
  <si>
    <t>H</t>
  </si>
  <si>
    <t>M3 (ajout de la hauteur désirée)</t>
  </si>
  <si>
    <t>Achat versus Location du bâtiment</t>
  </si>
  <si>
    <t>Volume total (étalage)</t>
  </si>
  <si>
    <t xml:space="preserve">Volume total en M3 </t>
  </si>
  <si>
    <t>Estimation chariots</t>
  </si>
  <si>
    <t>(si je prends seulement des chariots élévateurs)</t>
  </si>
  <si>
    <t>Location</t>
  </si>
  <si>
    <t>Achat</t>
  </si>
  <si>
    <t>semaine par trimestre</t>
  </si>
  <si>
    <t>Équipement</t>
  </si>
  <si>
    <t>Capacité mensuelle M3 de manutention</t>
  </si>
  <si>
    <t>Capacité trimestrielle M3 de manutention</t>
  </si>
  <si>
    <t>Nombre d'équipement</t>
  </si>
  <si>
    <t>Volume traité (M3)</t>
  </si>
  <si>
    <t>Coût totaux</t>
  </si>
  <si>
    <t>/m3</t>
  </si>
  <si>
    <t>M3 par semaine</t>
  </si>
  <si>
    <t>Petit diable</t>
  </si>
  <si>
    <t>Obligatoire pour les petits colis</t>
  </si>
  <si>
    <t>Amélioration loc.</t>
  </si>
  <si>
    <t>Bâtiment</t>
  </si>
  <si>
    <t>semaine d'inventaire</t>
  </si>
  <si>
    <t>Transpalette</t>
  </si>
  <si>
    <t>M3 de marchandise à placer</t>
  </si>
  <si>
    <t>Chariot élévateur électrique</t>
  </si>
  <si>
    <t>Obligatoire si entrepôt supérieur à 5 m de hauteur</t>
  </si>
  <si>
    <r>
      <t xml:space="preserve">doubler pour espace de </t>
    </r>
    <r>
      <rPr>
        <b/>
        <u/>
        <sz val="11"/>
        <color theme="1"/>
        <rFont val="Aptos Narrow"/>
        <family val="2"/>
        <scheme val="minor"/>
      </rPr>
      <t>circulation</t>
    </r>
  </si>
  <si>
    <t>Total =</t>
  </si>
  <si>
    <t>m3 volume du magasin entrepôt</t>
  </si>
  <si>
    <t>Nombre:</t>
  </si>
  <si>
    <t>Écart besoin</t>
  </si>
  <si>
    <t>Loyer</t>
  </si>
  <si>
    <t>/mois</t>
  </si>
  <si>
    <t>Terrain</t>
  </si>
  <si>
    <t>mètre en hauteur</t>
  </si>
  <si>
    <t>Besoin en manutentionnaire:</t>
  </si>
  <si>
    <t>Amélioration loc</t>
  </si>
  <si>
    <t>Surface d'étalages (en m2)</t>
  </si>
  <si>
    <t>Votre choix provient de ce tableau que vous avez calculé dans la feuille Excel des estimés de ventes!</t>
  </si>
  <si>
    <t>Module de caisses enregistreuses ( 4500$/module)</t>
  </si>
  <si>
    <t>Bureaux - Administration (955$/bureau)</t>
  </si>
  <si>
    <t>Bureaux - vendeur ( 900$/ 2 bureaux)</t>
  </si>
  <si>
    <t>Ameublement cafétéria (350$ / 4 employés)</t>
  </si>
  <si>
    <t>Espace bureau</t>
  </si>
  <si>
    <t>Étalage magasin (120$/ 10 m3)</t>
  </si>
  <si>
    <t>Étalage entrepôt (70$/ 10 m3)</t>
  </si>
  <si>
    <t>Équipement informatique (5000$/bureaux)</t>
  </si>
  <si>
    <t>Équipement de manutention (voir tableau + haut)</t>
  </si>
  <si>
    <t>arrondi.sup</t>
  </si>
  <si>
    <t>bureau</t>
  </si>
  <si>
    <t>Équipement de cuisine (1000$ / 5 employés)</t>
  </si>
  <si>
    <t>m2</t>
  </si>
  <si>
    <t>Hauteur</t>
  </si>
  <si>
    <t>Volume M3 pour espace bureau</t>
  </si>
  <si>
    <t>=</t>
  </si>
  <si>
    <t>Trimestre 1</t>
  </si>
  <si>
    <t>Trimestre 2</t>
  </si>
  <si>
    <t>Trimestre 3</t>
  </si>
  <si>
    <t>Trimestre 4</t>
  </si>
  <si>
    <t>(1 pour 12000 m3) ne pas automatiser</t>
  </si>
  <si>
    <t xml:space="preserve"> </t>
  </si>
  <si>
    <t>bureau vendeur</t>
  </si>
  <si>
    <t>Actif</t>
  </si>
  <si>
    <t>Passif</t>
  </si>
  <si>
    <t>Calculs des passifs:</t>
  </si>
  <si>
    <t>Taxes à recevoir</t>
  </si>
  <si>
    <t>Marge de crédit</t>
  </si>
  <si>
    <t>plafond (1000$)</t>
  </si>
  <si>
    <t>Stock de marchandises</t>
  </si>
  <si>
    <t>Comptes fournisseurs</t>
  </si>
  <si>
    <t>Charges payées d'avance</t>
  </si>
  <si>
    <t>Hypothèque</t>
  </si>
  <si>
    <t>Frais d'incorporation</t>
  </si>
  <si>
    <t>Capital de risque</t>
  </si>
  <si>
    <t>Améliorations locatives</t>
  </si>
  <si>
    <t>Caisses enregistreuses</t>
  </si>
  <si>
    <t>Ameublement</t>
  </si>
  <si>
    <t>Équipement informatique</t>
  </si>
  <si>
    <t>Capitaux propres</t>
  </si>
  <si>
    <t>Équipement de manutention</t>
  </si>
  <si>
    <t>Capital-actions</t>
  </si>
  <si>
    <t>Équipement de cuisine</t>
  </si>
  <si>
    <t>Subvention</t>
  </si>
  <si>
    <t>Total des actifs:</t>
  </si>
  <si>
    <t>:Total des passifs et des capitaux propres</t>
  </si>
  <si>
    <t>écart:</t>
  </si>
  <si>
    <t>Faites votre choix final et inscrire les informations dans votre bilan de démarrage sur Acomba</t>
  </si>
  <si>
    <t>Dans les soldes d'ouverture de chacun de vos comptes</t>
  </si>
  <si>
    <t>Faire votre bon de commande 1 (énoncé de travail)</t>
  </si>
  <si>
    <t>Voir modèle disponible sur Léa</t>
  </si>
  <si>
    <t>Marge de crédit:</t>
  </si>
  <si>
    <t>LES SALAIRES :</t>
  </si>
  <si>
    <t>Inscrivez vos informations dans ces cellules vertes. Ne rien inscrire dans les autres cellules.</t>
  </si>
  <si>
    <t>Soit :</t>
  </si>
  <si>
    <t>Salaires brut :</t>
  </si>
  <si>
    <t>Retenus à la source :</t>
  </si>
  <si>
    <t>Avantages sociaux :</t>
  </si>
  <si>
    <t>Vacances :</t>
  </si>
  <si>
    <t>Voici l'écriture des salaires à entrer dans Acomba (écriture)</t>
  </si>
  <si>
    <t>Salaires à payer</t>
  </si>
  <si>
    <t>1 semaine sur 4,333 semaines par mois</t>
  </si>
  <si>
    <t>débit</t>
  </si>
  <si>
    <t>crédit</t>
  </si>
  <si>
    <t>Compte de banque</t>
  </si>
  <si>
    <t>DAS &amp; RAS à payer</t>
  </si>
  <si>
    <t>Vacances à payer</t>
  </si>
  <si>
    <t>Salaires</t>
  </si>
  <si>
    <t>Avantages sociaux</t>
  </si>
  <si>
    <t>Vacances</t>
  </si>
  <si>
    <t>Analyse des ventes</t>
  </si>
  <si>
    <t xml:space="preserve">VOIR DOC. LÉA
</t>
  </si>
  <si>
    <t>E *prix de vente + F*50%*Prix de vente</t>
  </si>
  <si>
    <t>=(C-E-F)</t>
  </si>
  <si>
    <t>H * Prix coûtant</t>
  </si>
  <si>
    <t>Analyse complémentaire (ventes perdue)</t>
  </si>
  <si>
    <t xml:space="preserve">Ventes potentielles 
</t>
  </si>
  <si>
    <t>Ventes réelles en unités</t>
  </si>
  <si>
    <t xml:space="preserve">Ventes produit saisonniers  en unités
</t>
  </si>
  <si>
    <t>Ventes totales (TRIM 1) en $
(sans les taxes à payer)</t>
  </si>
  <si>
    <t>Inventaire de fin (en unités)</t>
  </si>
  <si>
    <t>Inventaire de fin (en $)</t>
  </si>
  <si>
    <t>Écart (en unité)</t>
  </si>
  <si>
    <t>Écart (en $)</t>
  </si>
  <si>
    <t>Outil - Coûts TRIM 1</t>
  </si>
  <si>
    <t>Tableau des indicateurs:</t>
  </si>
  <si>
    <t>Sections à compléter</t>
  </si>
  <si>
    <t>Quantités vendues</t>
  </si>
  <si>
    <t>unités</t>
  </si>
  <si>
    <t>Volume acheté</t>
  </si>
  <si>
    <t>Taux de taxes =</t>
  </si>
  <si>
    <t>Valeur des ventes</t>
  </si>
  <si>
    <t>Trimestre/an =</t>
  </si>
  <si>
    <t>Volume du bâtiment</t>
  </si>
  <si>
    <t>Nombre de sem =</t>
  </si>
  <si>
    <t>Mois/Trimestre =</t>
  </si>
  <si>
    <t>Coût des marchandises vendues</t>
  </si>
  <si>
    <t>Salaires (selon Ventes Trim 1)</t>
  </si>
  <si>
    <t>Inventaire du début</t>
  </si>
  <si>
    <t>Achats</t>
  </si>
  <si>
    <t>Capacité TRIM</t>
  </si>
  <si>
    <t>UDM</t>
  </si>
  <si>
    <t>salaire/semaine</t>
  </si>
  <si>
    <t>Nombre</t>
  </si>
  <si>
    <t>Salaire TRIM 1</t>
  </si>
  <si>
    <t>Fret à l'achat</t>
  </si>
  <si>
    <t>Inventaire de fin</t>
  </si>
  <si>
    <t>Cassier.e.s</t>
  </si>
  <si>
    <t>un</t>
  </si>
  <si>
    <t>Comptable-gestionnaires</t>
  </si>
  <si>
    <t>Vendeur.e.s</t>
  </si>
  <si>
    <t>Manutentionnaire.s</t>
  </si>
  <si>
    <t>Concierge.s</t>
  </si>
  <si>
    <t>Retenues à la sources =</t>
  </si>
  <si>
    <t>Avantages sociaux =</t>
  </si>
  <si>
    <t>Assurances coll =</t>
  </si>
  <si>
    <t>Fonds de pension =</t>
  </si>
  <si>
    <t>Vacances =</t>
  </si>
  <si>
    <t>Téléphonie et système de communication</t>
  </si>
  <si>
    <t>Frais de livraison aux clients:</t>
  </si>
  <si>
    <t>Coût location/ système / mois</t>
  </si>
  <si>
    <t>Nombre d'employé par location</t>
  </si>
  <si>
    <t>qté vendue</t>
  </si>
  <si>
    <t>vol. unitaire</t>
  </si>
  <si>
    <t>Total M3</t>
  </si>
  <si>
    <t>Nombre de location</t>
  </si>
  <si>
    <t>Coût total par mois =</t>
  </si>
  <si>
    <t>Coût par trimestre =</t>
  </si>
  <si>
    <t>Taxes</t>
  </si>
  <si>
    <t>voyage =</t>
  </si>
  <si>
    <t>Électricité (même valeur pour tous) - Dépenses fixes (facture équilibrée)</t>
  </si>
  <si>
    <t>volume restant =</t>
  </si>
  <si>
    <t>$ voyage</t>
  </si>
  <si>
    <t>Camion</t>
  </si>
  <si>
    <t>Frais de livraison =</t>
  </si>
  <si>
    <t>Frais d'entretien</t>
  </si>
  <si>
    <t>$/an</t>
  </si>
  <si>
    <t>Référence</t>
  </si>
  <si>
    <t>$T1</t>
  </si>
  <si>
    <r>
      <t>Bâti.</t>
    </r>
    <r>
      <rPr>
        <sz val="11"/>
        <color rgb="FFFF0000"/>
        <rFont val="Aptos Narrow"/>
        <family val="2"/>
        <scheme val="minor"/>
      </rPr>
      <t xml:space="preserve"> Ou</t>
    </r>
    <r>
      <rPr>
        <sz val="11"/>
        <color theme="1"/>
        <rFont val="Aptos Narrow"/>
        <family val="2"/>
        <scheme val="minor"/>
      </rPr>
      <t xml:space="preserve"> Amélior. Loc.</t>
    </r>
  </si>
  <si>
    <t>/an /m3</t>
  </si>
  <si>
    <t>Caisses enregis.</t>
  </si>
  <si>
    <t>/an / par utilisation</t>
  </si>
  <si>
    <t>Équip. De cuisine</t>
  </si>
  <si>
    <t>$ coût total de l'équipement/an</t>
  </si>
  <si>
    <t>(Pour ceux qui louent le bâtiment)</t>
  </si>
  <si>
    <t>$ coût total de l'équipement / an / utilisation</t>
  </si>
  <si>
    <t>Location mensuelle</t>
  </si>
  <si>
    <t>Téléphonie et comm.</t>
  </si>
  <si>
    <t>inclus dans la location</t>
  </si>
  <si>
    <t>Location trimestrielle</t>
  </si>
  <si>
    <t>Équip. Inform</t>
  </si>
  <si>
    <t>Publicité</t>
  </si>
  <si>
    <t>% ventes M1</t>
  </si>
  <si>
    <t>Assurances:</t>
  </si>
  <si>
    <r>
      <t xml:space="preserve">Bâti. </t>
    </r>
    <r>
      <rPr>
        <b/>
        <sz val="11"/>
        <color rgb="FFFF0000"/>
        <rFont val="Aptos Narrow"/>
        <family val="2"/>
        <scheme val="minor"/>
      </rPr>
      <t>Ou Amélior. Loc.</t>
    </r>
  </si>
  <si>
    <t>$ coût total par an</t>
  </si>
  <si>
    <t>Équipements (tous)</t>
  </si>
  <si>
    <t>Mobilier (tous)</t>
  </si>
  <si>
    <t>Taxes 9% (à inclure)</t>
  </si>
  <si>
    <t>Fournitures de bureau:</t>
  </si>
  <si>
    <t>$ Employé / an</t>
  </si>
  <si>
    <t>Équivalent temps plein</t>
  </si>
  <si>
    <t>Taxes municipales:</t>
  </si>
  <si>
    <t>Ne s'applique pas à la location</t>
  </si>
  <si>
    <t xml:space="preserve">Taxes municipales </t>
  </si>
  <si>
    <t>/an du coût Terrain et Bâtiment</t>
  </si>
  <si>
    <t>Frais de banque (pas taxables)</t>
  </si>
  <si>
    <t xml:space="preserve"> Amortissement (pas taxables) </t>
  </si>
  <si>
    <t>un vendues</t>
  </si>
  <si>
    <t>Biens</t>
  </si>
  <si>
    <t>Amortissement annuel</t>
  </si>
  <si>
    <t>Charges d'amort. TRIM</t>
  </si>
  <si>
    <t>Produits vendus =</t>
  </si>
  <si>
    <t>NA</t>
  </si>
  <si>
    <t>Frais de banque</t>
  </si>
  <si>
    <t>Site transactionnel</t>
  </si>
  <si>
    <t>Modules de caisses enre.</t>
  </si>
  <si>
    <t>Honoraires professionnelles</t>
  </si>
  <si>
    <t>des ventes totales</t>
  </si>
  <si>
    <t>Ameublements</t>
  </si>
  <si>
    <t>Si commerce électronique</t>
  </si>
  <si>
    <t>Frais de site électronique</t>
  </si>
  <si>
    <t>Domaine =</t>
  </si>
  <si>
    <t>/an</t>
  </si>
  <si>
    <t>/trimestre</t>
  </si>
  <si>
    <t>Espace de stockage=</t>
  </si>
  <si>
    <t>Frais de site total</t>
  </si>
  <si>
    <t>Frais de transactions via internet</t>
  </si>
  <si>
    <t>Taux</t>
  </si>
  <si>
    <t>Frais de transaction</t>
  </si>
  <si>
    <t>Valeur de l'emprunt :</t>
  </si>
  <si>
    <t>Taux de l'emprunt :</t>
  </si>
  <si>
    <t>Durée de l'emprunt :</t>
  </si>
  <si>
    <t>ans</t>
  </si>
  <si>
    <t>Versement :</t>
  </si>
  <si>
    <t>par mois</t>
  </si>
  <si>
    <t>Date</t>
  </si>
  <si>
    <t>portion du capital</t>
  </si>
  <si>
    <t>portion intérêt</t>
  </si>
  <si>
    <t>capital cumulé</t>
  </si>
  <si>
    <t>intérêt cumulé</t>
  </si>
  <si>
    <t>solde</t>
  </si>
  <si>
    <t>M1</t>
  </si>
  <si>
    <t>M2</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</si>
  <si>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</si>
  <si>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</si>
  <si>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</si>
  <si>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</si>
  <si>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</si>
  <si>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</si>
  <si>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</si>
  <si>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</si>
  <si>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</si>
  <si>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</si>
  <si>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</si>
  <si>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</si>
  <si>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</si>
  <si>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</si>
  <si>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</si>
  <si>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</si>
  <si>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</si>
  <si>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</si>
  <si>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</si>
  <si>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</si>
  <si>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</si>
  <si>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</si>
  <si>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</si>
  <si>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</si>
  <si>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</si>
  <si>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</si>
  <si>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</si>
  <si>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</si>
  <si>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</si>
  <si>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</si>
  <si>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</si>
  <si>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</si>
  <si>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</si>
  <si>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</si>
  <si>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</si>
  <si>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</si>
  <si>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</si>
  <si>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</si>
  <si>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</si>
  <si>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</si>
  <si>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</si>
  <si>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</si>
  <si>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</si>
  <si>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</si>
  <si>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</si>
  <si>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</si>
  <si>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</si>
  <si>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</si>
  <si>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</si>
  <si>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</si>
  <si>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</si>
  <si>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</si>
  <si>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</si>
  <si>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</si>
  <si>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</si>
  <si>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</si>
  <si>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</si>
  <si>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</si>
  <si>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</si>
  <si>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</si>
  <si>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</si>
  <si>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</si>
  <si>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</si>
  <si>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</si>
  <si>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</si>
  <si>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</si>
  <si>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</si>
  <si>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</si>
  <si>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</si>
  <si>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</si>
  <si>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</si>
  <si>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</si>
  <si>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</si>
  <si>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</si>
  <si>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</si>
  <si>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</si>
  <si>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</si>
  <si>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</si>
  <si>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</si>
  <si>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</si>
  <si>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</si>
  <si>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</si>
  <si>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</si>
  <si>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</si>
  <si>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</si>
  <si>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</si>
  <si>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</si>
  <si>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</si>
  <si>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</si>
  <si>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</si>
  <si>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</si>
  <si>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</si>
  <si>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</si>
  <si>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</si>
  <si>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</si>
  <si>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</si>
  <si>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</si>
  <si>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</si>
  <si>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</si>
  <si>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</si>
  <si>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</si>
  <si>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</si>
  <si>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</si>
  <si>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</si>
  <si>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</si>
  <si>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</si>
  <si>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</si>
  <si>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</si>
  <si>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</si>
  <si>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</si>
  <si>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</si>
  <si>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</si>
  <si>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</si>
  <si>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</si>
  <si>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</si>
  <si>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</si>
  <si>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</si>
  <si>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</si>
  <si>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</si>
  <si>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</si>
  <si>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</si>
  <si>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</si>
  <si>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</si>
  <si>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</si>
  <si>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</si>
  <si>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</si>
  <si>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</si>
  <si>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</si>
  <si>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</si>
  <si>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</si>
  <si>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</si>
  <si>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</si>
  <si>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</si>
  <si>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</si>
  <si>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</si>
  <si>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</si>
  <si>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</si>
  <si>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</si>
  <si>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</si>
  <si>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</si>
  <si>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</si>
  <si>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</si>
  <si>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</si>
  <si>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</si>
  <si>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</si>
  <si>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</si>
  <si>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</si>
  <si>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</si>
  <si>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</si>
  <si>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</si>
  <si>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</si>
  <si>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</si>
  <si>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</si>
  <si>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</si>
  <si>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</si>
  <si>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</si>
  <si>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</si>
  <si>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</si>
  <si>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</si>
  <si>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</si>
  <si>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</si>
  <si>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</si>
  <si>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</si>
  <si>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</si>
  <si>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</si>
  <si>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</si>
  <si>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</si>
  <si>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</si>
  <si>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</si>
  <si>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</si>
  <si>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</si>
  <si>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</si>
  <si>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</si>
  <si>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</si>
  <si>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</si>
  <si>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</si>
  <si>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</si>
  <si>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</si>
  <si>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</si>
  <si>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</si>
  <si>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</si>
  <si>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</si>
  <si>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</si>
  <si>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</si>
  <si>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</si>
  <si>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</si>
  <si>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</si>
  <si>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</si>
  <si>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</si>
  <si>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</si>
  <si>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</si>
  <si>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</si>
  <si>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</si>
  <si>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</si>
  <si>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</si>
  <si>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</si>
  <si>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</si>
  <si>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</si>
  <si>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</si>
  <si>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</si>
  <si>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</si>
  <si>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</si>
  <si>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</si>
  <si>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</si>
  <si>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</si>
  <si>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</si>
  <si>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</si>
  <si>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</si>
  <si>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</si>
  <si>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</si>
  <si>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</si>
  <si>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</si>
  <si>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</si>
  <si>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</si>
  <si>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</si>
  <si>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</si>
  <si>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</si>
  <si>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</si>
  <si>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</si>
  <si>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</si>
  <si>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M224</t>
  </si>
  <si>
    <t>M225</t>
  </si>
  <si>
    <t>M226</t>
  </si>
  <si>
    <t>M227</t>
  </si>
  <si>
    <t>M228</t>
  </si>
  <si>
    <t>M229</t>
  </si>
  <si>
    <t>M230</t>
  </si>
  <si>
    <t>M231</t>
  </si>
  <si>
    <t>M232</t>
  </si>
  <si>
    <t>M233</t>
  </si>
  <si>
    <t>M234</t>
  </si>
  <si>
    <t>M235</t>
  </si>
  <si>
    <t>M236</t>
  </si>
  <si>
    <t>M237</t>
  </si>
  <si>
    <t>M238</t>
  </si>
  <si>
    <t>M239</t>
  </si>
  <si>
    <t>M240</t>
  </si>
  <si>
    <t>Compte</t>
  </si>
  <si>
    <t>Débit</t>
  </si>
  <si>
    <t>Crédit</t>
  </si>
  <si>
    <t>Comptes clients</t>
  </si>
  <si>
    <t>TPS à payer</t>
  </si>
  <si>
    <t>TVQ à payer</t>
  </si>
  <si>
    <t>Ventes</t>
  </si>
  <si>
    <t>(valeur provenant de votre feuille des ventes réelles)</t>
  </si>
  <si>
    <t>Banque</t>
  </si>
  <si>
    <r>
      <t>Achat</t>
    </r>
    <r>
      <rPr>
        <sz val="11"/>
        <color rgb="FFFF0000"/>
        <rFont val="Aptos Narrow"/>
        <family val="2"/>
        <scheme val="minor"/>
      </rPr>
      <t xml:space="preserve"> (si commande Express)</t>
    </r>
  </si>
  <si>
    <t>(si pénalité de retard)</t>
  </si>
  <si>
    <t>Transport sur achats</t>
  </si>
  <si>
    <t>TPS à recevoir</t>
  </si>
  <si>
    <t>TVQ à recevoir</t>
  </si>
  <si>
    <t>Charges taxables (à faire en une écriture)</t>
  </si>
  <si>
    <t>Charges non-taxables</t>
  </si>
  <si>
    <t>Remboursement hypothèque</t>
  </si>
  <si>
    <t>Emprunt hypothécaire</t>
  </si>
  <si>
    <t>Intérêt</t>
  </si>
  <si>
    <t>Remboursement Capital de risque</t>
  </si>
  <si>
    <t>Écriture de Salaire (voir votre feuille salaire)</t>
  </si>
  <si>
    <t>==&gt; saisir la transaction de salaire tel que présentée dans la croix comptable</t>
  </si>
  <si>
    <t>Écriture d'amortissement (en lien avec votre tableau de calcul Outil-Charges)</t>
  </si>
  <si>
    <t>Bâtiment - amortissement</t>
  </si>
  <si>
    <t>Bâtiment - amortissement cumulé</t>
  </si>
  <si>
    <t>Amélioration locative - amortissement</t>
  </si>
  <si>
    <t>Amélioration locative - amortissement cumulé</t>
  </si>
  <si>
    <t>Site transactionnel - amortissement</t>
  </si>
  <si>
    <t>Site transactionnel - amortissement cumulé</t>
  </si>
  <si>
    <t>Caisses - amortissement</t>
  </si>
  <si>
    <t>Caisses - amortissement cumulé</t>
  </si>
  <si>
    <t>Équipement de cuisine - amortissement</t>
  </si>
  <si>
    <t>Équipmeent de cuisine - amortissement cumulé</t>
  </si>
  <si>
    <t>Équipeme de manutention - amortissement</t>
  </si>
  <si>
    <t>Équipement de manutention - amortissement cumulé</t>
  </si>
  <si>
    <t>Équipement informatique - amortissement</t>
  </si>
  <si>
    <t>Équipmeent informatique - amortissement cumulé</t>
  </si>
  <si>
    <t>Ameublement - amortissement</t>
  </si>
  <si>
    <t>Ameublement - amortissement cumulé</t>
  </si>
  <si>
    <t>Frais d'incorporation - amortissement</t>
  </si>
  <si>
    <t>Frais d'incorporation - amortissement cumulé</t>
  </si>
  <si>
    <t>Écriture de régularisation</t>
  </si>
  <si>
    <t>Étude de marché</t>
  </si>
  <si>
    <t>Frais payés d'avance</t>
  </si>
  <si>
    <t>Divers</t>
  </si>
  <si>
    <r>
      <t xml:space="preserve">Inventaire </t>
    </r>
    <r>
      <rPr>
        <sz val="11"/>
        <color rgb="FFFF0000"/>
        <rFont val="Aptos Narrow"/>
        <family val="2"/>
        <scheme val="minor"/>
      </rPr>
      <t>(TRIM 1 seulement)</t>
    </r>
  </si>
  <si>
    <t>Remboursement de votre marge de crédit en fonction de votre compte de Banque</t>
  </si>
  <si>
    <t>Intérêt sur la marge de crédit</t>
  </si>
  <si>
    <t>=11%/4</t>
  </si>
  <si>
    <t>Remboursement des taxes à recevoir</t>
  </si>
  <si>
    <t>Taxes nettes à recevoir</t>
  </si>
  <si>
    <t>Écriture des taxes (faire votre écriture de taxes pour le Trimestre 1</t>
  </si>
  <si>
    <t>T.P.S. à payer</t>
  </si>
  <si>
    <t>T.V.Q à payer</t>
  </si>
  <si>
    <t>T.P.S à recevoir</t>
  </si>
  <si>
    <t>T.V.Q. à recevoir</t>
  </si>
  <si>
    <t>Comptes de taxes nettes</t>
  </si>
  <si>
    <t>Volume total achété (M3)</t>
  </si>
  <si>
    <t>Avec Transport Desgagné, vous allez toujours arriver en premier!</t>
  </si>
  <si>
    <t>Bon de commande</t>
  </si>
  <si>
    <t>Transport Desgagnés</t>
  </si>
  <si>
    <t>123, rue XYZ</t>
  </si>
  <si>
    <t>N° de commande :</t>
  </si>
  <si>
    <t>Québec, G4D 1S5</t>
  </si>
  <si>
    <t>Date :</t>
  </si>
  <si>
    <t>410-555-555</t>
  </si>
  <si>
    <t>ID du client :</t>
  </si>
  <si>
    <t>ABC12345</t>
  </si>
  <si>
    <t>Service@DGT.com</t>
  </si>
  <si>
    <t>Simul inc</t>
  </si>
  <si>
    <t>Entreprise Issa</t>
  </si>
  <si>
    <t>Cégep Limoilou</t>
  </si>
  <si>
    <t>Tâche</t>
  </si>
  <si>
    <t>Conditions de paiement</t>
  </si>
  <si>
    <t>Date d’échéance</t>
  </si>
  <si>
    <t>Robert Vézina</t>
  </si>
  <si>
    <t>Représentant</t>
  </si>
  <si>
    <t>N/30 +5% retard</t>
  </si>
  <si>
    <t>17/02/2026</t>
  </si>
  <si>
    <t>Quantité</t>
  </si>
  <si>
    <t>Description</t>
  </si>
  <si>
    <t>Prix unitaire</t>
  </si>
  <si>
    <t>Total de la ligne</t>
  </si>
  <si>
    <t>voyages 150 m3</t>
  </si>
  <si>
    <t>voyages 100 m3</t>
  </si>
  <si>
    <t>Sous-total</t>
  </si>
  <si>
    <t>TOTAL</t>
  </si>
  <si>
    <t>***Ceci n'est pas une facture ****</t>
  </si>
  <si>
    <t>NOUS VOUS REMERCIONS DE VOTRE CONFIANCE.</t>
  </si>
  <si>
    <t>Vendu à</t>
  </si>
  <si>
    <t>Simul inc.</t>
  </si>
  <si>
    <t>N° bon de commande</t>
  </si>
  <si>
    <t>No. 1112223</t>
  </si>
  <si>
    <t>cégep Limoilou</t>
  </si>
  <si>
    <t>G1G1G1</t>
  </si>
  <si>
    <t>581-090-2426</t>
  </si>
  <si>
    <t>Nº de l’article</t>
  </si>
  <si>
    <t>Remise</t>
  </si>
  <si>
    <t>Pour toute question concernant cette facture, utilisez les informations de contact :</t>
  </si>
  <si>
    <t>Nom, numéro de téléphone, e-mail du contact</t>
  </si>
  <si>
    <t>T.P.S.</t>
  </si>
  <si>
    <t>Nous vous remercions de votre confiance.</t>
  </si>
  <si>
    <t>T.V.Q</t>
  </si>
  <si>
    <t>Inventaire de début</t>
  </si>
  <si>
    <t>Besoins commande 2</t>
  </si>
  <si>
    <t xml:space="preserve">Marge de crédit </t>
  </si>
  <si>
    <t>TRIM "2</t>
  </si>
  <si>
    <t>Stock de début</t>
  </si>
  <si>
    <t>Voir BV</t>
  </si>
  <si>
    <t>Produit</t>
  </si>
  <si>
    <t>Prix de vente</t>
  </si>
  <si>
    <t>Coûtant</t>
  </si>
  <si>
    <t>Dimension par unité en M3</t>
  </si>
  <si>
    <t>% commission</t>
  </si>
  <si>
    <t>% avantages sociaux</t>
  </si>
  <si>
    <t>% honoraires professionnelles</t>
  </si>
  <si>
    <t>Ventes en unité TRIM 1</t>
  </si>
  <si>
    <t>Ventes en unité TRIM 2</t>
  </si>
  <si>
    <t>Ventes en unité (Vitesse de croisière) - année 3</t>
  </si>
  <si>
    <t xml:space="preserve">Salaire </t>
  </si>
  <si>
    <t>Coût pour 150 m3 (transport sur achat)</t>
  </si>
  <si>
    <t>Coût pour 150 m3 (transport pour livraison)</t>
  </si>
  <si>
    <t>Coût achat</t>
  </si>
  <si>
    <t>Commission aux vendeurs</t>
  </si>
  <si>
    <t>Frais de livraison</t>
  </si>
  <si>
    <t>Total des coûts</t>
  </si>
  <si>
    <t>Marge sur les coûts directs</t>
  </si>
  <si>
    <t>Coût pour un m3</t>
  </si>
  <si>
    <t>150 m3</t>
  </si>
  <si>
    <t>1 m3</t>
  </si>
  <si>
    <t>Issa O</t>
  </si>
  <si>
    <t xml:space="preserve">États des résultats </t>
  </si>
  <si>
    <t>Pour la période se terminant au TRIM 1</t>
  </si>
  <si>
    <t>Ventes de biens :</t>
  </si>
  <si>
    <t>Solde TRIM 1</t>
  </si>
  <si>
    <t>Solde Année</t>
  </si>
  <si>
    <t>% Ventes</t>
  </si>
  <si>
    <t>Ventes de biens nettes</t>
  </si>
  <si>
    <t>Coût des marchandises vendues :</t>
  </si>
  <si>
    <t>Stocks de fin</t>
  </si>
  <si>
    <t>Bénéfice brut (perte brute)</t>
  </si>
  <si>
    <t>Frais d'exploitation :</t>
  </si>
  <si>
    <t>Électricité</t>
  </si>
  <si>
    <t>Assurances</t>
  </si>
  <si>
    <t>Honoraires professionnels</t>
  </si>
  <si>
    <t>Fournitures de bureau</t>
  </si>
  <si>
    <t>Taxes, permis, licences</t>
  </si>
  <si>
    <t>Entret./réparation</t>
  </si>
  <si>
    <t>Amort. - Ameublement</t>
  </si>
  <si>
    <t>Amort. - Équipement informatique</t>
  </si>
  <si>
    <t>Amort. - Equip. de vente - Caisse</t>
  </si>
  <si>
    <t>Amort. - Équipement - Manutention et Cuisine</t>
  </si>
  <si>
    <t>Amort. - Améliorations locatives</t>
  </si>
  <si>
    <t>Amort. - Frais d'incorporation reportés</t>
  </si>
  <si>
    <t>Intérêts et frais bancaires</t>
  </si>
  <si>
    <t>Total des frais</t>
  </si>
  <si>
    <t>perte nette</t>
  </si>
  <si>
    <t>x</t>
  </si>
  <si>
    <t>Bilan</t>
  </si>
  <si>
    <t>Au TRIM 1</t>
  </si>
  <si>
    <t>Actif à court terme</t>
  </si>
  <si>
    <t>Stocks de marchandises</t>
  </si>
  <si>
    <t>Total de l'actif à court terme</t>
  </si>
  <si>
    <t>Immobilisations</t>
  </si>
  <si>
    <t>Amort. cumulé - Ameublement</t>
  </si>
  <si>
    <t>Amort. cumulé - Équip. informatique</t>
  </si>
  <si>
    <t>Equipement de ventes - Caisse</t>
  </si>
  <si>
    <t>Amort. cumulé - Equip. de vente -Caisse</t>
  </si>
  <si>
    <t>Équipement- Manutention et Cuisine</t>
  </si>
  <si>
    <t>Amort. cumulé - Équipement - Manutention et Cuisine</t>
  </si>
  <si>
    <t>Amort. cumulé - Amélior. locatives</t>
  </si>
  <si>
    <t>Frais d'incorporation reportés</t>
  </si>
  <si>
    <t>Amort. cumulé - Frais d'incorporation</t>
  </si>
  <si>
    <t>Total des immobilisations</t>
  </si>
  <si>
    <t>Total de l'actif</t>
  </si>
  <si>
    <t>Passif à court terme</t>
  </si>
  <si>
    <t>D.A.S.  à payer</t>
  </si>
  <si>
    <t>Taxe a payer</t>
  </si>
  <si>
    <t>Total du passif à court terme</t>
  </si>
  <si>
    <t>Passif à long terme</t>
  </si>
  <si>
    <t>Total du passif à long terme</t>
  </si>
  <si>
    <t>Total du passif</t>
  </si>
  <si>
    <t>Capitaux</t>
  </si>
  <si>
    <t>Capital - Actions</t>
  </si>
  <si>
    <t>Subventions</t>
  </si>
  <si>
    <t>Perte nette</t>
  </si>
  <si>
    <t>Total Capitaux</t>
  </si>
  <si>
    <t>Total du passif et de l'avoir</t>
  </si>
  <si>
    <t>Prévision TRIM 2</t>
  </si>
  <si>
    <t xml:space="preserve">inventaire de fin </t>
  </si>
  <si>
    <t>Coût de la commande 2=</t>
  </si>
  <si>
    <t>Évaluation de l'inventaire au démarrage TRIM 2:</t>
  </si>
  <si>
    <t>Ventes potentielles</t>
  </si>
  <si>
    <t>gr02</t>
  </si>
  <si>
    <t>Trim 2</t>
  </si>
  <si>
    <t xml:space="preserve">Quantités commandées </t>
  </si>
  <si>
    <t>Outil - Coûts TRIM 2</t>
  </si>
  <si>
    <r>
      <t xml:space="preserve">Inventaire </t>
    </r>
    <r>
      <rPr>
        <sz val="11"/>
        <color rgb="FFFF0000"/>
        <rFont val="Aptos Narrow"/>
        <family val="2"/>
        <scheme val="minor"/>
      </rPr>
      <t>(TRIM 2 seulement)</t>
    </r>
  </si>
  <si>
    <t>Écriture des taxes (faire votre écriture de taxes pour le Trimestre 2</t>
  </si>
  <si>
    <r>
      <rPr>
        <b/>
        <u/>
        <sz val="11"/>
        <color theme="1"/>
        <rFont val="Aptos Narrow"/>
        <family val="2"/>
        <scheme val="minor"/>
      </rPr>
      <t>Rapport sur les ventes</t>
    </r>
    <r>
      <rPr>
        <b/>
        <sz val="11"/>
        <color theme="1"/>
        <rFont val="Aptos Narrow"/>
        <family val="2"/>
        <scheme val="minor"/>
      </rPr>
      <t xml:space="preserve"> (Coût d'achat)</t>
    </r>
  </si>
  <si>
    <r>
      <rPr>
        <b/>
        <u/>
        <sz val="11"/>
        <color theme="1"/>
        <rFont val="Aptos Narrow"/>
        <family val="2"/>
        <scheme val="minor"/>
      </rPr>
      <t>Rapport sur les ventes</t>
    </r>
    <r>
      <rPr>
        <b/>
        <sz val="11"/>
        <color theme="1"/>
        <rFont val="Aptos Narrow"/>
        <family val="2"/>
        <scheme val="minor"/>
      </rPr>
      <t xml:space="preserve"> (Transport)</t>
    </r>
  </si>
  <si>
    <r>
      <rPr>
        <b/>
        <u/>
        <sz val="11"/>
        <color theme="1"/>
        <rFont val="Aptos Narrow"/>
        <family val="2"/>
        <scheme val="minor"/>
      </rPr>
      <t>Rapport sur les ventes</t>
    </r>
    <r>
      <rPr>
        <b/>
        <sz val="11"/>
        <color theme="1"/>
        <rFont val="Aptos Narrow"/>
        <family val="2"/>
        <scheme val="minor"/>
      </rPr>
      <t xml:space="preserve"> (comm + avantages)</t>
    </r>
  </si>
  <si>
    <r>
      <rPr>
        <b/>
        <u/>
        <sz val="11"/>
        <color theme="1"/>
        <rFont val="Aptos Narrow"/>
        <family val="2"/>
        <scheme val="minor"/>
      </rPr>
      <t>Rapport sur les ventes</t>
    </r>
    <r>
      <rPr>
        <b/>
        <sz val="11"/>
        <color theme="1"/>
        <rFont val="Aptos Narrow"/>
        <family val="2"/>
        <scheme val="minor"/>
      </rPr>
      <t xml:space="preserve"> (Livraison)</t>
    </r>
  </si>
  <si>
    <r>
      <rPr>
        <b/>
        <u/>
        <sz val="11"/>
        <color theme="1"/>
        <rFont val="Aptos Narrow"/>
        <family val="2"/>
        <scheme val="minor"/>
      </rPr>
      <t>Rapport sur les ventes</t>
    </r>
    <r>
      <rPr>
        <b/>
        <sz val="11"/>
        <color theme="1"/>
        <rFont val="Aptos Narrow"/>
        <family val="2"/>
        <scheme val="minor"/>
      </rPr>
      <t xml:space="preserve"> (Honoraires)</t>
    </r>
  </si>
  <si>
    <r>
      <rPr>
        <b/>
        <u/>
        <sz val="11"/>
        <color theme="1"/>
        <rFont val="Aptos Narrow"/>
        <family val="2"/>
        <scheme val="minor"/>
      </rPr>
      <t>Rapport sur les ventes</t>
    </r>
    <r>
      <rPr>
        <b/>
        <sz val="11"/>
        <color theme="1"/>
        <rFont val="Aptos Narrow"/>
        <family val="2"/>
        <scheme val="minor"/>
      </rPr>
      <t xml:space="preserve"> (total)</t>
    </r>
  </si>
  <si>
    <r>
      <rPr>
        <b/>
        <u/>
        <sz val="11"/>
        <color theme="1"/>
        <rFont val="Aptos Narrow"/>
        <family val="2"/>
        <scheme val="minor"/>
      </rPr>
      <t>Rapport sur les ventes</t>
    </r>
    <r>
      <rPr>
        <b/>
        <sz val="11"/>
        <color theme="1"/>
        <rFont val="Aptos Narrow"/>
        <family val="2"/>
        <scheme val="minor"/>
      </rPr>
      <t xml:space="preserve"> (marge)</t>
    </r>
  </si>
  <si>
    <r>
      <t xml:space="preserve">Marge avec volume </t>
    </r>
    <r>
      <rPr>
        <b/>
        <sz val="11"/>
        <color theme="1"/>
        <rFont val="Aptos Narrow"/>
        <family val="2"/>
        <scheme val="minor"/>
      </rPr>
      <t>pour les ventes TRIM 1 et TRIM2</t>
    </r>
  </si>
  <si>
    <r>
      <rPr>
        <b/>
        <u/>
        <sz val="11"/>
        <color theme="1"/>
        <rFont val="Aptos Narrow"/>
        <family val="2"/>
        <scheme val="minor"/>
      </rPr>
      <t>Rapport au total</t>
    </r>
    <r>
      <rPr>
        <b/>
        <sz val="11"/>
        <color theme="1"/>
        <rFont val="Aptos Narrow"/>
        <family val="2"/>
        <scheme val="minor"/>
      </rPr>
      <t xml:space="preserve"> de la marge</t>
    </r>
  </si>
  <si>
    <r>
      <rPr>
        <b/>
        <u/>
        <sz val="11"/>
        <color theme="1"/>
        <rFont val="Aptos Narrow"/>
        <family val="2"/>
        <scheme val="minor"/>
      </rPr>
      <t>Marge avec volume</t>
    </r>
    <r>
      <rPr>
        <b/>
        <sz val="11"/>
        <color theme="1"/>
        <rFont val="Aptos Narrow"/>
        <family val="2"/>
        <scheme val="minor"/>
      </rPr>
      <t xml:space="preserve"> en vitesse de croisière (année 3)</t>
    </r>
  </si>
  <si>
    <r>
      <rPr>
        <b/>
        <u/>
        <sz val="11"/>
        <color theme="1"/>
        <rFont val="Aptos Narrow"/>
        <family val="2"/>
        <scheme val="minor"/>
      </rPr>
      <t xml:space="preserve">Rapport au total </t>
    </r>
    <r>
      <rPr>
        <b/>
        <sz val="11"/>
        <color theme="1"/>
        <rFont val="Aptos Narrow"/>
        <family val="2"/>
        <scheme val="minor"/>
      </rPr>
      <t>de la marge (en vitesse de croisière)</t>
    </r>
  </si>
  <si>
    <t>Stock de marchandises de fin</t>
  </si>
  <si>
    <t>Au TRIM 2</t>
  </si>
  <si>
    <t>Frais de transport sur achats</t>
  </si>
  <si>
    <t>Stocks de début</t>
  </si>
  <si>
    <t>Frais Divers</t>
  </si>
  <si>
    <t>Solde TRIM 2</t>
  </si>
  <si>
    <t>Pour la période se terminant au TRIM 2</t>
  </si>
  <si>
    <t>% ventes trim1</t>
  </si>
  <si>
    <t>% ventes trim2</t>
  </si>
  <si>
    <t>Solde Année cumul</t>
  </si>
  <si>
    <t>% Ventes total trim1 et 2</t>
  </si>
  <si>
    <t>TRIM1</t>
  </si>
  <si>
    <t>AV TRIM 1</t>
  </si>
  <si>
    <t>AV TRIM 2</t>
  </si>
  <si>
    <t>AH</t>
  </si>
  <si>
    <t>Stocks de marchandises de fin</t>
  </si>
  <si>
    <r>
      <t>Approche frais variables et frais fixes:</t>
    </r>
    <r>
      <rPr>
        <b/>
        <sz val="11"/>
        <color theme="1"/>
        <rFont val="Aptos Narrow"/>
        <family val="2"/>
        <scheme val="minor"/>
      </rPr>
      <t xml:space="preserve"> (Pour Simul)</t>
    </r>
  </si>
  <si>
    <t>Calculs à compléter</t>
  </si>
  <si>
    <t>(Seuil de rentabilité)</t>
  </si>
  <si>
    <t>Données à ajuster avec vos chiffres de simulation</t>
  </si>
  <si>
    <t>Données à inscrire</t>
  </si>
  <si>
    <t>Frais variables:</t>
  </si>
  <si>
    <t>Emploi temps complet (TRIM1 et 2)</t>
  </si>
  <si>
    <t>Semestriel</t>
  </si>
  <si>
    <t>CMV</t>
  </si>
  <si>
    <t>$var</t>
  </si>
  <si>
    <t>Marge sur coût variable</t>
  </si>
  <si>
    <t>$fix</t>
  </si>
  <si>
    <t>=$CMV + $Charge -$Var</t>
  </si>
  <si>
    <t>Bénéfice net/Perte nette avant impôt</t>
  </si>
  <si>
    <t>(voir état des résultats semestriel)</t>
  </si>
  <si>
    <t>Frais fix. Annuel:</t>
  </si>
  <si>
    <t>x2 (car nous avons les résultats pour 1 semestre)</t>
  </si>
  <si>
    <t>Fond de pension</t>
  </si>
  <si>
    <t>Assurances collectives</t>
  </si>
  <si>
    <t>Frais de livraison (client)</t>
  </si>
  <si>
    <t>(Version 4)</t>
  </si>
  <si>
    <t>Frais entretien (variable)</t>
  </si>
  <si>
    <t>Rapport entre les prévisions semestrielles de l'année 1/ total de l'année 1</t>
  </si>
  <si>
    <t>(Version 1)</t>
  </si>
  <si>
    <t>(Version 2)</t>
  </si>
  <si>
    <t>(Version 3)</t>
  </si>
  <si>
    <t>Prévisions bénéfices ou pertes années</t>
  </si>
  <si>
    <t>Bénéfice net visé</t>
  </si>
  <si>
    <t>Ventes réelles semestre 1</t>
  </si>
  <si>
    <t>Total des frais variables</t>
  </si>
  <si>
    <t>Seuil de rentabilité</t>
  </si>
  <si>
    <t>Vitesse de croisière</t>
  </si>
  <si>
    <t>Total des charges (CMV + charges d'exploitation)</t>
  </si>
  <si>
    <t>(version 1.1)</t>
  </si>
  <si>
    <t>Marge de sécurité</t>
  </si>
  <si>
    <t>Distribution par produits:</t>
  </si>
  <si>
    <t>Bénéfice pour des ventes estimées (année 1)</t>
  </si>
  <si>
    <t>Ventes réelles en $ (Outil_vente Trim 1 + TRIM2)</t>
  </si>
  <si>
    <t>Proportion C/E</t>
  </si>
  <si>
    <t>Moyenne pondérée du prix de vente unitaire</t>
  </si>
  <si>
    <t>$</t>
  </si>
  <si>
    <t>Qté</t>
  </si>
  <si>
    <t>PF1</t>
  </si>
  <si>
    <t>PF2</t>
  </si>
  <si>
    <t>PF3</t>
  </si>
  <si>
    <t>PF4</t>
  </si>
  <si>
    <t>PF5</t>
  </si>
  <si>
    <t>PF6</t>
  </si>
  <si>
    <t>PF7</t>
  </si>
  <si>
    <t>PF8</t>
  </si>
  <si>
    <t>PF9</t>
  </si>
  <si>
    <t>PF10</t>
  </si>
  <si>
    <t>PF11</t>
  </si>
  <si>
    <t>PF12</t>
  </si>
  <si>
    <t>PF13</t>
  </si>
  <si>
    <t>Rendement sur les capitaux propres</t>
  </si>
  <si>
    <t>Bén/Cap. Propres</t>
  </si>
  <si>
    <t>Efficacité des opérations</t>
  </si>
  <si>
    <t>Efficacité de l'actif</t>
  </si>
  <si>
    <t>Effet de levier</t>
  </si>
  <si>
    <t>Bén/ventes</t>
  </si>
  <si>
    <t>Ventes/actif</t>
  </si>
  <si>
    <t>Actif/Avoir</t>
  </si>
  <si>
    <t>Liquidité</t>
  </si>
  <si>
    <t>ACT/PCT</t>
  </si>
  <si>
    <t>ACT - PCT</t>
  </si>
  <si>
    <t>Trim 1</t>
  </si>
  <si>
    <t>trim 1</t>
  </si>
  <si>
    <t>trim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</si>
</sst>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6" formatCode="#,##0\ &quot;$&quot;_);[Red]\(#,##0\ &quot;$&quot;\)"/>
    <numFmt numFmtId="8" formatCode="#,##0.00\ &quot;$&quot;_);[Red]\(#,##0.00\ &quot;$&quot;\)"/>
    <numFmt numFmtId="44" formatCode="_ * #,##0.00_)\ &quot;$&quot;_ ;_ * \(#,##0.00\)\ &quot;$&quot;_ ;_ * &quot;-&quot;??_)\ &quot;$&quot;_ ;_ @_ "/>
    <numFmt numFmtId="43" formatCode="_ * #,##0.00_)_ ;_ * \(#,##0.00\)_ ;_ * &quot;-&quot;??_)_ ;_ @_ "/>
    <numFmt numFmtId="164" formatCode="_ * #,##0_)\ _$_ ;_ * \(#,##0\)\ _$_ ;_ * &quot;-&quot;??_)\ _$_ ;_ @_ "/>
    <numFmt numFmtId="165" formatCode="#,##0.00\ &quot;$&quot;"/>
    <numFmt numFmtId="166" formatCode="#,##0\ &quot;$&quot;"/>
    <numFmt numFmtId="167" formatCode="_ * #,##0_)\ &quot;$&quot;_ ;_ * \(#,##0\)\ &quot;$&quot;_ ;_ * &quot;-&quot;??_)\ &quot;$&quot;_ ;_ @_ "/>
    <numFmt numFmtId="168" formatCode="0.0"/>
    <numFmt numFmtId="169" formatCode="0.000"/>
    <numFmt numFmtId="170" formatCode="#,##0.0\ &quot;$&quot;_);[Red]\(#,##0.0\ &quot;$&quot;\)"/>
    <numFmt numFmtId="171" formatCode="0.000%"/>
    <numFmt numFmtId="172" formatCode="0.0%"/>
    <numFmt numFmtId="173" formatCode="0#&quot; &quot;##&quot; &quot;##&quot; &quot;##&quot; &quot;##"/>
    <numFmt numFmtId="174" formatCode="_-* #,##0.00\ &quot;€&quot;_-;\-* #,##0.00\ &quot;€&quot;_-;_-* &quot;-&quot;??\ &quot;€&quot;_-;_-@_-"/>
    <numFmt numFmtId="175" formatCode="#,##0.00\ &quot;€&quot;"/>
    <numFmt numFmtId="176" formatCode="_ * #,##0.00_)\ [$$-C0C]_ ;_ * \(#,##0.00\)\ [$$-C0C]_ ;_ * &quot;-&quot;??_)\ [$$-C0C]_ ;_ @_ "/>
    <numFmt numFmtId="177" formatCode="_ * #,##0_)\ [$$-C0C]_ ;_ * \(#,##0\)\ [$$-C0C]_ ;_ * &quot;-&quot;??_)\ [$$-C0C]_ ;_ @_ "/>
    <numFmt numFmtId="178" formatCode="_ * #,##0_)\ &quot;$&quot;_ ;_ * \(#,##0\)\ &quot;$&quot;_ ;_ * &quot;-&quot;?_)\ &quot;$&quot;_ ;_ @_ "/>
    <numFmt numFmtId="179" formatCode="_ * #,##0.0_)\ &quot;$&quot;_ ;_ * \(#,##0.0\)\ &quot;$&quot;_ ;_ * &quot;-&quot;?_)\ &quot;$&quot;_ ;_ @_ "/>
  </numFmts>
  <fonts count="51" x14ac:knownFonts="1">
    <font>
      <sz val="11"/>
      <color theme="1"/>
      <name val="Aptos Narrow"/>
      <family val="2"/>
      <scheme val="minor"/>
    </font>
    <font>
      <b/>
      <sz val="11"/>
      <color theme="1"/>
      <name val="Aptos Narrow"/>
      <family val="2"/>
      <scheme val="minor"/>
    </font>
    <font>
      <b/>
      <sz val="9"/>
      <color theme="1"/>
      <name val="Calibri"/>
      <family val="2"/>
    </font>
    <font>
      <sz val="9"/>
      <color theme="1"/>
      <name val="Calibri"/>
      <family val="2"/>
    </font>
    <font>
      <sz val="11"/>
      <color rgb="FF000000"/>
      <name val="Calibri"/>
      <family val="2"/>
    </font>
    <font>
      <b/>
      <sz val="11"/>
      <color rgb="FF000000"/>
      <name val="Calibri"/>
      <family val="2"/>
    </font>
    <font>
      <sz val="11"/>
      <color theme="1"/>
      <name val="Aptos Narrow"/>
      <family val="2"/>
      <scheme val="minor"/>
    </font>
    <font>
      <sz val="9"/>
      <color theme="1"/>
      <name val="Aptos Narrow"/>
      <family val="2"/>
      <scheme val="minor"/>
    </font>
    <font>
      <sz val="11"/>
      <color rgb="FFFF0000"/>
      <name val="Aptos Narrow"/>
      <family val="2"/>
      <scheme val="minor"/>
    </font>
    <font>
      <b/>
      <sz val="9"/>
      <name val="Aptos Narrow"/>
      <family val="2"/>
      <scheme val="minor"/>
    </font>
    <font>
      <b/>
      <u/>
      <sz val="11"/>
      <color theme="1"/>
      <name val="Aptos Narrow"/>
      <family val="2"/>
      <scheme val="minor"/>
    </font>
    <font>
      <sz val="9"/>
      <color indexed="81"/>
      <name val="Tahoma"/>
      <family val="2"/>
    </font>
    <font>
      <b/>
      <sz val="9"/>
      <color indexed="81"/>
      <name val="Tahoma"/>
      <family val="2"/>
    </font>
    <font>
      <b/>
      <u/>
      <sz val="9"/>
      <color indexed="81"/>
      <name val="Tahoma"/>
      <family val="2"/>
    </font>
    <font>
      <sz val="8"/>
      <name val="Aptos Narrow"/>
      <family val="2"/>
      <scheme val="minor"/>
    </font>
    <font>
      <sz val="8"/>
      <color theme="1"/>
      <name val="Aptos Narrow"/>
      <family val="2"/>
      <scheme val="minor"/>
    </font>
    <font>
      <b/>
      <sz val="11"/>
      <color rgb="FFC00000"/>
      <name val="Aptos Narrow"/>
      <family val="2"/>
      <scheme val="minor"/>
    </font>
    <font>
      <sz val="11"/>
      <color rgb="FFC00000"/>
      <name val="Aptos Narrow"/>
      <family val="2"/>
      <scheme val="minor"/>
    </font>
    <font>
      <b/>
      <sz val="9"/>
      <color indexed="81"/>
      <name val="Tahoma"/>
      <charset val="1"/>
    </font>
    <font>
      <sz val="9"/>
      <color indexed="81"/>
      <name val="Tahoma"/>
      <charset val="1"/>
    </font>
    <font>
      <sz val="11"/>
      <color theme="0"/>
      <name val="Aptos Narrow"/>
      <family val="2"/>
      <scheme val="minor"/>
    </font>
    <font>
      <sz val="10"/>
      <name val="Arial"/>
      <family val="2"/>
    </font>
    <font>
      <b/>
      <sz val="10"/>
      <name val="Arial"/>
      <family val="2"/>
    </font>
    <font>
      <sz val="11"/>
      <name val="Aptos Narrow"/>
      <family val="2"/>
      <scheme val="minor"/>
    </font>
    <font>
      <b/>
      <sz val="11"/>
      <color theme="9" tint="-0.249977111117893"/>
      <name val="Aptos Narrow"/>
      <family val="2"/>
      <scheme val="minor"/>
    </font>
    <font>
      <b/>
      <sz val="11"/>
      <color rgb="FFFF0000"/>
      <name val="Aptos Narrow"/>
      <family val="2"/>
      <scheme val="minor"/>
    </font>
    <font>
      <sz val="11"/>
      <color theme="0" tint="-0.249977111117893"/>
      <name val="Aptos Narrow"/>
      <family val="2"/>
      <scheme val="minor"/>
    </font>
    <font>
      <b/>
      <u/>
      <sz val="10"/>
      <name val="Arial"/>
      <family val="2"/>
    </font>
    <font>
      <i/>
      <sz val="11"/>
      <color theme="3" tint="-0.24994659260841701"/>
      <name val="Aptos Narrow"/>
      <family val="2"/>
      <scheme val="minor"/>
    </font>
    <font>
      <sz val="36"/>
      <color theme="4" tint="-0.24994659260841701"/>
      <name val="Aptos Display"/>
      <family val="2"/>
      <scheme val="major"/>
    </font>
    <font>
      <sz val="22"/>
      <color rgb="FF002060"/>
      <name val="Aptos Display"/>
      <family val="2"/>
      <scheme val="major"/>
    </font>
    <font>
      <sz val="11"/>
      <color theme="3" tint="-0.24994659260841701"/>
      <name val="Aptos Narrow"/>
      <family val="2"/>
      <scheme val="minor"/>
    </font>
    <font>
      <sz val="12"/>
      <color theme="4" tint="-0.499984740745262"/>
      <name val="Aptos Narrow"/>
      <family val="2"/>
      <scheme val="minor"/>
    </font>
    <font>
      <sz val="12"/>
      <color rgb="FF002060"/>
      <name val="Aptos Narrow"/>
      <family val="2"/>
      <scheme val="minor"/>
    </font>
    <font>
      <sz val="11"/>
      <color theme="4" tint="-0.499984740745262"/>
      <name val="Aptos Narrow"/>
      <family val="2"/>
      <scheme val="minor"/>
    </font>
    <font>
      <sz val="11"/>
      <color rgb="FF002060"/>
      <name val="Aptos Narrow"/>
      <family val="2"/>
      <scheme val="minor"/>
    </font>
    <font>
      <sz val="11"/>
      <color theme="3" tint="-0.24994659260841701"/>
      <name val="Arial"/>
      <family val="2"/>
    </font>
    <font>
      <sz val="11"/>
      <color theme="0"/>
      <name val="Aptos Display"/>
      <family val="2"/>
      <scheme val="major"/>
    </font>
    <font>
      <b/>
      <sz val="11"/>
      <color theme="3" tint="-0.24994659260841701"/>
      <name val="Aptos Narrow"/>
      <family val="2"/>
      <scheme val="minor"/>
    </font>
    <font>
      <sz val="10"/>
      <color theme="1"/>
      <name val="Aptos Narrow"/>
      <family val="2"/>
      <scheme val="minor"/>
    </font>
    <font>
      <sz val="12"/>
      <color theme="5"/>
      <name val="Aptos Display"/>
      <family val="2"/>
      <scheme val="major"/>
    </font>
    <font>
      <sz val="12"/>
      <color theme="5"/>
      <name val="Aptos Narrow"/>
      <family val="2"/>
      <scheme val="minor"/>
    </font>
    <font>
      <sz val="10"/>
      <color theme="5"/>
      <name val="Aptos Narrow"/>
      <family val="2"/>
      <scheme val="minor"/>
    </font>
    <font>
      <sz val="10"/>
      <color theme="0"/>
      <name val="Aptos Narrow"/>
      <family val="2"/>
      <scheme val="minor"/>
    </font>
    <font>
      <b/>
      <sz val="12"/>
      <color theme="1"/>
      <name val="Aptos Narrow"/>
      <family val="2"/>
      <scheme val="minor"/>
    </font>
    <font>
      <b/>
      <sz val="14"/>
      <color theme="1"/>
      <name val="Aptos Narrow"/>
      <family val="2"/>
      <scheme val="minor"/>
    </font>
    <font>
      <b/>
      <sz val="11"/>
      <name val="Aptos Narrow"/>
      <family val="2"/>
      <scheme val="minor"/>
    </font>
    <font>
      <sz val="14"/>
      <color theme="1"/>
      <name val="Aptos Narrow"/>
      <family val="2"/>
      <scheme val="minor"/>
    </font>
    <font>
      <b/>
      <sz val="11"/>
      <color rgb="FF00B0F0"/>
      <name val="Aptos Narrow"/>
      <family val="2"/>
      <scheme val="minor"/>
    </font>
    <font>
      <sz val="11"/>
      <color theme="1" tint="0.34998626667073579"/>
      <name val="Aptos Narrow"/>
      <family val="2"/>
      <scheme val="minor"/>
    </font>
    <font>
      <i/>
      <sz val="11"/>
      <color theme="1"/>
      <name val="Aptos Narrow"/>
      <family val="2"/>
      <scheme val="minor"/>
    </font>
  </fonts>
  <fills count="3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FF99FF"/>
        <bgColor indexed="64"/>
      </patternFill>
    </fill>
    <fill>
      <patternFill patternType="solid">
        <fgColor rgb="FFFFC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C00000"/>
        <bgColor indexed="64"/>
      </patternFill>
    </fill>
    <fill>
      <patternFill patternType="solid">
        <fgColor theme="7" tint="-0.499984740745262"/>
        <bgColor indexed="64"/>
      </patternFill>
    </fill>
    <fill>
      <patternFill patternType="solid">
        <fgColor rgb="FF00B0F0"/>
        <bgColor indexed="64"/>
      </patternFill>
    </fill>
    <fill>
      <patternFill patternType="solid">
        <fgColor theme="5"/>
        <bgColor indexed="64"/>
      </patternFill>
    </fill>
    <fill>
      <patternFill patternType="solid">
        <fgColor theme="4"/>
        <bgColor indexed="64"/>
      </patternFill>
    </fill>
    <fill>
      <patternFill patternType="solid">
        <fgColor rgb="FF00B050"/>
        <bgColor indexed="64"/>
      </patternFill>
    </fill>
    <fill>
      <patternFill patternType="solid">
        <fgColor theme="4" tint="0.79998168889431442"/>
        <bgColor indexed="65"/>
      </patternFill>
    </fill>
    <fill>
      <patternFill patternType="solid">
        <fgColor indexed="42"/>
        <bgColor indexed="64"/>
      </patternFill>
    </fill>
    <fill>
      <patternFill patternType="solid">
        <fgColor indexed="47"/>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bgColor indexed="64"/>
      </patternFill>
    </fill>
    <fill>
      <gradientFill degree="90">
        <stop position="0">
          <color theme="4"/>
        </stop>
        <stop position="1">
          <color theme="4" tint="-0.49803155613879818"/>
        </stop>
      </gradientFill>
    </fill>
    <fill>
      <patternFill patternType="solid">
        <fgColor theme="3" tint="0.39997558519241921"/>
        <bgColor auto="1"/>
      </patternFill>
    </fill>
    <fill>
      <patternFill patternType="solid">
        <fgColor theme="3"/>
        <bgColor indexed="64"/>
      </patternFill>
    </fill>
    <fill>
      <patternFill patternType="solid">
        <fgColor theme="9"/>
        <bgColor indexed="64"/>
      </patternFill>
    </fill>
    <fill>
      <patternFill patternType="solid">
        <fgColor rgb="FFFF0000"/>
        <bgColor indexed="64"/>
      </patternFill>
    </fill>
    <fill>
      <patternFill patternType="solid">
        <fgColor rgb="FFFF6600"/>
        <bgColor indexed="64"/>
      </patternFill>
    </fill>
  </fills>
  <borders count="5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double">
        <color indexed="64"/>
      </bottom>
      <diagonal/>
    </border>
    <border>
      <left/>
      <right style="medium">
        <color indexed="64"/>
      </right>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3"/>
      </left>
      <right style="thin">
        <color theme="3"/>
      </right>
      <top style="thin">
        <color theme="3"/>
      </top>
      <bottom style="thin">
        <color theme="5" tint="0.79998168889431442"/>
      </bottom>
      <diagonal/>
    </border>
    <border>
      <left style="thin">
        <color theme="3"/>
      </left>
      <right style="thin">
        <color theme="3"/>
      </right>
      <top style="thin">
        <color theme="5" tint="0.79998168889431442"/>
      </top>
      <bottom style="thin">
        <color theme="5" tint="0.79998168889431442"/>
      </bottom>
      <diagonal/>
    </border>
    <border>
      <left style="thin">
        <color theme="3"/>
      </left>
      <right style="thin">
        <color theme="3"/>
      </right>
      <top/>
      <bottom style="thin">
        <color theme="3"/>
      </bottom>
      <diagonal/>
    </border>
    <border>
      <left/>
      <right/>
      <top/>
      <bottom style="double">
        <color indexed="64"/>
      </bottom>
      <diagonal/>
    </border>
    <border>
      <left/>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double">
        <color indexed="64"/>
      </bottom>
      <diagonal/>
    </border>
  </borders>
  <cellStyleXfs count="26">
    <xf numFmtId="0" fontId="0" fillId="0" borderId="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1" fillId="0" borderId="0"/>
    <xf numFmtId="44" fontId="21" fillId="0" borderId="0" applyFont="0" applyFill="0" applyBorder="0" applyAlignment="0" applyProtection="0"/>
    <xf numFmtId="9" fontId="21" fillId="0" borderId="0" applyFont="0" applyFill="0" applyBorder="0" applyAlignment="0" applyProtection="0"/>
    <xf numFmtId="0" fontId="28" fillId="0" borderId="0" applyNumberFormat="0" applyFill="0" applyProtection="0">
      <alignment horizontal="left" wrapText="1"/>
    </xf>
    <xf numFmtId="0" fontId="29" fillId="0" borderId="0" applyNumberFormat="0" applyFill="0" applyBorder="0" applyProtection="0">
      <alignment horizontal="right" vertical="center"/>
    </xf>
    <xf numFmtId="0" fontId="31" fillId="0" borderId="0">
      <alignment horizontal="left" wrapText="1"/>
    </xf>
    <xf numFmtId="0" fontId="32" fillId="0" borderId="0" applyNumberFormat="0" applyFill="0" applyProtection="0">
      <alignment horizontal="left"/>
    </xf>
    <xf numFmtId="0" fontId="34" fillId="0" borderId="0" applyNumberFormat="0" applyFill="0" applyProtection="0">
      <alignment horizontal="right"/>
    </xf>
    <xf numFmtId="14" fontId="36" fillId="0" borderId="0" applyFont="0" applyFill="0" applyBorder="0">
      <alignment horizontal="left"/>
    </xf>
    <xf numFmtId="173" fontId="31" fillId="0" borderId="0" applyFont="0" applyFill="0" applyBorder="0">
      <alignment horizontal="left" vertical="top" wrapText="1"/>
    </xf>
    <xf numFmtId="0" fontId="31" fillId="0" borderId="0" applyNumberFormat="0" applyFill="0" applyBorder="0" applyAlignment="0" applyProtection="0">
      <alignment horizontal="left" wrapText="1"/>
    </xf>
    <xf numFmtId="0" fontId="37" fillId="27" borderId="0" applyNumberFormat="0" applyBorder="0" applyProtection="0">
      <alignment horizontal="left"/>
    </xf>
    <xf numFmtId="0" fontId="6" fillId="20" borderId="0" applyNumberFormat="0" applyBorder="0" applyProtection="0">
      <alignment horizontal="left" vertical="center" wrapText="1"/>
    </xf>
    <xf numFmtId="175" fontId="31" fillId="0" borderId="0" applyFont="0" applyFill="0" applyBorder="0" applyProtection="0">
      <alignment horizontal="left" vertical="center"/>
    </xf>
    <xf numFmtId="174" fontId="6" fillId="0" borderId="0" applyFont="0" applyFill="0" applyBorder="0" applyAlignment="0" applyProtection="0"/>
    <xf numFmtId="0" fontId="31" fillId="0" borderId="0" applyNumberFormat="0" applyFont="0" applyFill="0" applyBorder="0">
      <alignment horizontal="right" vertical="center" wrapText="1"/>
    </xf>
    <xf numFmtId="10" fontId="31" fillId="0" borderId="0" applyFont="0" applyFill="0" applyBorder="0" applyProtection="0">
      <alignment horizontal="left" vertical="center"/>
    </xf>
    <xf numFmtId="174" fontId="31" fillId="0" borderId="0" applyFont="0" applyFill="0" applyBorder="0" applyProtection="0">
      <alignment horizontal="right" vertical="center"/>
    </xf>
    <xf numFmtId="0" fontId="38" fillId="0" borderId="0" applyNumberFormat="0" applyFill="0" applyProtection="0">
      <alignment horizontal="right" vertical="center" indent="9"/>
    </xf>
    <xf numFmtId="0" fontId="31" fillId="0" borderId="0" applyNumberFormat="0" applyFill="0" applyBorder="0" applyProtection="0">
      <alignment horizontal="center" vertical="center" wrapText="1"/>
    </xf>
    <xf numFmtId="0" fontId="34" fillId="0" borderId="0" applyNumberFormat="0" applyProtection="0">
      <alignment horizontal="center" vertical="center" wrapText="1"/>
    </xf>
    <xf numFmtId="44" fontId="6" fillId="0" borderId="0" applyFont="0" applyFill="0" applyBorder="0" applyAlignment="0" applyProtection="0"/>
  </cellStyleXfs>
  <cellXfs count="772">
    <xf numFmtId="0" fontId="0" fillId="0" borderId="0" xfId="0"/>
    <xf numFmtId="0" fontId="3" fillId="0" borderId="2" xfId="0" applyFont="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4" fillId="0" borderId="4" xfId="0" applyFont="1" applyBorder="1" applyAlignment="1">
      <alignment horizontal="center" vertical="center"/>
    </xf>
    <xf numFmtId="1" fontId="0" fillId="0" borderId="0" xfId="0" applyNumberFormat="1"/>
    <xf numFmtId="0" fontId="1" fillId="0" borderId="0" xfId="0" applyFont="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0" fillId="0" borderId="16" xfId="0" applyBorder="1"/>
    <xf numFmtId="0" fontId="0" fillId="2" borderId="0" xfId="0" applyFill="1"/>
    <xf numFmtId="0" fontId="4" fillId="0" borderId="5" xfId="0" applyFont="1" applyBorder="1" applyAlignment="1">
      <alignment horizontal="center" vertical="center"/>
    </xf>
    <xf numFmtId="1" fontId="0" fillId="0" borderId="18" xfId="0" applyNumberFormat="1" applyBorder="1"/>
    <xf numFmtId="9" fontId="0" fillId="0" borderId="0" xfId="2" applyFont="1" applyFill="1"/>
    <xf numFmtId="0" fontId="1" fillId="0" borderId="0" xfId="0" applyFont="1"/>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xf numFmtId="0" fontId="1" fillId="0" borderId="23" xfId="0" applyFont="1" applyBorder="1"/>
    <xf numFmtId="9" fontId="0" fillId="0" borderId="0" xfId="0" applyNumberFormat="1"/>
    <xf numFmtId="9" fontId="0" fillId="3" borderId="0" xfId="0" applyNumberFormat="1" applyFill="1" applyAlignment="1">
      <alignment horizontal="center"/>
    </xf>
    <xf numFmtId="0" fontId="0" fillId="0" borderId="3" xfId="0" applyBorder="1"/>
    <xf numFmtId="9" fontId="0" fillId="3" borderId="23" xfId="0" applyNumberFormat="1" applyFill="1" applyBorder="1" applyAlignment="1">
      <alignment horizontal="center"/>
    </xf>
    <xf numFmtId="0" fontId="0" fillId="0" borderId="6" xfId="0" applyBorder="1"/>
    <xf numFmtId="0" fontId="1" fillId="0" borderId="1" xfId="0" applyFont="1" applyBorder="1" applyAlignment="1">
      <alignment horizontal="center"/>
    </xf>
    <xf numFmtId="0" fontId="1" fillId="0" borderId="6" xfId="0" applyFont="1" applyBorder="1" applyAlignment="1">
      <alignment horizontal="center"/>
    </xf>
    <xf numFmtId="0" fontId="0" fillId="0" borderId="10" xfId="0" applyBorder="1"/>
    <xf numFmtId="0" fontId="7" fillId="0" borderId="6" xfId="0" applyFont="1" applyBorder="1"/>
    <xf numFmtId="1" fontId="0" fillId="0" borderId="0" xfId="0" applyNumberFormat="1" applyAlignment="1">
      <alignment horizontal="center"/>
    </xf>
    <xf numFmtId="1" fontId="0" fillId="0" borderId="10" xfId="0" applyNumberFormat="1" applyBorder="1" applyAlignment="1">
      <alignment horizontal="center"/>
    </xf>
    <xf numFmtId="0" fontId="0" fillId="0" borderId="24" xfId="0" applyBorder="1"/>
    <xf numFmtId="0" fontId="0" fillId="0" borderId="25" xfId="0" applyBorder="1" applyAlignment="1">
      <alignment horizontal="center"/>
    </xf>
    <xf numFmtId="1" fontId="0" fillId="0" borderId="25" xfId="0" applyNumberFormat="1" applyBorder="1" applyAlignment="1">
      <alignment horizontal="center"/>
    </xf>
    <xf numFmtId="0" fontId="0" fillId="0" borderId="25" xfId="0" applyBorder="1"/>
    <xf numFmtId="0" fontId="1" fillId="0" borderId="0" xfId="0" applyFont="1" applyAlignment="1">
      <alignment horizontal="right"/>
    </xf>
    <xf numFmtId="0" fontId="0" fillId="0" borderId="0" xfId="0" applyAlignment="1">
      <alignment horizontal="center"/>
    </xf>
    <xf numFmtId="164" fontId="0" fillId="0" borderId="0" xfId="3" applyNumberFormat="1" applyFont="1" applyFill="1" applyBorder="1" applyAlignment="1">
      <alignment horizontal="center"/>
    </xf>
    <xf numFmtId="0" fontId="1" fillId="0" borderId="1" xfId="0" applyFont="1" applyBorder="1" applyAlignment="1">
      <alignment horizontal="center" wrapText="1"/>
    </xf>
    <xf numFmtId="0" fontId="1" fillId="0" borderId="23" xfId="0" applyFont="1" applyBorder="1" applyAlignment="1">
      <alignment horizontal="center"/>
    </xf>
    <xf numFmtId="164" fontId="1" fillId="0" borderId="1" xfId="3" applyNumberFormat="1" applyFont="1" applyFill="1" applyBorder="1" applyAlignment="1">
      <alignment horizontal="center"/>
    </xf>
    <xf numFmtId="165" fontId="1" fillId="0" borderId="10" xfId="0" applyNumberFormat="1" applyFont="1" applyBorder="1" applyAlignment="1">
      <alignment horizontal="center" wrapText="1"/>
    </xf>
    <xf numFmtId="166" fontId="0" fillId="0" borderId="0" xfId="0" applyNumberFormat="1" applyAlignment="1">
      <alignment horizontal="center"/>
    </xf>
    <xf numFmtId="166" fontId="0" fillId="0" borderId="10" xfId="1" applyNumberFormat="1" applyFont="1" applyBorder="1" applyAlignment="1">
      <alignment horizontal="center"/>
    </xf>
    <xf numFmtId="166" fontId="0" fillId="0" borderId="25" xfId="1" applyNumberFormat="1" applyFont="1" applyFill="1" applyBorder="1" applyAlignment="1">
      <alignment horizontal="center"/>
    </xf>
    <xf numFmtId="9" fontId="0" fillId="0" borderId="0" xfId="0" applyNumberFormat="1" applyAlignment="1">
      <alignment horizontal="center"/>
    </xf>
    <xf numFmtId="0" fontId="0" fillId="0" borderId="0" xfId="0" quotePrefix="1"/>
    <xf numFmtId="10" fontId="0" fillId="4" borderId="18" xfId="2" applyNumberFormat="1" applyFont="1" applyFill="1" applyBorder="1"/>
    <xf numFmtId="0" fontId="0" fillId="0" borderId="0" xfId="0" applyAlignment="1">
      <alignment wrapText="1"/>
    </xf>
    <xf numFmtId="1" fontId="0" fillId="0" borderId="0" xfId="0" applyNumberFormat="1" applyAlignment="1">
      <alignment horizontal="left"/>
    </xf>
    <xf numFmtId="1" fontId="0" fillId="4" borderId="0" xfId="0" applyNumberFormat="1" applyFill="1" applyAlignment="1">
      <alignment horizontal="left"/>
    </xf>
    <xf numFmtId="1" fontId="0" fillId="4" borderId="0" xfId="0" applyNumberFormat="1" applyFill="1" applyAlignment="1">
      <alignment horizontal="center"/>
    </xf>
    <xf numFmtId="1" fontId="0" fillId="2" borderId="0" xfId="0" applyNumberFormat="1" applyFill="1" applyAlignment="1">
      <alignment horizontal="center"/>
    </xf>
    <xf numFmtId="9" fontId="0" fillId="3" borderId="0" xfId="0" applyNumberFormat="1" applyFill="1"/>
    <xf numFmtId="0" fontId="0" fillId="3" borderId="0" xfId="0" applyFill="1"/>
    <xf numFmtId="0" fontId="9" fillId="4" borderId="0" xfId="0" applyFont="1" applyFill="1"/>
    <xf numFmtId="0" fontId="0" fillId="0" borderId="18" xfId="0" applyBorder="1"/>
    <xf numFmtId="0" fontId="0" fillId="0" borderId="18" xfId="0" applyBorder="1" applyAlignment="1">
      <alignment horizontal="center"/>
    </xf>
    <xf numFmtId="0" fontId="0" fillId="0" borderId="18" xfId="0" applyBorder="1" applyAlignment="1">
      <alignment horizontal="center" wrapText="1"/>
    </xf>
    <xf numFmtId="0" fontId="0" fillId="0" borderId="0" xfId="0" applyAlignment="1">
      <alignment horizontal="center" wrapText="1"/>
    </xf>
    <xf numFmtId="1" fontId="0" fillId="3" borderId="18" xfId="0" applyNumberFormat="1" applyFill="1" applyBorder="1" applyAlignment="1">
      <alignment horizontal="center"/>
    </xf>
    <xf numFmtId="0" fontId="0" fillId="3" borderId="18" xfId="0" applyFill="1" applyBorder="1" applyAlignment="1">
      <alignment horizontal="center"/>
    </xf>
    <xf numFmtId="44" fontId="0" fillId="3" borderId="18" xfId="1" applyFont="1" applyFill="1" applyBorder="1"/>
    <xf numFmtId="167" fontId="0" fillId="0" borderId="18" xfId="0" applyNumberFormat="1" applyBorder="1"/>
    <xf numFmtId="2" fontId="0" fillId="3" borderId="18" xfId="0" applyNumberFormat="1" applyFill="1" applyBorder="1" applyAlignment="1">
      <alignment horizontal="center"/>
    </xf>
    <xf numFmtId="1" fontId="0" fillId="0" borderId="18" xfId="0" applyNumberFormat="1" applyBorder="1" applyAlignment="1">
      <alignment horizontal="center"/>
    </xf>
    <xf numFmtId="0" fontId="1" fillId="0" borderId="24" xfId="0" applyFont="1" applyBorder="1" applyAlignment="1">
      <alignment horizontal="center"/>
    </xf>
    <xf numFmtId="0" fontId="0" fillId="0" borderId="21" xfId="0" applyBorder="1"/>
    <xf numFmtId="6" fontId="8" fillId="3" borderId="18" xfId="0" applyNumberFormat="1" applyFont="1" applyFill="1" applyBorder="1"/>
    <xf numFmtId="6" fontId="0" fillId="5" borderId="18" xfId="0" applyNumberFormat="1" applyFill="1" applyBorder="1"/>
    <xf numFmtId="6" fontId="0" fillId="5" borderId="18" xfId="0" applyNumberFormat="1" applyFill="1" applyBorder="1" applyAlignment="1">
      <alignment horizontal="center"/>
    </xf>
    <xf numFmtId="2" fontId="0" fillId="0" borderId="18" xfId="0" applyNumberFormat="1" applyBorder="1" applyAlignment="1">
      <alignment horizontal="center"/>
    </xf>
    <xf numFmtId="0" fontId="0" fillId="4" borderId="21" xfId="0" applyFill="1" applyBorder="1"/>
    <xf numFmtId="44" fontId="0" fillId="0" borderId="0" xfId="1" applyFont="1"/>
    <xf numFmtId="44" fontId="0" fillId="0" borderId="0" xfId="0" applyNumberFormat="1"/>
    <xf numFmtId="2" fontId="0" fillId="0" borderId="0" xfId="0" applyNumberFormat="1" applyAlignment="1">
      <alignment horizontal="center"/>
    </xf>
    <xf numFmtId="44" fontId="0" fillId="0" borderId="26" xfId="0" applyNumberFormat="1" applyBorder="1"/>
    <xf numFmtId="1" fontId="0" fillId="0" borderId="26" xfId="0" applyNumberFormat="1" applyBorder="1" applyAlignment="1">
      <alignment horizontal="center"/>
    </xf>
    <xf numFmtId="167" fontId="0" fillId="6" borderId="0" xfId="0" applyNumberFormat="1" applyFill="1"/>
    <xf numFmtId="1" fontId="0" fillId="7" borderId="0" xfId="0" applyNumberFormat="1" applyFill="1" applyAlignment="1">
      <alignment horizontal="center"/>
    </xf>
    <xf numFmtId="6" fontId="0" fillId="0" borderId="0" xfId="0" applyNumberFormat="1"/>
    <xf numFmtId="168" fontId="0" fillId="8" borderId="24" xfId="0" applyNumberFormat="1" applyFill="1" applyBorder="1" applyAlignment="1">
      <alignment horizontal="center"/>
    </xf>
    <xf numFmtId="2" fontId="0" fillId="0" borderId="0" xfId="0" applyNumberFormat="1"/>
    <xf numFmtId="0" fontId="0" fillId="0" borderId="0" xfId="0" applyAlignment="1">
      <alignment horizontal="right"/>
    </xf>
    <xf numFmtId="1" fontId="0" fillId="9" borderId="0" xfId="0" applyNumberFormat="1" applyFill="1" applyAlignment="1">
      <alignment horizontal="center"/>
    </xf>
    <xf numFmtId="0" fontId="0" fillId="4" borderId="0" xfId="0" applyFill="1" applyAlignment="1">
      <alignment horizontal="right"/>
    </xf>
    <xf numFmtId="168" fontId="0" fillId="4" borderId="0" xfId="0" applyNumberFormat="1" applyFill="1" applyAlignment="1">
      <alignment horizontal="center"/>
    </xf>
    <xf numFmtId="0" fontId="0" fillId="4" borderId="0" xfId="0" applyFill="1"/>
    <xf numFmtId="2" fontId="0" fillId="10" borderId="18" xfId="0" applyNumberFormat="1" applyFill="1" applyBorder="1" applyAlignment="1">
      <alignment horizontal="center"/>
    </xf>
    <xf numFmtId="167" fontId="0" fillId="5" borderId="26" xfId="0" applyNumberFormat="1" applyFill="1" applyBorder="1"/>
    <xf numFmtId="167" fontId="0" fillId="0" borderId="0" xfId="0" applyNumberFormat="1"/>
    <xf numFmtId="0" fontId="1" fillId="0" borderId="27" xfId="0" applyFont="1" applyBorder="1"/>
    <xf numFmtId="0" fontId="0" fillId="0" borderId="28" xfId="0" applyBorder="1"/>
    <xf numFmtId="0" fontId="10" fillId="0" borderId="0" xfId="0" applyFont="1"/>
    <xf numFmtId="0" fontId="0" fillId="4" borderId="18" xfId="0" applyFill="1" applyBorder="1"/>
    <xf numFmtId="0" fontId="0" fillId="4" borderId="18" xfId="0" applyFill="1" applyBorder="1" applyAlignment="1">
      <alignment horizontal="center"/>
    </xf>
    <xf numFmtId="0" fontId="8" fillId="4" borderId="0" xfId="0" applyFont="1" applyFill="1" applyAlignment="1">
      <alignment horizontal="center" wrapText="1"/>
    </xf>
    <xf numFmtId="1" fontId="8" fillId="4" borderId="0" xfId="0" applyNumberFormat="1" applyFont="1" applyFill="1" applyAlignment="1">
      <alignment horizontal="center"/>
    </xf>
    <xf numFmtId="0" fontId="0" fillId="3" borderId="0" xfId="0" applyFill="1" applyAlignment="1">
      <alignment horizontal="center"/>
    </xf>
    <xf numFmtId="1" fontId="0" fillId="12" borderId="24" xfId="0" applyNumberFormat="1" applyFill="1" applyBorder="1" applyAlignment="1">
      <alignment horizontal="center"/>
    </xf>
    <xf numFmtId="2" fontId="0" fillId="2" borderId="0" xfId="0" applyNumberFormat="1" applyFill="1" applyAlignment="1">
      <alignment horizontal="center"/>
    </xf>
    <xf numFmtId="0" fontId="0" fillId="14" borderId="24" xfId="0" applyFill="1" applyBorder="1" applyAlignment="1">
      <alignment horizontal="center"/>
    </xf>
    <xf numFmtId="168" fontId="0" fillId="0" borderId="0" xfId="0" applyNumberFormat="1" applyAlignment="1">
      <alignment horizontal="center"/>
    </xf>
    <xf numFmtId="0" fontId="15" fillId="0" borderId="0" xfId="0" applyFont="1"/>
    <xf numFmtId="0" fontId="0" fillId="2" borderId="0" xfId="0" applyFill="1" applyAlignment="1">
      <alignment horizontal="center"/>
    </xf>
    <xf numFmtId="0" fontId="0" fillId="0" borderId="27" xfId="0" applyBorder="1"/>
    <xf numFmtId="1" fontId="0" fillId="2" borderId="25" xfId="0" applyNumberFormat="1" applyFill="1" applyBorder="1" applyAlignment="1">
      <alignment horizontal="center"/>
    </xf>
    <xf numFmtId="0" fontId="16" fillId="0" borderId="0" xfId="0" applyFont="1" applyAlignment="1">
      <alignment horizontal="right"/>
    </xf>
    <xf numFmtId="0" fontId="0" fillId="12" borderId="24" xfId="0" applyFill="1" applyBorder="1" applyAlignment="1">
      <alignment horizontal="center"/>
    </xf>
    <xf numFmtId="0" fontId="16" fillId="0" borderId="0" xfId="0" applyFont="1"/>
    <xf numFmtId="6" fontId="1" fillId="0" borderId="0" xfId="0" applyNumberFormat="1" applyFont="1"/>
    <xf numFmtId="1" fontId="0" fillId="13" borderId="24" xfId="0" applyNumberFormat="1" applyFill="1" applyBorder="1" applyAlignment="1">
      <alignment horizontal="center"/>
    </xf>
    <xf numFmtId="8" fontId="0" fillId="0" borderId="0" xfId="0" applyNumberFormat="1"/>
    <xf numFmtId="0" fontId="10" fillId="0" borderId="0" xfId="0" applyFont="1" applyAlignment="1">
      <alignment horizontal="left"/>
    </xf>
    <xf numFmtId="1" fontId="0" fillId="16" borderId="0" xfId="0" applyNumberFormat="1" applyFill="1" applyAlignment="1">
      <alignment horizontal="center"/>
    </xf>
    <xf numFmtId="1" fontId="0" fillId="16" borderId="0" xfId="0" applyNumberFormat="1" applyFill="1"/>
    <xf numFmtId="169" fontId="0" fillId="15" borderId="0" xfId="0" applyNumberFormat="1" applyFill="1" applyAlignment="1">
      <alignment horizontal="right"/>
    </xf>
    <xf numFmtId="0" fontId="0" fillId="3" borderId="24" xfId="0" applyFill="1" applyBorder="1" applyAlignment="1">
      <alignment horizontal="center"/>
    </xf>
    <xf numFmtId="0" fontId="7" fillId="0" borderId="18" xfId="0" applyFont="1" applyBorder="1" applyAlignment="1">
      <alignment horizontal="center" wrapText="1"/>
    </xf>
    <xf numFmtId="8" fontId="0" fillId="3" borderId="18" xfId="0" applyNumberFormat="1" applyFill="1" applyBorder="1"/>
    <xf numFmtId="6" fontId="0" fillId="3" borderId="18" xfId="0" applyNumberFormat="1" applyFill="1" applyBorder="1"/>
    <xf numFmtId="0" fontId="0" fillId="0" borderId="18" xfId="0" applyBorder="1" applyAlignment="1">
      <alignment horizontal="right"/>
    </xf>
    <xf numFmtId="167" fontId="0" fillId="0" borderId="18" xfId="1" applyNumberFormat="1" applyFont="1" applyBorder="1" applyAlignment="1">
      <alignment horizontal="center"/>
    </xf>
    <xf numFmtId="167" fontId="0" fillId="0" borderId="18" xfId="0" applyNumberFormat="1" applyBorder="1" applyAlignment="1">
      <alignment horizontal="center"/>
    </xf>
    <xf numFmtId="9" fontId="0" fillId="3" borderId="18" xfId="2" applyFont="1" applyFill="1" applyBorder="1"/>
    <xf numFmtId="0" fontId="15" fillId="0" borderId="0" xfId="0" applyFont="1" applyAlignment="1">
      <alignment horizontal="center"/>
    </xf>
    <xf numFmtId="9" fontId="0" fillId="0" borderId="0" xfId="2" applyFont="1" applyFill="1" applyBorder="1"/>
    <xf numFmtId="0" fontId="15" fillId="0" borderId="18" xfId="0" applyFont="1" applyBorder="1" applyAlignment="1">
      <alignment horizontal="right"/>
    </xf>
    <xf numFmtId="167" fontId="1" fillId="0" borderId="0" xfId="1" applyNumberFormat="1" applyFont="1" applyAlignment="1">
      <alignment horizontal="center"/>
    </xf>
    <xf numFmtId="1" fontId="0" fillId="11" borderId="24" xfId="0" applyNumberFormat="1" applyFill="1" applyBorder="1" applyAlignment="1">
      <alignment horizontal="center"/>
    </xf>
    <xf numFmtId="0" fontId="0" fillId="4" borderId="25" xfId="0" applyFill="1" applyBorder="1"/>
    <xf numFmtId="0" fontId="0" fillId="4" borderId="28" xfId="0" applyFill="1" applyBorder="1"/>
    <xf numFmtId="0" fontId="0" fillId="0" borderId="22" xfId="0" applyBorder="1" applyAlignment="1">
      <alignment horizontal="center"/>
    </xf>
    <xf numFmtId="8" fontId="0" fillId="0" borderId="23" xfId="0" applyNumberFormat="1" applyBorder="1"/>
    <xf numFmtId="0" fontId="0" fillId="0" borderId="3" xfId="0" quotePrefix="1" applyBorder="1"/>
    <xf numFmtId="6" fontId="0" fillId="0" borderId="22" xfId="0" applyNumberFormat="1" applyBorder="1"/>
    <xf numFmtId="0" fontId="0" fillId="3" borderId="13" xfId="0" applyFill="1" applyBorder="1" applyAlignment="1">
      <alignment horizontal="center"/>
    </xf>
    <xf numFmtId="168" fontId="0" fillId="0" borderId="0" xfId="0" applyNumberFormat="1" applyAlignment="1">
      <alignment horizontal="right"/>
    </xf>
    <xf numFmtId="0" fontId="0" fillId="0" borderId="7" xfId="0" applyBorder="1" applyAlignment="1">
      <alignment horizontal="center"/>
    </xf>
    <xf numFmtId="8" fontId="0" fillId="0" borderId="5" xfId="0" applyNumberFormat="1" applyBorder="1"/>
    <xf numFmtId="0" fontId="0" fillId="0" borderId="5" xfId="0" applyBorder="1"/>
    <xf numFmtId="6" fontId="0" fillId="0" borderId="7" xfId="0" applyNumberFormat="1" applyBorder="1"/>
    <xf numFmtId="0" fontId="0" fillId="0" borderId="4" xfId="0" applyBorder="1"/>
    <xf numFmtId="167" fontId="0" fillId="0" borderId="0" xfId="1" applyNumberFormat="1" applyFont="1" applyFill="1" applyBorder="1"/>
    <xf numFmtId="2" fontId="17" fillId="0" borderId="0" xfId="0" applyNumberFormat="1" applyFont="1" applyAlignment="1">
      <alignment horizontal="center"/>
    </xf>
    <xf numFmtId="1" fontId="0" fillId="0" borderId="0" xfId="1" applyNumberFormat="1" applyFont="1" applyFill="1" applyBorder="1" applyAlignment="1">
      <alignment horizontal="center"/>
    </xf>
    <xf numFmtId="0" fontId="8" fillId="4" borderId="0" xfId="0" applyFont="1" applyFill="1"/>
    <xf numFmtId="0" fontId="15" fillId="0" borderId="0" xfId="0" applyFont="1" applyAlignment="1">
      <alignment horizontal="center" wrapText="1"/>
    </xf>
    <xf numFmtId="170" fontId="1" fillId="0" borderId="0" xfId="0" applyNumberFormat="1" applyFont="1"/>
    <xf numFmtId="168" fontId="0" fillId="0" borderId="26" xfId="0" applyNumberFormat="1" applyBorder="1" applyAlignment="1">
      <alignment horizontal="center"/>
    </xf>
    <xf numFmtId="167" fontId="1" fillId="0" borderId="0" xfId="0" applyNumberFormat="1" applyFont="1"/>
    <xf numFmtId="0" fontId="0" fillId="14" borderId="0" xfId="0" applyFill="1" applyAlignment="1">
      <alignment horizontal="center"/>
    </xf>
    <xf numFmtId="168" fontId="0" fillId="0" borderId="0" xfId="0" applyNumberFormat="1"/>
    <xf numFmtId="167" fontId="0" fillId="0" borderId="0" xfId="1" applyNumberFormat="1" applyFont="1" applyBorder="1" applyAlignment="1">
      <alignment horizontal="center"/>
    </xf>
    <xf numFmtId="167" fontId="0" fillId="0" borderId="0" xfId="0" applyNumberFormat="1" applyAlignment="1">
      <alignment horizontal="center"/>
    </xf>
    <xf numFmtId="1" fontId="0" fillId="0" borderId="21" xfId="0" applyNumberFormat="1" applyBorder="1"/>
    <xf numFmtId="9" fontId="0" fillId="0" borderId="21" xfId="0" applyNumberFormat="1" applyBorder="1"/>
    <xf numFmtId="0" fontId="0" fillId="0" borderId="29" xfId="0" applyBorder="1"/>
    <xf numFmtId="1" fontId="0" fillId="0" borderId="30" xfId="0" applyNumberFormat="1" applyBorder="1"/>
    <xf numFmtId="1" fontId="0" fillId="0" borderId="13" xfId="0" applyNumberFormat="1" applyBorder="1"/>
    <xf numFmtId="9" fontId="0" fillId="0" borderId="30" xfId="0" applyNumberFormat="1" applyBorder="1"/>
    <xf numFmtId="0" fontId="0" fillId="0" borderId="13" xfId="0" applyBorder="1"/>
    <xf numFmtId="0" fontId="0" fillId="2" borderId="31" xfId="0" applyFill="1" applyBorder="1"/>
    <xf numFmtId="0" fontId="0" fillId="2" borderId="32" xfId="0" applyFill="1" applyBorder="1"/>
    <xf numFmtId="0" fontId="0" fillId="2" borderId="33" xfId="0" applyFill="1" applyBorder="1"/>
    <xf numFmtId="0" fontId="0" fillId="2" borderId="8" xfId="0" applyFill="1" applyBorder="1"/>
    <xf numFmtId="0" fontId="0" fillId="2" borderId="14" xfId="0" applyFill="1" applyBorder="1"/>
    <xf numFmtId="0" fontId="0" fillId="2" borderId="34" xfId="0" applyFill="1" applyBorder="1"/>
    <xf numFmtId="1" fontId="0" fillId="17" borderId="18" xfId="0" applyNumberFormat="1" applyFill="1" applyBorder="1"/>
    <xf numFmtId="2" fontId="0" fillId="11" borderId="24" xfId="0" applyNumberFormat="1" applyFill="1" applyBorder="1" applyAlignment="1">
      <alignment horizontal="center"/>
    </xf>
    <xf numFmtId="1" fontId="0" fillId="3" borderId="0" xfId="0" applyNumberFormat="1" applyFill="1"/>
    <xf numFmtId="168" fontId="0" fillId="2" borderId="0" xfId="0" applyNumberFormat="1" applyFill="1" applyAlignment="1">
      <alignment horizontal="center"/>
    </xf>
    <xf numFmtId="168" fontId="0" fillId="15" borderId="0" xfId="0" applyNumberFormat="1" applyFill="1"/>
    <xf numFmtId="1" fontId="0" fillId="13" borderId="24" xfId="0" applyNumberFormat="1" applyFill="1" applyBorder="1"/>
    <xf numFmtId="44" fontId="0" fillId="0" borderId="0" xfId="1" applyFont="1" applyFill="1" applyBorder="1"/>
    <xf numFmtId="44" fontId="0" fillId="0" borderId="0" xfId="1" applyFont="1" applyAlignment="1">
      <alignment horizontal="center"/>
    </xf>
    <xf numFmtId="44" fontId="0" fillId="0" borderId="0" xfId="1" applyFont="1" applyFill="1" applyBorder="1" applyAlignment="1">
      <alignment horizontal="center"/>
    </xf>
    <xf numFmtId="44" fontId="0" fillId="0" borderId="0" xfId="1" applyFont="1" applyFill="1"/>
    <xf numFmtId="44" fontId="6" fillId="0" borderId="0" xfId="1" applyFont="1"/>
    <xf numFmtId="0" fontId="10" fillId="0" borderId="0" xfId="0" applyFont="1" applyAlignment="1">
      <alignment horizontal="right"/>
    </xf>
    <xf numFmtId="171" fontId="0" fillId="0" borderId="0" xfId="2" applyNumberFormat="1" applyFont="1"/>
    <xf numFmtId="166" fontId="0" fillId="2" borderId="0" xfId="0" applyNumberFormat="1" applyFill="1"/>
    <xf numFmtId="0" fontId="8" fillId="0" borderId="0" xfId="0" applyFont="1"/>
    <xf numFmtId="9" fontId="0" fillId="18" borderId="0" xfId="0" applyNumberFormat="1" applyFill="1" applyAlignment="1">
      <alignment horizontal="center"/>
    </xf>
    <xf numFmtId="9" fontId="0" fillId="19" borderId="0" xfId="0" applyNumberFormat="1" applyFill="1" applyAlignment="1">
      <alignment horizontal="center"/>
    </xf>
    <xf numFmtId="6" fontId="0" fillId="2" borderId="0" xfId="0" applyNumberFormat="1" applyFill="1"/>
    <xf numFmtId="0" fontId="0" fillId="0" borderId="26" xfId="0" applyBorder="1" applyAlignment="1">
      <alignment horizontal="right"/>
    </xf>
    <xf numFmtId="166" fontId="0" fillId="2" borderId="26" xfId="0" applyNumberFormat="1" applyFill="1" applyBorder="1"/>
    <xf numFmtId="0" fontId="0" fillId="2" borderId="26" xfId="0" applyFill="1" applyBorder="1"/>
    <xf numFmtId="0" fontId="0" fillId="0" borderId="26" xfId="0" applyBorder="1"/>
    <xf numFmtId="167" fontId="0" fillId="2" borderId="0" xfId="1" applyNumberFormat="1" applyFont="1" applyFill="1"/>
    <xf numFmtId="167" fontId="0" fillId="2" borderId="26" xfId="1" applyNumberFormat="1" applyFont="1" applyFill="1" applyBorder="1"/>
    <xf numFmtId="166" fontId="0" fillId="4" borderId="35" xfId="0" applyNumberFormat="1" applyFill="1" applyBorder="1"/>
    <xf numFmtId="166" fontId="8" fillId="0" borderId="0" xfId="0" applyNumberFormat="1" applyFont="1"/>
    <xf numFmtId="166" fontId="0" fillId="0" borderId="0" xfId="0" applyNumberFormat="1"/>
    <xf numFmtId="0" fontId="0" fillId="4" borderId="22" xfId="0" applyFill="1" applyBorder="1"/>
    <xf numFmtId="0" fontId="0" fillId="4" borderId="23" xfId="0" applyFill="1" applyBorder="1"/>
    <xf numFmtId="0" fontId="0" fillId="4" borderId="3" xfId="0" applyFill="1" applyBorder="1"/>
    <xf numFmtId="0" fontId="0" fillId="4" borderId="6" xfId="0" applyFill="1" applyBorder="1"/>
    <xf numFmtId="0" fontId="0" fillId="4" borderId="36" xfId="0" applyFill="1" applyBorder="1"/>
    <xf numFmtId="0" fontId="0" fillId="4" borderId="7" xfId="0" applyFill="1" applyBorder="1"/>
    <xf numFmtId="0" fontId="0" fillId="4" borderId="5" xfId="0" applyFill="1" applyBorder="1"/>
    <xf numFmtId="0" fontId="0" fillId="4" borderId="4" xfId="0" applyFill="1" applyBorder="1"/>
    <xf numFmtId="168" fontId="17" fillId="15" borderId="24" xfId="0" applyNumberFormat="1" applyFont="1" applyFill="1" applyBorder="1" applyAlignment="1">
      <alignment horizontal="center"/>
    </xf>
    <xf numFmtId="44" fontId="0" fillId="11" borderId="24" xfId="0" applyNumberFormat="1" applyFill="1" applyBorder="1"/>
    <xf numFmtId="166" fontId="0" fillId="4" borderId="35" xfId="0" applyNumberFormat="1" applyFill="1" applyBorder="1" applyAlignment="1">
      <alignment horizontal="left" indent="2"/>
    </xf>
    <xf numFmtId="0" fontId="22" fillId="0" borderId="0" xfId="4" applyFont="1" applyAlignment="1">
      <alignment horizontal="right"/>
    </xf>
    <xf numFmtId="44" fontId="0" fillId="0" borderId="0" xfId="5" applyFont="1"/>
    <xf numFmtId="0" fontId="21" fillId="0" borderId="0" xfId="4"/>
    <xf numFmtId="0" fontId="21" fillId="0" borderId="0" xfId="4" applyAlignment="1">
      <alignment horizontal="right"/>
    </xf>
    <xf numFmtId="44" fontId="22" fillId="4" borderId="0" xfId="5" applyFont="1" applyFill="1"/>
    <xf numFmtId="0" fontId="22" fillId="4" borderId="0" xfId="4" applyFont="1" applyFill="1"/>
    <xf numFmtId="0" fontId="22" fillId="4" borderId="0" xfId="4" applyFont="1" applyFill="1" applyAlignment="1">
      <alignment horizontal="right"/>
    </xf>
    <xf numFmtId="44" fontId="0" fillId="21" borderId="0" xfId="5" applyFont="1" applyFill="1" applyProtection="1">
      <protection locked="0"/>
    </xf>
    <xf numFmtId="44" fontId="0" fillId="22" borderId="0" xfId="5" applyFont="1" applyFill="1"/>
    <xf numFmtId="0" fontId="22" fillId="0" borderId="0" xfId="4" applyFont="1"/>
    <xf numFmtId="10" fontId="0" fillId="22" borderId="0" xfId="2" applyNumberFormat="1" applyFont="1" applyFill="1"/>
    <xf numFmtId="0" fontId="21" fillId="0" borderId="22" xfId="4" applyBorder="1"/>
    <xf numFmtId="0" fontId="21" fillId="0" borderId="23" xfId="4" applyBorder="1" applyAlignment="1">
      <alignment horizontal="right"/>
    </xf>
    <xf numFmtId="0" fontId="21" fillId="0" borderId="23" xfId="4" applyBorder="1"/>
    <xf numFmtId="44" fontId="0" fillId="0" borderId="23" xfId="5" applyFont="1" applyBorder="1"/>
    <xf numFmtId="0" fontId="21" fillId="0" borderId="3" xfId="4" applyBorder="1"/>
    <xf numFmtId="0" fontId="21" fillId="0" borderId="6" xfId="4" applyBorder="1"/>
    <xf numFmtId="44" fontId="22" fillId="0" borderId="0" xfId="5" applyFont="1" applyBorder="1" applyAlignment="1">
      <alignment horizontal="center"/>
    </xf>
    <xf numFmtId="44" fontId="22" fillId="0" borderId="37" xfId="5" applyFont="1" applyBorder="1" applyAlignment="1">
      <alignment horizontal="center"/>
    </xf>
    <xf numFmtId="0" fontId="21" fillId="0" borderId="36" xfId="4" applyBorder="1"/>
    <xf numFmtId="44" fontId="0" fillId="0" borderId="0" xfId="5" applyFont="1" applyBorder="1"/>
    <xf numFmtId="44" fontId="0" fillId="0" borderId="37" xfId="5" applyFont="1" applyBorder="1"/>
    <xf numFmtId="44" fontId="0" fillId="22" borderId="0" xfId="5" applyFont="1" applyFill="1" applyBorder="1"/>
    <xf numFmtId="44" fontId="0" fillId="22" borderId="37" xfId="5" applyFont="1" applyFill="1" applyBorder="1"/>
    <xf numFmtId="0" fontId="21" fillId="0" borderId="26" xfId="4" applyBorder="1" applyAlignment="1">
      <alignment horizontal="right"/>
    </xf>
    <xf numFmtId="0" fontId="21" fillId="0" borderId="26" xfId="4" applyBorder="1"/>
    <xf numFmtId="44" fontId="0" fillId="0" borderId="26" xfId="5" applyFont="1" applyBorder="1"/>
    <xf numFmtId="44" fontId="0" fillId="0" borderId="38" xfId="5" applyFont="1" applyBorder="1"/>
    <xf numFmtId="0" fontId="21" fillId="0" borderId="39" xfId="4" applyBorder="1"/>
    <xf numFmtId="0" fontId="21" fillId="0" borderId="7" xfId="4" applyBorder="1"/>
    <xf numFmtId="0" fontId="21" fillId="0" borderId="5" xfId="4" applyBorder="1" applyAlignment="1">
      <alignment horizontal="right"/>
    </xf>
    <xf numFmtId="0" fontId="21" fillId="0" borderId="5" xfId="4" applyBorder="1"/>
    <xf numFmtId="44" fontId="22" fillId="22" borderId="40" xfId="5" applyFont="1" applyFill="1" applyBorder="1"/>
    <xf numFmtId="0" fontId="21" fillId="0" borderId="4" xfId="4" applyBorder="1"/>
    <xf numFmtId="0" fontId="0" fillId="0" borderId="0" xfId="0" quotePrefix="1" applyAlignment="1">
      <alignment horizontal="center"/>
    </xf>
    <xf numFmtId="0" fontId="0" fillId="0" borderId="23" xfId="0" applyBorder="1" applyAlignment="1">
      <alignment horizontal="center" wrapText="1"/>
    </xf>
    <xf numFmtId="0" fontId="0" fillId="0" borderId="3" xfId="0" applyBorder="1" applyAlignment="1">
      <alignment horizontal="center" wrapText="1"/>
    </xf>
    <xf numFmtId="0" fontId="23" fillId="0" borderId="6" xfId="0" applyFont="1" applyBorder="1" applyAlignment="1">
      <alignment horizontal="center"/>
    </xf>
    <xf numFmtId="1" fontId="23" fillId="0" borderId="0" xfId="0" applyNumberFormat="1" applyFont="1" applyAlignment="1">
      <alignment horizontal="center"/>
    </xf>
    <xf numFmtId="0" fontId="23" fillId="0" borderId="0" xfId="0" applyFont="1"/>
    <xf numFmtId="44" fontId="23" fillId="0" borderId="0" xfId="1" applyFont="1" applyAlignment="1">
      <alignment horizontal="center"/>
    </xf>
    <xf numFmtId="167" fontId="23" fillId="0" borderId="36" xfId="0" applyNumberFormat="1" applyFont="1" applyBorder="1"/>
    <xf numFmtId="0" fontId="0" fillId="0" borderId="6" xfId="0" applyBorder="1" applyAlignment="1">
      <alignment horizontal="center"/>
    </xf>
    <xf numFmtId="167" fontId="0" fillId="0" borderId="36" xfId="1" applyNumberFormat="1" applyFont="1" applyFill="1" applyBorder="1"/>
    <xf numFmtId="0" fontId="0" fillId="0" borderId="7" xfId="0" applyBorder="1"/>
    <xf numFmtId="1" fontId="1" fillId="0" borderId="5" xfId="0" applyNumberFormat="1" applyFont="1" applyBorder="1" applyAlignment="1">
      <alignment horizontal="center"/>
    </xf>
    <xf numFmtId="44" fontId="1" fillId="0" borderId="5" xfId="1" applyFont="1" applyBorder="1" applyAlignment="1">
      <alignment horizontal="center"/>
    </xf>
    <xf numFmtId="167" fontId="1" fillId="0" borderId="41" xfId="0" applyNumberFormat="1" applyFont="1" applyBorder="1"/>
    <xf numFmtId="167" fontId="1" fillId="0" borderId="4" xfId="0" applyNumberFormat="1" applyFont="1" applyBorder="1"/>
    <xf numFmtId="0" fontId="24" fillId="0" borderId="0" xfId="0" applyFont="1"/>
    <xf numFmtId="0" fontId="0" fillId="23" borderId="27" xfId="0" applyFill="1" applyBorder="1"/>
    <xf numFmtId="0" fontId="0" fillId="23" borderId="28" xfId="0" applyFill="1" applyBorder="1"/>
    <xf numFmtId="0" fontId="0" fillId="3" borderId="22" xfId="0" applyFill="1" applyBorder="1"/>
    <xf numFmtId="1" fontId="0" fillId="23" borderId="23" xfId="0" applyNumberFormat="1" applyFill="1" applyBorder="1" applyAlignment="1">
      <alignment horizontal="center"/>
    </xf>
    <xf numFmtId="0" fontId="0" fillId="3" borderId="3" xfId="0" applyFill="1" applyBorder="1"/>
    <xf numFmtId="0" fontId="23" fillId="3" borderId="6" xfId="0" applyFont="1" applyFill="1" applyBorder="1"/>
    <xf numFmtId="1" fontId="23" fillId="23" borderId="0" xfId="0" applyNumberFormat="1" applyFont="1" applyFill="1" applyAlignment="1">
      <alignment horizontal="center"/>
    </xf>
    <xf numFmtId="0" fontId="23" fillId="3" borderId="36" xfId="0" applyFont="1" applyFill="1" applyBorder="1"/>
    <xf numFmtId="0" fontId="25" fillId="0" borderId="0" xfId="0" applyFont="1"/>
    <xf numFmtId="171" fontId="0" fillId="3" borderId="0" xfId="0" applyNumberFormat="1" applyFill="1"/>
    <xf numFmtId="0" fontId="0" fillId="3" borderId="6" xfId="0" applyFill="1" applyBorder="1"/>
    <xf numFmtId="167" fontId="0" fillId="23" borderId="0" xfId="1" applyNumberFormat="1" applyFont="1" applyFill="1" applyBorder="1" applyAlignment="1">
      <alignment horizontal="center"/>
    </xf>
    <xf numFmtId="0" fontId="0" fillId="3" borderId="36" xfId="0" applyFill="1" applyBorder="1"/>
    <xf numFmtId="0" fontId="0" fillId="3" borderId="7" xfId="0" applyFill="1" applyBorder="1"/>
    <xf numFmtId="1" fontId="0" fillId="23" borderId="5" xfId="0" applyNumberFormat="1" applyFill="1" applyBorder="1" applyAlignment="1">
      <alignment horizontal="center"/>
    </xf>
    <xf numFmtId="0" fontId="0" fillId="3" borderId="4" xfId="0" applyFill="1" applyBorder="1"/>
    <xf numFmtId="0" fontId="0" fillId="0" borderId="23" xfId="0" applyBorder="1"/>
    <xf numFmtId="44" fontId="0" fillId="3" borderId="0" xfId="1" applyFont="1" applyFill="1" applyBorder="1"/>
    <xf numFmtId="0" fontId="0" fillId="0" borderId="36" xfId="0" applyBorder="1"/>
    <xf numFmtId="167" fontId="0" fillId="23" borderId="0" xfId="1" applyNumberFormat="1" applyFont="1" applyFill="1" applyBorder="1"/>
    <xf numFmtId="9" fontId="0" fillId="0" borderId="36" xfId="0" applyNumberFormat="1" applyBorder="1"/>
    <xf numFmtId="0" fontId="0" fillId="0" borderId="6" xfId="0" applyBorder="1" applyAlignment="1">
      <alignment horizontal="right"/>
    </xf>
    <xf numFmtId="167" fontId="0" fillId="0" borderId="36" xfId="0" applyNumberFormat="1" applyBorder="1"/>
    <xf numFmtId="167" fontId="0" fillId="3" borderId="0" xfId="1" applyNumberFormat="1" applyFont="1" applyFill="1" applyBorder="1"/>
    <xf numFmtId="2" fontId="0" fillId="23" borderId="0" xfId="0" applyNumberFormat="1" applyFill="1" applyAlignment="1">
      <alignment horizontal="center"/>
    </xf>
    <xf numFmtId="172" fontId="0" fillId="3" borderId="0" xfId="0" applyNumberFormat="1" applyFill="1"/>
    <xf numFmtId="2" fontId="26" fillId="23" borderId="0" xfId="0" applyNumberFormat="1" applyFont="1" applyFill="1" applyAlignment="1">
      <alignment horizontal="center"/>
    </xf>
    <xf numFmtId="2" fontId="0" fillId="23" borderId="26" xfId="0" applyNumberFormat="1" applyFill="1" applyBorder="1" applyAlignment="1">
      <alignment horizontal="center"/>
    </xf>
    <xf numFmtId="167" fontId="0" fillId="0" borderId="39" xfId="0" applyNumberFormat="1" applyBorder="1"/>
    <xf numFmtId="0" fontId="1" fillId="0" borderId="6" xfId="0" applyFont="1" applyBorder="1" applyAlignment="1">
      <alignment horizontal="right"/>
    </xf>
    <xf numFmtId="168" fontId="1" fillId="0" borderId="0" xfId="0" applyNumberFormat="1" applyFont="1" applyAlignment="1">
      <alignment horizontal="center"/>
    </xf>
    <xf numFmtId="167" fontId="1" fillId="0" borderId="36" xfId="0" applyNumberFormat="1" applyFont="1" applyBorder="1"/>
    <xf numFmtId="10" fontId="0" fillId="3" borderId="0" xfId="0" applyNumberFormat="1" applyFill="1"/>
    <xf numFmtId="44" fontId="0" fillId="0" borderId="36" xfId="0" applyNumberFormat="1" applyBorder="1"/>
    <xf numFmtId="6" fontId="0" fillId="3" borderId="0" xfId="0" applyNumberFormat="1" applyFill="1"/>
    <xf numFmtId="170" fontId="0" fillId="0" borderId="36" xfId="0" applyNumberFormat="1" applyBorder="1"/>
    <xf numFmtId="2" fontId="0" fillId="5" borderId="0" xfId="0" applyNumberFormat="1" applyFill="1"/>
    <xf numFmtId="1" fontId="0" fillId="5" borderId="0" xfId="0" applyNumberFormat="1" applyFill="1" applyAlignment="1">
      <alignment horizontal="center"/>
    </xf>
    <xf numFmtId="2" fontId="0" fillId="5" borderId="0" xfId="0" applyNumberFormat="1" applyFill="1" applyAlignment="1">
      <alignment horizontal="center"/>
    </xf>
    <xf numFmtId="0" fontId="1" fillId="13" borderId="0" xfId="0" applyFont="1" applyFill="1"/>
    <xf numFmtId="8" fontId="1" fillId="13" borderId="0" xfId="0" applyNumberFormat="1" applyFont="1" applyFill="1"/>
    <xf numFmtId="0" fontId="8" fillId="0" borderId="0" xfId="0" applyFont="1" applyAlignment="1">
      <alignment horizontal="center"/>
    </xf>
    <xf numFmtId="6" fontId="0" fillId="0" borderId="0" xfId="0" applyNumberFormat="1" applyAlignment="1">
      <alignment horizontal="center"/>
    </xf>
    <xf numFmtId="0" fontId="0" fillId="13" borderId="0" xfId="0" applyFill="1"/>
    <xf numFmtId="6" fontId="1" fillId="3" borderId="0" xfId="0" applyNumberFormat="1" applyFont="1" applyFill="1" applyAlignment="1">
      <alignment horizontal="center"/>
    </xf>
    <xf numFmtId="6" fontId="1" fillId="0" borderId="0" xfId="0" applyNumberFormat="1" applyFont="1" applyAlignment="1">
      <alignment horizontal="center"/>
    </xf>
    <xf numFmtId="8" fontId="1" fillId="0" borderId="0" xfId="0" applyNumberFormat="1" applyFont="1"/>
    <xf numFmtId="0" fontId="8" fillId="3" borderId="0" xfId="0" applyFont="1" applyFill="1" applyAlignment="1">
      <alignment horizontal="center"/>
    </xf>
    <xf numFmtId="170" fontId="0" fillId="3" borderId="0" xfId="0" applyNumberFormat="1" applyFill="1" applyAlignment="1">
      <alignment horizontal="center"/>
    </xf>
    <xf numFmtId="6" fontId="0" fillId="23" borderId="0" xfId="0" applyNumberFormat="1" applyFill="1" applyAlignment="1">
      <alignment horizontal="center"/>
    </xf>
    <xf numFmtId="6" fontId="0" fillId="3" borderId="0" xfId="0" applyNumberFormat="1" applyFill="1" applyAlignment="1">
      <alignment horizontal="center"/>
    </xf>
    <xf numFmtId="8" fontId="0" fillId="23" borderId="0" xfId="0" applyNumberFormat="1" applyFill="1"/>
    <xf numFmtId="6" fontId="0" fillId="23" borderId="26" xfId="0" applyNumberFormat="1" applyFill="1" applyBorder="1" applyAlignment="1">
      <alignment horizontal="center"/>
    </xf>
    <xf numFmtId="6" fontId="1" fillId="13" borderId="0" xfId="0" applyNumberFormat="1" applyFont="1" applyFill="1" applyAlignment="1">
      <alignment horizontal="center"/>
    </xf>
    <xf numFmtId="6" fontId="0" fillId="23" borderId="18" xfId="0" applyNumberFormat="1" applyFill="1" applyBorder="1"/>
    <xf numFmtId="10" fontId="0" fillId="3" borderId="0" xfId="0" applyNumberFormat="1" applyFill="1" applyAlignment="1">
      <alignment horizontal="center"/>
    </xf>
    <xf numFmtId="9" fontId="0" fillId="3" borderId="24" xfId="0" applyNumberFormat="1" applyFill="1" applyBorder="1" applyAlignment="1">
      <alignment horizontal="center"/>
    </xf>
    <xf numFmtId="172" fontId="0" fillId="3" borderId="0" xfId="0" applyNumberFormat="1" applyFill="1" applyAlignment="1">
      <alignment horizontal="center"/>
    </xf>
    <xf numFmtId="6" fontId="0" fillId="13" borderId="0" xfId="0" applyNumberFormat="1" applyFill="1" applyAlignment="1">
      <alignment horizontal="center"/>
    </xf>
    <xf numFmtId="0" fontId="0" fillId="0" borderId="22" xfId="0" applyBorder="1" applyAlignment="1">
      <alignment horizontal="left"/>
    </xf>
    <xf numFmtId="0" fontId="0" fillId="0" borderId="23" xfId="0" applyBorder="1" applyAlignment="1">
      <alignment horizontal="center"/>
    </xf>
    <xf numFmtId="1" fontId="0" fillId="23" borderId="0" xfId="0" applyNumberFormat="1" applyFill="1"/>
    <xf numFmtId="0" fontId="0" fillId="24" borderId="6" xfId="0" applyFill="1" applyBorder="1" applyAlignment="1">
      <alignment horizontal="left"/>
    </xf>
    <xf numFmtId="0" fontId="0" fillId="23" borderId="36" xfId="0" applyFill="1" applyBorder="1" applyAlignment="1">
      <alignment horizontal="center"/>
    </xf>
    <xf numFmtId="6" fontId="1" fillId="13" borderId="0" xfId="0" applyNumberFormat="1" applyFont="1" applyFill="1"/>
    <xf numFmtId="0" fontId="0" fillId="0" borderId="6" xfId="0" applyBorder="1" applyAlignment="1">
      <alignment horizontal="left"/>
    </xf>
    <xf numFmtId="44" fontId="1" fillId="13" borderId="0" xfId="1" applyFont="1" applyFill="1"/>
    <xf numFmtId="0" fontId="0" fillId="0" borderId="7" xfId="0" applyBorder="1" applyAlignment="1">
      <alignment horizontal="left"/>
    </xf>
    <xf numFmtId="9" fontId="0" fillId="3" borderId="5" xfId="0" applyNumberFormat="1" applyFill="1" applyBorder="1" applyAlignment="1">
      <alignment horizontal="center"/>
    </xf>
    <xf numFmtId="44" fontId="1" fillId="0" borderId="0" xfId="1" applyFont="1"/>
    <xf numFmtId="0" fontId="25" fillId="0" borderId="22" xfId="0" applyFont="1" applyBorder="1"/>
    <xf numFmtId="0" fontId="1" fillId="0" borderId="6" xfId="0" applyFont="1" applyBorder="1" applyAlignment="1">
      <alignment horizontal="left"/>
    </xf>
    <xf numFmtId="0" fontId="1" fillId="13" borderId="6" xfId="0" applyFont="1" applyFill="1" applyBorder="1"/>
    <xf numFmtId="0" fontId="1" fillId="13" borderId="36" xfId="0" applyFont="1" applyFill="1" applyBorder="1"/>
    <xf numFmtId="0" fontId="1" fillId="0" borderId="6" xfId="0" applyFont="1" applyBorder="1"/>
    <xf numFmtId="10" fontId="0" fillId="0" borderId="0" xfId="0" applyNumberFormat="1"/>
    <xf numFmtId="0" fontId="27" fillId="0" borderId="0" xfId="4" applyFont="1"/>
    <xf numFmtId="0" fontId="21" fillId="0" borderId="0" xfId="4" applyAlignment="1">
      <alignment horizontal="center"/>
    </xf>
    <xf numFmtId="0" fontId="21" fillId="22" borderId="27" xfId="4" applyFill="1" applyBorder="1"/>
    <xf numFmtId="0" fontId="21" fillId="22" borderId="25" xfId="4" applyFill="1" applyBorder="1" applyAlignment="1">
      <alignment horizontal="right"/>
    </xf>
    <xf numFmtId="6" fontId="0" fillId="21" borderId="28" xfId="5" applyNumberFormat="1" applyFont="1" applyFill="1" applyBorder="1" applyAlignment="1" applyProtection="1">
      <alignment horizontal="center"/>
      <protection locked="0"/>
    </xf>
    <xf numFmtId="44" fontId="0" fillId="21" borderId="28" xfId="5" applyFont="1" applyFill="1" applyBorder="1" applyAlignment="1" applyProtection="1">
      <alignment horizontal="center"/>
      <protection locked="0"/>
    </xf>
    <xf numFmtId="0" fontId="21" fillId="22" borderId="22" xfId="4" applyFill="1" applyBorder="1"/>
    <xf numFmtId="0" fontId="21" fillId="22" borderId="23" xfId="4" applyFill="1" applyBorder="1" applyAlignment="1">
      <alignment horizontal="right"/>
    </xf>
    <xf numFmtId="10" fontId="0" fillId="21" borderId="3" xfId="6" applyNumberFormat="1" applyFont="1" applyFill="1" applyBorder="1" applyAlignment="1" applyProtection="1">
      <alignment horizontal="center"/>
      <protection locked="0"/>
    </xf>
    <xf numFmtId="0" fontId="21" fillId="21" borderId="23" xfId="4" applyFill="1" applyBorder="1" applyAlignment="1" applyProtection="1">
      <alignment horizontal="center"/>
      <protection locked="0"/>
    </xf>
    <xf numFmtId="0" fontId="21" fillId="22" borderId="3" xfId="4" applyFill="1" applyBorder="1"/>
    <xf numFmtId="0" fontId="21" fillId="25" borderId="27" xfId="4" applyFill="1" applyBorder="1" applyAlignment="1">
      <alignment horizontal="right"/>
    </xf>
    <xf numFmtId="8" fontId="21" fillId="25" borderId="25" xfId="4" applyNumberFormat="1" applyFill="1" applyBorder="1" applyAlignment="1">
      <alignment horizontal="center"/>
    </xf>
    <xf numFmtId="0" fontId="21" fillId="25" borderId="28" xfId="4" applyFill="1" applyBorder="1"/>
    <xf numFmtId="0" fontId="21" fillId="22" borderId="27" xfId="4" applyFill="1" applyBorder="1" applyAlignment="1">
      <alignment horizontal="center" vertical="justify"/>
    </xf>
    <xf numFmtId="0" fontId="21" fillId="22" borderId="28" xfId="4" applyFill="1" applyBorder="1" applyAlignment="1">
      <alignment horizontal="center" vertical="justify"/>
    </xf>
    <xf numFmtId="0" fontId="21" fillId="22" borderId="24" xfId="4" applyFill="1" applyBorder="1" applyAlignment="1">
      <alignment horizontal="center" vertical="justify"/>
    </xf>
    <xf numFmtId="0" fontId="21" fillId="21" borderId="10" xfId="4" applyFill="1" applyBorder="1" applyProtection="1">
      <protection locked="0"/>
    </xf>
    <xf numFmtId="8" fontId="21" fillId="22" borderId="6" xfId="4" applyNumberFormat="1" applyFill="1" applyBorder="1" applyAlignment="1">
      <alignment horizontal="right"/>
    </xf>
    <xf numFmtId="44" fontId="21" fillId="22" borderId="36" xfId="4" applyNumberFormat="1" applyFill="1" applyBorder="1" applyAlignment="1">
      <alignment horizontal="center"/>
    </xf>
    <xf numFmtId="8" fontId="21" fillId="22" borderId="6" xfId="4" applyNumberFormat="1" applyFill="1" applyBorder="1"/>
    <xf numFmtId="44" fontId="21" fillId="22" borderId="36" xfId="4" applyNumberFormat="1" applyFill="1" applyBorder="1"/>
    <xf numFmtId="44" fontId="21" fillId="22" borderId="10" xfId="4" applyNumberFormat="1" applyFill="1" applyBorder="1"/>
    <xf numFmtId="44" fontId="21" fillId="22" borderId="4" xfId="4" applyNumberFormat="1" applyFill="1" applyBorder="1" applyAlignment="1">
      <alignment horizontal="center"/>
    </xf>
    <xf numFmtId="8" fontId="21" fillId="22" borderId="7" xfId="4" applyNumberFormat="1" applyFill="1" applyBorder="1"/>
    <xf numFmtId="44" fontId="21" fillId="22" borderId="4" xfId="4" applyNumberFormat="1" applyFill="1" applyBorder="1"/>
    <xf numFmtId="44" fontId="21" fillId="22" borderId="2" xfId="4" applyNumberFormat="1" applyFill="1" applyBorder="1"/>
    <xf numFmtId="0" fontId="21" fillId="21" borderId="2" xfId="4" applyFill="1" applyBorder="1" applyProtection="1">
      <protection locked="0"/>
    </xf>
    <xf numFmtId="8" fontId="21" fillId="0" borderId="0" xfId="4" applyNumberFormat="1" applyAlignment="1">
      <alignment horizontal="right"/>
    </xf>
    <xf numFmtId="44" fontId="21" fillId="0" borderId="0" xfId="4" applyNumberFormat="1" applyAlignment="1">
      <alignment horizontal="center"/>
    </xf>
    <xf numFmtId="8" fontId="21" fillId="0" borderId="0" xfId="4" applyNumberFormat="1"/>
    <xf numFmtId="44" fontId="21" fillId="0" borderId="0" xfId="4" applyNumberFormat="1"/>
    <xf numFmtId="171" fontId="0" fillId="0" borderId="0" xfId="0" applyNumberFormat="1"/>
    <xf numFmtId="0" fontId="0" fillId="0" borderId="42" xfId="0" applyBorder="1" applyAlignment="1">
      <alignment horizontal="center"/>
    </xf>
    <xf numFmtId="0" fontId="0" fillId="0" borderId="15" xfId="0" applyBorder="1" applyAlignment="1">
      <alignment horizontal="center"/>
    </xf>
    <xf numFmtId="0" fontId="0" fillId="0" borderId="43" xfId="0" applyBorder="1" applyAlignment="1">
      <alignment horizontal="center"/>
    </xf>
    <xf numFmtId="0" fontId="0" fillId="0" borderId="44" xfId="0" applyBorder="1"/>
    <xf numFmtId="167" fontId="0" fillId="0" borderId="18" xfId="1" applyNumberFormat="1" applyFont="1" applyBorder="1"/>
    <xf numFmtId="167" fontId="0" fillId="0" borderId="45" xfId="1" applyNumberFormat="1" applyFont="1" applyBorder="1"/>
    <xf numFmtId="0" fontId="0" fillId="0" borderId="46" xfId="0" applyBorder="1"/>
    <xf numFmtId="167" fontId="0" fillId="0" borderId="11" xfId="1" applyNumberFormat="1" applyFont="1" applyBorder="1"/>
    <xf numFmtId="167" fontId="0" fillId="5" borderId="47" xfId="1" applyNumberFormat="1" applyFont="1" applyFill="1" applyBorder="1"/>
    <xf numFmtId="0" fontId="0" fillId="0" borderId="42" xfId="0" applyBorder="1"/>
    <xf numFmtId="167" fontId="0" fillId="0" borderId="15" xfId="1" applyNumberFormat="1" applyFont="1" applyBorder="1"/>
    <xf numFmtId="167" fontId="0" fillId="0" borderId="43" xfId="1" applyNumberFormat="1" applyFont="1" applyBorder="1"/>
    <xf numFmtId="167" fontId="0" fillId="0" borderId="47" xfId="1" applyNumberFormat="1" applyFont="1" applyBorder="1"/>
    <xf numFmtId="167" fontId="0" fillId="5" borderId="15" xfId="1" applyNumberFormat="1" applyFont="1" applyFill="1" applyBorder="1"/>
    <xf numFmtId="167" fontId="0" fillId="5" borderId="18" xfId="1" applyNumberFormat="1" applyFont="1" applyFill="1" applyBorder="1"/>
    <xf numFmtId="167" fontId="0" fillId="0" borderId="45" xfId="1" applyNumberFormat="1" applyFont="1" applyFill="1" applyBorder="1"/>
    <xf numFmtId="0" fontId="0" fillId="0" borderId="11" xfId="0" applyBorder="1"/>
    <xf numFmtId="167" fontId="0" fillId="0" borderId="47" xfId="0" applyNumberFormat="1" applyBorder="1"/>
    <xf numFmtId="167" fontId="0" fillId="0" borderId="15" xfId="1" applyNumberFormat="1" applyFont="1" applyFill="1" applyBorder="1"/>
    <xf numFmtId="167" fontId="0" fillId="0" borderId="43" xfId="1" applyNumberFormat="1" applyFont="1" applyFill="1" applyBorder="1"/>
    <xf numFmtId="167" fontId="0" fillId="0" borderId="18" xfId="1" applyNumberFormat="1" applyFont="1" applyFill="1" applyBorder="1"/>
    <xf numFmtId="6" fontId="0" fillId="0" borderId="44" xfId="0" applyNumberFormat="1" applyBorder="1"/>
    <xf numFmtId="167" fontId="0" fillId="0" borderId="45" xfId="0" applyNumberFormat="1" applyBorder="1"/>
    <xf numFmtId="0" fontId="0" fillId="0" borderId="45" xfId="0" applyBorder="1"/>
    <xf numFmtId="6" fontId="0" fillId="0" borderId="15" xfId="0" applyNumberFormat="1" applyBorder="1"/>
    <xf numFmtId="0" fontId="0" fillId="0" borderId="43" xfId="0" applyBorder="1"/>
    <xf numFmtId="6" fontId="0" fillId="0" borderId="18" xfId="0" applyNumberFormat="1" applyBorder="1"/>
    <xf numFmtId="6" fontId="0" fillId="0" borderId="47" xfId="0" applyNumberFormat="1" applyBorder="1"/>
    <xf numFmtId="8" fontId="0" fillId="0" borderId="15" xfId="0" applyNumberFormat="1" applyBorder="1"/>
    <xf numFmtId="44" fontId="0" fillId="0" borderId="18" xfId="0" applyNumberFormat="1" applyBorder="1"/>
    <xf numFmtId="8" fontId="0" fillId="0" borderId="47" xfId="0" applyNumberFormat="1" applyBorder="1"/>
    <xf numFmtId="0" fontId="8" fillId="0" borderId="0" xfId="0" quotePrefix="1" applyFont="1"/>
    <xf numFmtId="167" fontId="0" fillId="0" borderId="15" xfId="1" applyNumberFormat="1" applyFont="1" applyBorder="1" applyAlignment="1">
      <alignment horizontal="center"/>
    </xf>
    <xf numFmtId="0" fontId="0" fillId="2" borderId="44" xfId="0" applyFill="1" applyBorder="1"/>
    <xf numFmtId="167" fontId="0" fillId="2" borderId="18" xfId="1" applyNumberFormat="1" applyFont="1" applyFill="1" applyBorder="1" applyAlignment="1">
      <alignment horizontal="center"/>
    </xf>
    <xf numFmtId="0" fontId="0" fillId="2" borderId="45" xfId="0" applyFill="1" applyBorder="1" applyAlignment="1">
      <alignment horizontal="center"/>
    </xf>
    <xf numFmtId="167" fontId="0" fillId="2" borderId="45" xfId="0" applyNumberFormat="1" applyFill="1" applyBorder="1" applyAlignment="1">
      <alignment horizontal="center"/>
    </xf>
    <xf numFmtId="0" fontId="0" fillId="0" borderId="45" xfId="0" applyBorder="1" applyAlignment="1">
      <alignment horizontal="center"/>
    </xf>
    <xf numFmtId="167" fontId="0" fillId="0" borderId="45" xfId="0" applyNumberFormat="1" applyBorder="1" applyAlignment="1">
      <alignment horizontal="center"/>
    </xf>
    <xf numFmtId="0" fontId="0" fillId="2" borderId="46" xfId="0" applyFill="1" applyBorder="1"/>
    <xf numFmtId="0" fontId="0" fillId="2" borderId="11" xfId="0" applyFill="1" applyBorder="1" applyAlignment="1">
      <alignment horizontal="center"/>
    </xf>
    <xf numFmtId="167" fontId="0" fillId="2" borderId="47" xfId="0" applyNumberFormat="1" applyFill="1" applyBorder="1" applyAlignment="1">
      <alignment horizontal="center"/>
    </xf>
    <xf numFmtId="6" fontId="20" fillId="0" borderId="0" xfId="0" applyNumberFormat="1" applyFont="1"/>
    <xf numFmtId="0" fontId="0" fillId="0" borderId="15" xfId="0" applyBorder="1"/>
    <xf numFmtId="6" fontId="0" fillId="0" borderId="43" xfId="0" applyNumberFormat="1" applyBorder="1"/>
    <xf numFmtId="6" fontId="0" fillId="0" borderId="11" xfId="0" applyNumberFormat="1" applyBorder="1"/>
    <xf numFmtId="0" fontId="0" fillId="0" borderId="47" xfId="0" applyBorder="1"/>
    <xf numFmtId="0" fontId="8" fillId="0" borderId="17" xfId="0" applyFont="1" applyBorder="1"/>
    <xf numFmtId="0" fontId="0" fillId="0" borderId="17" xfId="0" applyBorder="1"/>
    <xf numFmtId="0" fontId="0" fillId="0" borderId="47" xfId="0" applyBorder="1" applyAlignment="1">
      <alignment horizontal="center"/>
    </xf>
    <xf numFmtId="9" fontId="0" fillId="0" borderId="0" xfId="0" quotePrefix="1" applyNumberFormat="1" applyAlignment="1">
      <alignment horizontal="center"/>
    </xf>
    <xf numFmtId="0" fontId="0" fillId="0" borderId="13" xfId="0"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wrapText="1"/>
    </xf>
    <xf numFmtId="0" fontId="0" fillId="4" borderId="48" xfId="0" applyFill="1" applyBorder="1" applyAlignment="1">
      <alignment horizontal="center" wrapText="1"/>
    </xf>
    <xf numFmtId="0" fontId="0" fillId="4" borderId="49" xfId="0" applyFill="1" applyBorder="1"/>
    <xf numFmtId="0" fontId="0" fillId="4" borderId="21" xfId="0" applyFill="1" applyBorder="1" applyAlignment="1">
      <alignment horizontal="center" wrapText="1"/>
    </xf>
    <xf numFmtId="0" fontId="0" fillId="26" borderId="0" xfId="0" applyFill="1" applyAlignment="1">
      <alignment horizontal="center" wrapText="1"/>
    </xf>
    <xf numFmtId="0" fontId="28" fillId="0" borderId="0" xfId="7">
      <alignment horizontal="left" wrapText="1"/>
    </xf>
    <xf numFmtId="0" fontId="31" fillId="0" borderId="0" xfId="9">
      <alignment horizontal="left" wrapText="1"/>
    </xf>
    <xf numFmtId="0" fontId="32" fillId="0" borderId="0" xfId="10">
      <alignment horizontal="left"/>
    </xf>
    <xf numFmtId="0" fontId="35" fillId="0" borderId="0" xfId="11" applyFont="1">
      <alignment horizontal="right"/>
    </xf>
    <xf numFmtId="14" fontId="0" fillId="0" borderId="0" xfId="12" applyFont="1">
      <alignment horizontal="left"/>
    </xf>
    <xf numFmtId="0" fontId="37" fillId="28" borderId="0" xfId="15" applyFill="1" applyBorder="1">
      <alignment horizontal="left"/>
    </xf>
    <xf numFmtId="0" fontId="6" fillId="2" borderId="18" xfId="16" applyFill="1" applyBorder="1" applyAlignment="1">
      <alignment horizontal="left" wrapText="1"/>
    </xf>
    <xf numFmtId="0" fontId="6" fillId="2" borderId="18" xfId="16" applyFill="1" applyBorder="1" applyAlignment="1">
      <alignment horizontal="center" wrapText="1"/>
    </xf>
    <xf numFmtId="14" fontId="6" fillId="2" borderId="18" xfId="12" applyFont="1" applyFill="1" applyBorder="1">
      <alignment horizontal="left"/>
    </xf>
    <xf numFmtId="0" fontId="37" fillId="28" borderId="0" xfId="15" applyFill="1" applyBorder="1" applyAlignment="1">
      <alignment horizontal="center"/>
    </xf>
    <xf numFmtId="174" fontId="37" fillId="28" borderId="0" xfId="15" applyNumberFormat="1" applyFill="1" applyBorder="1">
      <alignment horizontal="left"/>
    </xf>
    <xf numFmtId="0" fontId="31" fillId="2" borderId="18" xfId="9" applyFill="1" applyBorder="1" applyAlignment="1">
      <alignment horizontal="left" vertical="center" wrapText="1"/>
    </xf>
    <xf numFmtId="176" fontId="0" fillId="2" borderId="18" xfId="17" applyNumberFormat="1" applyFont="1" applyFill="1" applyBorder="1">
      <alignment horizontal="left" vertical="center"/>
    </xf>
    <xf numFmtId="165" fontId="0" fillId="2" borderId="18" xfId="18" applyNumberFormat="1" applyFont="1" applyFill="1" applyBorder="1" applyAlignment="1">
      <alignment horizontal="right" vertical="center"/>
    </xf>
    <xf numFmtId="2" fontId="31" fillId="0" borderId="18" xfId="9" applyNumberFormat="1" applyBorder="1" applyAlignment="1">
      <alignment horizontal="left" vertical="center" wrapText="1"/>
    </xf>
    <xf numFmtId="0" fontId="31" fillId="0" borderId="18" xfId="9" applyBorder="1" applyAlignment="1">
      <alignment horizontal="left" vertical="center" wrapText="1"/>
    </xf>
    <xf numFmtId="176" fontId="0" fillId="0" borderId="18" xfId="17" applyNumberFormat="1" applyFont="1" applyFill="1" applyBorder="1">
      <alignment horizontal="left" vertical="center"/>
    </xf>
    <xf numFmtId="175" fontId="0" fillId="2" borderId="18" xfId="17" applyFont="1" applyFill="1" applyBorder="1">
      <alignment horizontal="left" vertical="center"/>
    </xf>
    <xf numFmtId="175" fontId="0" fillId="0" borderId="18" xfId="17" applyFont="1" applyFill="1" applyBorder="1">
      <alignment horizontal="left" vertical="center"/>
    </xf>
    <xf numFmtId="0" fontId="31" fillId="0" borderId="0" xfId="0" applyFont="1" applyAlignment="1">
      <alignment horizontal="left" wrapText="1"/>
    </xf>
    <xf numFmtId="176" fontId="0" fillId="2" borderId="18" xfId="0" applyNumberFormat="1" applyFill="1" applyBorder="1" applyAlignment="1">
      <alignment horizontal="right" vertical="center"/>
    </xf>
    <xf numFmtId="171" fontId="0" fillId="0" borderId="0" xfId="20" applyNumberFormat="1" applyFont="1">
      <alignment horizontal="left" vertical="center"/>
    </xf>
    <xf numFmtId="176" fontId="6" fillId="2" borderId="18" xfId="21" applyNumberFormat="1" applyFont="1" applyFill="1" applyBorder="1">
      <alignment horizontal="right" vertical="center"/>
    </xf>
    <xf numFmtId="176" fontId="20" fillId="23" borderId="18" xfId="21" applyNumberFormat="1" applyFont="1" applyFill="1" applyBorder="1">
      <alignment horizontal="right" vertical="center"/>
    </xf>
    <xf numFmtId="0" fontId="39" fillId="0" borderId="0" xfId="0" applyFont="1" applyAlignment="1">
      <alignment vertical="center"/>
    </xf>
    <xf numFmtId="0" fontId="40" fillId="0" borderId="0" xfId="0" applyFont="1" applyAlignment="1">
      <alignment horizontal="center"/>
    </xf>
    <xf numFmtId="0" fontId="39" fillId="0" borderId="0" xfId="0" applyFont="1"/>
    <xf numFmtId="0" fontId="40" fillId="0" borderId="0" xfId="0" applyFont="1" applyAlignment="1">
      <alignment horizontal="right" vertical="center" indent="1"/>
    </xf>
    <xf numFmtId="0" fontId="39" fillId="0" borderId="0" xfId="0" applyFont="1" applyAlignment="1">
      <alignment horizontal="left" vertical="center"/>
    </xf>
    <xf numFmtId="14" fontId="39" fillId="0" borderId="0" xfId="0" applyNumberFormat="1" applyFont="1" applyAlignment="1">
      <alignment horizontal="left" vertical="center"/>
    </xf>
    <xf numFmtId="0" fontId="1" fillId="0" borderId="0" xfId="0" applyFont="1" applyAlignment="1">
      <alignment horizontal="center" vertical="center"/>
    </xf>
    <xf numFmtId="1" fontId="39" fillId="0" borderId="0" xfId="0" applyNumberFormat="1"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left" vertical="center" indent="1"/>
    </xf>
    <xf numFmtId="165" fontId="39" fillId="0" borderId="0" xfId="18" applyNumberFormat="1" applyFont="1" applyAlignment="1">
      <alignment horizontal="right" vertical="center"/>
    </xf>
    <xf numFmtId="9" fontId="39" fillId="0" borderId="0" xfId="2" applyFont="1" applyAlignment="1">
      <alignment horizontal="center" vertical="center"/>
    </xf>
    <xf numFmtId="0" fontId="39" fillId="0" borderId="0" xfId="0" applyFont="1" applyAlignment="1">
      <alignment horizontal="right" vertical="center" indent="1"/>
    </xf>
    <xf numFmtId="0" fontId="41" fillId="0" borderId="0" xfId="0" applyFont="1" applyAlignment="1">
      <alignment horizontal="right" vertical="center" indent="1"/>
    </xf>
    <xf numFmtId="165" fontId="39" fillId="0" borderId="50" xfId="2" applyNumberFormat="1" applyFont="1" applyBorder="1" applyAlignment="1">
      <alignment horizontal="right" vertical="center"/>
    </xf>
    <xf numFmtId="176" fontId="39" fillId="0" borderId="51" xfId="18" applyNumberFormat="1" applyFont="1" applyBorder="1" applyAlignment="1">
      <alignment horizontal="center" vertical="center"/>
    </xf>
    <xf numFmtId="0" fontId="39" fillId="0" borderId="0" xfId="0" applyFont="1" applyAlignment="1">
      <alignment vertical="top"/>
    </xf>
    <xf numFmtId="9" fontId="39" fillId="0" borderId="0" xfId="0" applyNumberFormat="1" applyFont="1" applyAlignment="1">
      <alignment vertical="center"/>
    </xf>
    <xf numFmtId="171" fontId="39" fillId="0" borderId="0" xfId="0" applyNumberFormat="1" applyFont="1" applyAlignment="1">
      <alignment vertical="center"/>
    </xf>
    <xf numFmtId="0" fontId="42" fillId="0" borderId="0" xfId="0" applyFont="1" applyAlignment="1">
      <alignment vertical="top"/>
    </xf>
    <xf numFmtId="176" fontId="43" fillId="29" borderId="52" xfId="18" applyNumberFormat="1" applyFont="1" applyFill="1" applyBorder="1" applyAlignment="1">
      <alignment horizontal="center" vertical="center"/>
    </xf>
    <xf numFmtId="1" fontId="23" fillId="0" borderId="0" xfId="1" applyNumberFormat="1" applyFont="1" applyAlignment="1">
      <alignment horizontal="center"/>
    </xf>
    <xf numFmtId="0" fontId="1" fillId="0" borderId="0" xfId="0" applyFont="1" applyAlignment="1">
      <alignment horizontal="center" wrapText="1"/>
    </xf>
    <xf numFmtId="0" fontId="1" fillId="0" borderId="36" xfId="0" applyFont="1" applyBorder="1"/>
    <xf numFmtId="44" fontId="0" fillId="23" borderId="0" xfId="0" applyNumberFormat="1" applyFill="1" applyAlignment="1">
      <alignment horizontal="center"/>
    </xf>
    <xf numFmtId="2" fontId="0" fillId="5" borderId="26" xfId="0" applyNumberFormat="1" applyFill="1" applyBorder="1"/>
    <xf numFmtId="44" fontId="0" fillId="5" borderId="0" xfId="1" applyFont="1" applyFill="1"/>
    <xf numFmtId="9" fontId="0" fillId="0" borderId="0" xfId="2" applyFont="1"/>
    <xf numFmtId="44" fontId="0" fillId="23" borderId="18" xfId="1" applyFont="1" applyFill="1" applyBorder="1"/>
    <xf numFmtId="44" fontId="21" fillId="11" borderId="36" xfId="4" applyNumberFormat="1" applyFill="1" applyBorder="1" applyAlignment="1">
      <alignment horizontal="center"/>
    </xf>
    <xf numFmtId="2" fontId="0" fillId="23" borderId="36" xfId="0" applyNumberFormat="1" applyFill="1" applyBorder="1" applyAlignment="1">
      <alignment horizontal="center"/>
    </xf>
    <xf numFmtId="0" fontId="0" fillId="5" borderId="18" xfId="0" applyFill="1" applyBorder="1"/>
    <xf numFmtId="0" fontId="1" fillId="0" borderId="18" xfId="0" applyFont="1" applyBorder="1"/>
    <xf numFmtId="166" fontId="1" fillId="2" borderId="0" xfId="0" applyNumberFormat="1" applyFont="1" applyFill="1"/>
    <xf numFmtId="44" fontId="1" fillId="11" borderId="24" xfId="1" applyFont="1" applyFill="1" applyBorder="1"/>
    <xf numFmtId="2" fontId="0" fillId="0" borderId="15" xfId="0" applyNumberFormat="1" applyBorder="1" applyAlignment="1">
      <alignment horizontal="center"/>
    </xf>
    <xf numFmtId="2" fontId="0" fillId="0" borderId="47" xfId="0" applyNumberFormat="1" applyBorder="1" applyAlignment="1">
      <alignment horizontal="center"/>
    </xf>
    <xf numFmtId="2" fontId="0" fillId="0" borderId="45" xfId="0" applyNumberFormat="1" applyBorder="1" applyAlignment="1">
      <alignment horizontal="center"/>
    </xf>
    <xf numFmtId="2" fontId="0" fillId="0" borderId="11" xfId="0" applyNumberFormat="1" applyBorder="1" applyAlignment="1">
      <alignment horizontal="center"/>
    </xf>
    <xf numFmtId="6" fontId="0" fillId="23" borderId="0" xfId="0" applyNumberFormat="1" applyFill="1"/>
    <xf numFmtId="167" fontId="0" fillId="23" borderId="0" xfId="1" applyNumberFormat="1" applyFont="1" applyFill="1" applyBorder="1" applyAlignment="1"/>
    <xf numFmtId="0" fontId="0" fillId="23" borderId="0" xfId="0" applyFill="1"/>
    <xf numFmtId="167" fontId="0" fillId="23" borderId="5" xfId="1" applyNumberFormat="1" applyFont="1" applyFill="1" applyBorder="1" applyAlignment="1"/>
    <xf numFmtId="167" fontId="0" fillId="23" borderId="0" xfId="1" applyNumberFormat="1" applyFont="1" applyFill="1" applyAlignment="1"/>
    <xf numFmtId="172" fontId="23" fillId="0" borderId="0" xfId="0" applyNumberFormat="1" applyFont="1" applyAlignment="1">
      <alignment horizontal="center"/>
    </xf>
    <xf numFmtId="172" fontId="0" fillId="4" borderId="0" xfId="2" applyNumberFormat="1" applyFont="1" applyFill="1" applyAlignment="1">
      <alignment horizontal="center"/>
    </xf>
    <xf numFmtId="10" fontId="0" fillId="0" borderId="0" xfId="0" applyNumberFormat="1" applyAlignment="1">
      <alignment horizontal="center"/>
    </xf>
    <xf numFmtId="0" fontId="0" fillId="0" borderId="23" xfId="0" applyBorder="1" applyAlignment="1">
      <alignment horizontal="left"/>
    </xf>
    <xf numFmtId="0" fontId="0" fillId="0" borderId="3" xfId="0" applyBorder="1" applyAlignment="1">
      <alignment horizontal="left"/>
    </xf>
    <xf numFmtId="0" fontId="0" fillId="0" borderId="0" xfId="0" applyAlignment="1">
      <alignment horizontal="left"/>
    </xf>
    <xf numFmtId="0" fontId="0" fillId="0" borderId="36"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44" fillId="0" borderId="0" xfId="0" applyFont="1"/>
    <xf numFmtId="0" fontId="1" fillId="2" borderId="0" xfId="0" applyFont="1" applyFill="1"/>
    <xf numFmtId="167" fontId="0" fillId="0" borderId="0" xfId="1" applyNumberFormat="1" applyFont="1"/>
    <xf numFmtId="167" fontId="1" fillId="2" borderId="0" xfId="1" applyNumberFormat="1" applyFont="1" applyFill="1" applyBorder="1"/>
    <xf numFmtId="0" fontId="1" fillId="0" borderId="5" xfId="0" applyFont="1" applyBorder="1"/>
    <xf numFmtId="167" fontId="1" fillId="0" borderId="5" xfId="1" applyNumberFormat="1" applyFont="1" applyFill="1" applyBorder="1"/>
    <xf numFmtId="167" fontId="1" fillId="0" borderId="0" xfId="1" applyNumberFormat="1" applyFont="1" applyFill="1"/>
    <xf numFmtId="167" fontId="1" fillId="0" borderId="0" xfId="1" applyNumberFormat="1" applyFont="1"/>
    <xf numFmtId="0" fontId="1" fillId="5" borderId="0" xfId="0" applyFont="1" applyFill="1"/>
    <xf numFmtId="0" fontId="25" fillId="0" borderId="27" xfId="0" applyFont="1" applyBorder="1"/>
    <xf numFmtId="167" fontId="25" fillId="0" borderId="25" xfId="1" applyNumberFormat="1" applyFont="1" applyFill="1" applyBorder="1"/>
    <xf numFmtId="0" fontId="25" fillId="0" borderId="28" xfId="0" applyFont="1" applyBorder="1"/>
    <xf numFmtId="0" fontId="0" fillId="0" borderId="1" xfId="0" applyBorder="1"/>
    <xf numFmtId="0" fontId="0" fillId="0" borderId="2" xfId="0" applyBorder="1"/>
    <xf numFmtId="167" fontId="1" fillId="5" borderId="0" xfId="1" applyNumberFormat="1" applyFont="1" applyFill="1"/>
    <xf numFmtId="167" fontId="44" fillId="5" borderId="0" xfId="1" applyNumberFormat="1" applyFont="1" applyFill="1"/>
    <xf numFmtId="167" fontId="0" fillId="0" borderId="0" xfId="1" applyNumberFormat="1" applyFont="1" applyBorder="1"/>
    <xf numFmtId="0" fontId="0" fillId="0" borderId="53" xfId="0" applyBorder="1"/>
    <xf numFmtId="167" fontId="0" fillId="0" borderId="53" xfId="1" applyNumberFormat="1" applyFont="1" applyBorder="1"/>
    <xf numFmtId="167" fontId="44" fillId="0" borderId="0" xfId="1" applyNumberFormat="1" applyFont="1"/>
    <xf numFmtId="0" fontId="1" fillId="30" borderId="27" xfId="0" applyFont="1" applyFill="1" applyBorder="1"/>
    <xf numFmtId="0" fontId="1" fillId="30" borderId="25" xfId="0" applyFont="1" applyFill="1" applyBorder="1"/>
    <xf numFmtId="167" fontId="44" fillId="30" borderId="28" xfId="1" applyNumberFormat="1" applyFont="1" applyFill="1" applyBorder="1"/>
    <xf numFmtId="167" fontId="0" fillId="5" borderId="0" xfId="1" applyNumberFormat="1" applyFont="1" applyFill="1"/>
    <xf numFmtId="167" fontId="1" fillId="5" borderId="0" xfId="1" applyNumberFormat="1" applyFont="1" applyFill="1" applyBorder="1"/>
    <xf numFmtId="167" fontId="44" fillId="5" borderId="0" xfId="1" applyNumberFormat="1" applyFont="1" applyFill="1" applyBorder="1"/>
    <xf numFmtId="0" fontId="1" fillId="4" borderId="27" xfId="0" applyFont="1" applyFill="1" applyBorder="1"/>
    <xf numFmtId="167" fontId="1" fillId="4" borderId="25" xfId="1" applyNumberFormat="1" applyFont="1" applyFill="1" applyBorder="1"/>
    <xf numFmtId="167" fontId="1" fillId="4" borderId="28" xfId="1" applyNumberFormat="1" applyFont="1" applyFill="1" applyBorder="1"/>
    <xf numFmtId="167" fontId="0" fillId="31" borderId="0" xfId="1" applyNumberFormat="1" applyFont="1" applyFill="1"/>
    <xf numFmtId="0" fontId="1" fillId="16" borderId="27" xfId="0" applyFont="1" applyFill="1" applyBorder="1"/>
    <xf numFmtId="167" fontId="1" fillId="16" borderId="25" xfId="1" applyNumberFormat="1" applyFont="1" applyFill="1" applyBorder="1"/>
    <xf numFmtId="167" fontId="44" fillId="16" borderId="28" xfId="1" applyNumberFormat="1" applyFont="1" applyFill="1" applyBorder="1"/>
    <xf numFmtId="0" fontId="44" fillId="2" borderId="27" xfId="0" applyFont="1" applyFill="1" applyBorder="1"/>
    <xf numFmtId="167" fontId="44" fillId="2" borderId="25" xfId="1" applyNumberFormat="1" applyFont="1" applyFill="1" applyBorder="1"/>
    <xf numFmtId="167" fontId="44" fillId="2" borderId="28" xfId="1" applyNumberFormat="1" applyFont="1" applyFill="1" applyBorder="1"/>
    <xf numFmtId="0" fontId="0" fillId="0" borderId="18" xfId="0" applyBorder="1" applyAlignment="1">
      <alignment wrapText="1"/>
    </xf>
    <xf numFmtId="1" fontId="39" fillId="31" borderId="0" xfId="0" applyNumberFormat="1" applyFont="1" applyFill="1" applyAlignment="1">
      <alignment horizontal="center" vertical="center"/>
    </xf>
    <xf numFmtId="0" fontId="39" fillId="31" borderId="0" xfId="0" applyFont="1" applyFill="1" applyAlignment="1">
      <alignment horizontal="center" vertical="center"/>
    </xf>
    <xf numFmtId="0" fontId="39" fillId="31" borderId="0" xfId="0" applyFont="1" applyFill="1" applyAlignment="1">
      <alignment horizontal="left" vertical="center" indent="1"/>
    </xf>
    <xf numFmtId="165" fontId="39" fillId="31" borderId="0" xfId="18" applyNumberFormat="1" applyFont="1" applyFill="1" applyAlignment="1">
      <alignment horizontal="right" vertical="center"/>
    </xf>
    <xf numFmtId="9" fontId="39" fillId="31" borderId="0" xfId="2" applyFont="1" applyFill="1" applyAlignment="1">
      <alignment horizontal="center" vertical="center"/>
    </xf>
    <xf numFmtId="1" fontId="31" fillId="2" borderId="18" xfId="9" applyNumberFormat="1" applyFill="1" applyBorder="1" applyAlignment="1">
      <alignment horizontal="left" vertical="center" wrapText="1"/>
    </xf>
    <xf numFmtId="177" fontId="0" fillId="2" borderId="18" xfId="0" applyNumberFormat="1" applyFill="1" applyBorder="1" applyAlignment="1">
      <alignment horizontal="right" vertical="center"/>
    </xf>
    <xf numFmtId="177" fontId="6" fillId="2" borderId="18" xfId="21" applyNumberFormat="1" applyFont="1" applyFill="1" applyBorder="1">
      <alignment horizontal="right" vertical="center"/>
    </xf>
    <xf numFmtId="177" fontId="20" fillId="23" borderId="18" xfId="21" applyNumberFormat="1" applyFont="1" applyFill="1" applyBorder="1">
      <alignment horizontal="right" vertical="center"/>
    </xf>
    <xf numFmtId="166" fontId="39" fillId="0" borderId="50" xfId="2" applyNumberFormat="1" applyFont="1" applyBorder="1" applyAlignment="1">
      <alignment horizontal="right" vertical="center"/>
    </xf>
    <xf numFmtId="177" fontId="39" fillId="0" borderId="51" xfId="18" applyNumberFormat="1" applyFont="1" applyBorder="1" applyAlignment="1">
      <alignment horizontal="center" vertical="center"/>
    </xf>
    <xf numFmtId="177" fontId="43" fillId="29" borderId="52" xfId="18" applyNumberFormat="1" applyFont="1" applyFill="1" applyBorder="1" applyAlignment="1">
      <alignment horizontal="center" vertical="center"/>
    </xf>
    <xf numFmtId="44" fontId="21" fillId="4" borderId="36" xfId="4" applyNumberFormat="1" applyFill="1" applyBorder="1" applyAlignment="1">
      <alignment horizontal="center"/>
    </xf>
    <xf numFmtId="44" fontId="0" fillId="0" borderId="18" xfId="1" applyFont="1" applyFill="1" applyBorder="1"/>
    <xf numFmtId="10" fontId="0" fillId="0" borderId="18" xfId="2" applyNumberFormat="1" applyFont="1" applyFill="1" applyBorder="1" applyAlignment="1">
      <alignment horizontal="center"/>
    </xf>
    <xf numFmtId="8" fontId="0" fillId="0" borderId="18" xfId="0" applyNumberFormat="1" applyBorder="1"/>
    <xf numFmtId="44" fontId="0" fillId="0" borderId="13" xfId="1" applyFont="1" applyFill="1" applyBorder="1"/>
    <xf numFmtId="172" fontId="0" fillId="0" borderId="13" xfId="2" applyNumberFormat="1" applyFont="1" applyFill="1" applyBorder="1" applyAlignment="1">
      <alignment horizontal="center"/>
    </xf>
    <xf numFmtId="8" fontId="0" fillId="0" borderId="13" xfId="0" applyNumberFormat="1" applyBorder="1" applyAlignment="1">
      <alignment horizontal="center"/>
    </xf>
    <xf numFmtId="44" fontId="0" fillId="0" borderId="13" xfId="0" applyNumberFormat="1" applyBorder="1"/>
    <xf numFmtId="10" fontId="0" fillId="0" borderId="13" xfId="2" applyNumberFormat="1" applyFont="1" applyFill="1" applyBorder="1" applyAlignment="1">
      <alignment horizontal="center"/>
    </xf>
    <xf numFmtId="8" fontId="0" fillId="0" borderId="13" xfId="0" applyNumberFormat="1" applyBorder="1"/>
    <xf numFmtId="172" fontId="0" fillId="0" borderId="13" xfId="2" applyNumberFormat="1" applyFont="1" applyFill="1" applyBorder="1"/>
    <xf numFmtId="10" fontId="0" fillId="0" borderId="13" xfId="2" applyNumberFormat="1" applyFont="1" applyFill="1" applyBorder="1"/>
    <xf numFmtId="44" fontId="0" fillId="0" borderId="13" xfId="0" applyNumberFormat="1" applyBorder="1" applyAlignment="1">
      <alignment horizontal="center"/>
    </xf>
    <xf numFmtId="167" fontId="0" fillId="0" borderId="13" xfId="0" applyNumberFormat="1" applyBorder="1"/>
    <xf numFmtId="0" fontId="0" fillId="0" borderId="54" xfId="0" applyBorder="1" applyAlignment="1">
      <alignment horizontal="center"/>
    </xf>
    <xf numFmtId="0" fontId="0" fillId="0" borderId="54" xfId="0" applyBorder="1"/>
    <xf numFmtId="0" fontId="0" fillId="0" borderId="29" xfId="0" applyBorder="1" applyAlignment="1">
      <alignment horizontal="center"/>
    </xf>
    <xf numFmtId="0" fontId="1" fillId="8" borderId="18" xfId="0" applyFont="1" applyFill="1" applyBorder="1" applyAlignment="1">
      <alignment horizontal="center"/>
    </xf>
    <xf numFmtId="0" fontId="1" fillId="8" borderId="18" xfId="0" applyFont="1" applyFill="1" applyBorder="1"/>
    <xf numFmtId="0" fontId="1" fillId="8" borderId="18" xfId="0" applyFont="1" applyFill="1" applyBorder="1" applyAlignment="1">
      <alignment horizontal="center" wrapText="1"/>
    </xf>
    <xf numFmtId="0" fontId="0" fillId="24" borderId="18" xfId="0" applyFill="1" applyBorder="1"/>
    <xf numFmtId="167" fontId="0" fillId="24" borderId="18" xfId="1" applyNumberFormat="1" applyFont="1" applyFill="1" applyBorder="1"/>
    <xf numFmtId="2" fontId="0" fillId="24" borderId="18" xfId="0" applyNumberFormat="1" applyFill="1" applyBorder="1" applyAlignment="1">
      <alignment horizontal="center"/>
    </xf>
    <xf numFmtId="172" fontId="0" fillId="24" borderId="18" xfId="2" applyNumberFormat="1" applyFont="1" applyFill="1" applyBorder="1"/>
    <xf numFmtId="44" fontId="0" fillId="24" borderId="18" xfId="0" applyNumberFormat="1" applyFill="1" applyBorder="1" applyAlignment="1">
      <alignment horizontal="center"/>
    </xf>
    <xf numFmtId="44" fontId="0" fillId="24" borderId="45" xfId="1" applyFont="1" applyFill="1" applyBorder="1" applyAlignment="1">
      <alignment horizontal="center"/>
    </xf>
    <xf numFmtId="0" fontId="1" fillId="24" borderId="44" xfId="0" applyFont="1" applyFill="1" applyBorder="1" applyAlignment="1">
      <alignment horizontal="center"/>
    </xf>
    <xf numFmtId="0" fontId="1" fillId="2" borderId="23" xfId="0" applyFont="1" applyFill="1" applyBorder="1" applyAlignment="1">
      <alignment wrapText="1"/>
    </xf>
    <xf numFmtId="6" fontId="1" fillId="2" borderId="3" xfId="0" applyNumberFormat="1" applyFont="1" applyFill="1" applyBorder="1"/>
    <xf numFmtId="0" fontId="1" fillId="2" borderId="0" xfId="0" applyFont="1" applyFill="1" applyAlignment="1">
      <alignment wrapText="1"/>
    </xf>
    <xf numFmtId="6" fontId="1" fillId="2" borderId="36" xfId="0" applyNumberFormat="1" applyFont="1" applyFill="1" applyBorder="1"/>
    <xf numFmtId="0" fontId="1" fillId="2" borderId="5" xfId="0" applyFont="1" applyFill="1" applyBorder="1" applyAlignment="1">
      <alignment wrapText="1"/>
    </xf>
    <xf numFmtId="6" fontId="1" fillId="2" borderId="4" xfId="0" applyNumberFormat="1" applyFont="1" applyFill="1" applyBorder="1"/>
    <xf numFmtId="0" fontId="1" fillId="2" borderId="27" xfId="0" applyFont="1" applyFill="1" applyBorder="1" applyAlignment="1">
      <alignment wrapText="1"/>
    </xf>
    <xf numFmtId="6" fontId="1" fillId="2" borderId="28" xfId="0" applyNumberFormat="1" applyFont="1" applyFill="1" applyBorder="1"/>
    <xf numFmtId="0" fontId="1" fillId="16" borderId="8" xfId="0" applyFont="1" applyFill="1" applyBorder="1" applyAlignment="1">
      <alignment horizontal="center"/>
    </xf>
    <xf numFmtId="0" fontId="1" fillId="16" borderId="55" xfId="0" applyFont="1" applyFill="1" applyBorder="1" applyAlignment="1">
      <alignment horizontal="center" wrapText="1"/>
    </xf>
    <xf numFmtId="0" fontId="1" fillId="16" borderId="8" xfId="0" applyFont="1" applyFill="1" applyBorder="1" applyAlignment="1">
      <alignment horizontal="center" wrapText="1"/>
    </xf>
    <xf numFmtId="0" fontId="1" fillId="16" borderId="34" xfId="0" applyFont="1" applyFill="1" applyBorder="1" applyAlignment="1">
      <alignment horizontal="center" wrapText="1"/>
    </xf>
    <xf numFmtId="0" fontId="1" fillId="16" borderId="56" xfId="0" applyFont="1" applyFill="1" applyBorder="1" applyAlignment="1">
      <alignment horizontal="center" wrapText="1"/>
    </xf>
    <xf numFmtId="0" fontId="1" fillId="16" borderId="14" xfId="0" applyFont="1" applyFill="1" applyBorder="1" applyAlignment="1">
      <alignment horizontal="center" wrapText="1"/>
    </xf>
    <xf numFmtId="0" fontId="10" fillId="16" borderId="14" xfId="0" applyFont="1" applyFill="1" applyBorder="1" applyAlignment="1">
      <alignment horizontal="center" wrapText="1"/>
    </xf>
    <xf numFmtId="0" fontId="1" fillId="0" borderId="13" xfId="0" applyFont="1" applyBorder="1" applyAlignment="1">
      <alignment horizontal="center"/>
    </xf>
    <xf numFmtId="0" fontId="1" fillId="0" borderId="18" xfId="0" applyFont="1" applyBorder="1" applyAlignment="1">
      <alignment horizontal="center"/>
    </xf>
    <xf numFmtId="0" fontId="1" fillId="2" borderId="6" xfId="0" applyFont="1" applyFill="1" applyBorder="1"/>
    <xf numFmtId="0" fontId="1" fillId="2" borderId="7" xfId="0" applyFont="1" applyFill="1" applyBorder="1"/>
    <xf numFmtId="170" fontId="1" fillId="4" borderId="4" xfId="0" applyNumberFormat="1" applyFont="1" applyFill="1" applyBorder="1"/>
    <xf numFmtId="0" fontId="1" fillId="2" borderId="22" xfId="0" applyFont="1" applyFill="1" applyBorder="1" applyAlignment="1">
      <alignment wrapText="1"/>
    </xf>
    <xf numFmtId="0" fontId="1" fillId="2" borderId="3" xfId="0" applyFont="1" applyFill="1" applyBorder="1"/>
    <xf numFmtId="8" fontId="1" fillId="4" borderId="4" xfId="0" applyNumberFormat="1" applyFont="1" applyFill="1" applyBorder="1"/>
    <xf numFmtId="172" fontId="1" fillId="32" borderId="13" xfId="2" applyNumberFormat="1" applyFont="1" applyFill="1" applyBorder="1" applyAlignment="1">
      <alignment horizontal="center"/>
    </xf>
    <xf numFmtId="172" fontId="1" fillId="3" borderId="13" xfId="2" applyNumberFormat="1" applyFont="1" applyFill="1" applyBorder="1" applyAlignment="1">
      <alignment horizontal="center"/>
    </xf>
    <xf numFmtId="10" fontId="1" fillId="32" borderId="13" xfId="2" applyNumberFormat="1" applyFont="1" applyFill="1" applyBorder="1" applyAlignment="1">
      <alignment horizontal="center"/>
    </xf>
    <xf numFmtId="44" fontId="0" fillId="0" borderId="57" xfId="1" applyFont="1" applyFill="1" applyBorder="1"/>
    <xf numFmtId="172" fontId="1" fillId="3" borderId="57" xfId="2" applyNumberFormat="1" applyFont="1" applyFill="1" applyBorder="1" applyAlignment="1">
      <alignment horizontal="center"/>
    </xf>
    <xf numFmtId="167" fontId="0" fillId="0" borderId="57" xfId="0" applyNumberFormat="1" applyBorder="1"/>
    <xf numFmtId="172" fontId="0" fillId="0" borderId="57" xfId="2" applyNumberFormat="1" applyFont="1" applyFill="1" applyBorder="1" applyAlignment="1">
      <alignment horizontal="center"/>
    </xf>
    <xf numFmtId="44" fontId="1" fillId="5" borderId="27" xfId="0" applyNumberFormat="1" applyFont="1" applyFill="1" applyBorder="1"/>
    <xf numFmtId="172" fontId="1" fillId="5" borderId="14" xfId="2" applyNumberFormat="1" applyFont="1" applyFill="1" applyBorder="1" applyAlignment="1">
      <alignment horizontal="center"/>
    </xf>
    <xf numFmtId="167" fontId="1" fillId="5" borderId="25" xfId="0" applyNumberFormat="1" applyFont="1" applyFill="1" applyBorder="1"/>
    <xf numFmtId="172" fontId="1" fillId="5" borderId="34" xfId="2" applyNumberFormat="1" applyFont="1" applyFill="1" applyBorder="1" applyAlignment="1">
      <alignment horizontal="center"/>
    </xf>
    <xf numFmtId="6" fontId="23" fillId="0" borderId="0" xfId="0" applyNumberFormat="1" applyFont="1"/>
    <xf numFmtId="0" fontId="1" fillId="2" borderId="27" xfId="0" applyFont="1" applyFill="1" applyBorder="1"/>
    <xf numFmtId="44" fontId="1" fillId="2" borderId="28" xfId="1" applyFont="1" applyFill="1" applyBorder="1"/>
    <xf numFmtId="44" fontId="1" fillId="4" borderId="28" xfId="1" applyFont="1" applyFill="1" applyBorder="1"/>
    <xf numFmtId="44" fontId="1" fillId="16" borderId="28" xfId="1" applyFont="1" applyFill="1" applyBorder="1"/>
    <xf numFmtId="44" fontId="0" fillId="0" borderId="53" xfId="1" applyFont="1" applyBorder="1"/>
    <xf numFmtId="0" fontId="1" fillId="19" borderId="27" xfId="0" applyFont="1" applyFill="1" applyBorder="1"/>
    <xf numFmtId="44" fontId="1" fillId="19" borderId="28" xfId="1" applyFont="1" applyFill="1" applyBorder="1"/>
    <xf numFmtId="44" fontId="1" fillId="31" borderId="0" xfId="1" applyFont="1" applyFill="1"/>
    <xf numFmtId="9" fontId="0" fillId="19" borderId="0" xfId="2" applyFont="1" applyFill="1"/>
    <xf numFmtId="9" fontId="0" fillId="31" borderId="0" xfId="2" applyFont="1" applyFill="1"/>
    <xf numFmtId="0" fontId="46" fillId="0" borderId="27" xfId="0" applyFont="1" applyBorder="1"/>
    <xf numFmtId="167" fontId="46" fillId="0" borderId="25" xfId="1" applyNumberFormat="1" applyFont="1" applyFill="1" applyBorder="1"/>
    <xf numFmtId="9" fontId="23" fillId="31" borderId="0" xfId="2" applyFont="1" applyFill="1"/>
    <xf numFmtId="9" fontId="0" fillId="0" borderId="0" xfId="2" applyFont="1" applyBorder="1"/>
    <xf numFmtId="9" fontId="1" fillId="19" borderId="25" xfId="2" applyFont="1" applyFill="1" applyBorder="1"/>
    <xf numFmtId="9" fontId="0" fillId="30" borderId="0" xfId="2" applyFont="1" applyFill="1"/>
    <xf numFmtId="9" fontId="0" fillId="30" borderId="0" xfId="2" applyFont="1" applyFill="1" applyBorder="1"/>
    <xf numFmtId="167" fontId="1" fillId="0" borderId="0" xfId="1" applyNumberFormat="1" applyFont="1" applyFill="1" applyBorder="1"/>
    <xf numFmtId="167" fontId="1" fillId="4" borderId="0" xfId="1" applyNumberFormat="1" applyFont="1" applyFill="1" applyBorder="1"/>
    <xf numFmtId="167" fontId="0" fillId="0" borderId="0" xfId="1" applyNumberFormat="1" applyFont="1" applyFill="1"/>
    <xf numFmtId="9" fontId="0" fillId="3" borderId="0" xfId="2" applyFont="1" applyFill="1"/>
    <xf numFmtId="167" fontId="44" fillId="5" borderId="24" xfId="1" applyNumberFormat="1" applyFont="1" applyFill="1" applyBorder="1"/>
    <xf numFmtId="44" fontId="1" fillId="2" borderId="24" xfId="1" applyFont="1" applyFill="1" applyBorder="1"/>
    <xf numFmtId="167" fontId="1" fillId="0" borderId="36" xfId="1" applyNumberFormat="1" applyFont="1" applyFill="1" applyBorder="1"/>
    <xf numFmtId="167" fontId="1" fillId="2" borderId="0" xfId="0" applyNumberFormat="1" applyFont="1" applyFill="1"/>
    <xf numFmtId="167" fontId="44" fillId="30" borderId="4" xfId="1" applyNumberFormat="1" applyFont="1" applyFill="1" applyBorder="1"/>
    <xf numFmtId="167" fontId="44" fillId="2" borderId="24" xfId="1" applyNumberFormat="1" applyFont="1" applyFill="1" applyBorder="1"/>
    <xf numFmtId="167" fontId="1" fillId="2" borderId="0" xfId="1" applyNumberFormat="1" applyFont="1" applyFill="1"/>
    <xf numFmtId="167" fontId="0" fillId="0" borderId="23" xfId="1" applyNumberFormat="1" applyFont="1" applyFill="1" applyBorder="1"/>
    <xf numFmtId="167" fontId="44" fillId="0" borderId="0" xfId="1" applyNumberFormat="1" applyFont="1" applyFill="1" applyBorder="1"/>
    <xf numFmtId="167" fontId="44" fillId="5" borderId="53" xfId="1" applyNumberFormat="1" applyFont="1" applyFill="1" applyBorder="1"/>
    <xf numFmtId="44" fontId="1" fillId="2" borderId="58" xfId="1" applyFont="1" applyFill="1" applyBorder="1"/>
    <xf numFmtId="167" fontId="1" fillId="4" borderId="6" xfId="1" applyNumberFormat="1" applyFont="1" applyFill="1" applyBorder="1"/>
    <xf numFmtId="9" fontId="0" fillId="4" borderId="0" xfId="2" applyFont="1" applyFill="1"/>
    <xf numFmtId="9" fontId="0" fillId="16" borderId="0" xfId="2" applyFont="1" applyFill="1"/>
    <xf numFmtId="9" fontId="0" fillId="16" borderId="0" xfId="2" applyFont="1" applyFill="1" applyBorder="1"/>
    <xf numFmtId="0" fontId="47" fillId="0" borderId="0" xfId="0" applyFont="1" applyAlignment="1">
      <alignment horizontal="center"/>
    </xf>
    <xf numFmtId="8" fontId="0" fillId="32" borderId="13" xfId="0" applyNumberFormat="1" applyFill="1" applyBorder="1" applyAlignment="1">
      <alignment horizontal="center"/>
    </xf>
    <xf numFmtId="0" fontId="10" fillId="0" borderId="22" xfId="0" applyFont="1" applyBorder="1"/>
    <xf numFmtId="0" fontId="0" fillId="0" borderId="36" xfId="0" applyBorder="1" applyAlignment="1">
      <alignment horizontal="center"/>
    </xf>
    <xf numFmtId="167" fontId="0" fillId="8" borderId="0" xfId="1" applyNumberFormat="1" applyFont="1" applyFill="1"/>
    <xf numFmtId="168" fontId="0" fillId="3" borderId="36" xfId="0" applyNumberFormat="1" applyFill="1" applyBorder="1" applyAlignment="1">
      <alignment horizontal="center"/>
    </xf>
    <xf numFmtId="167" fontId="0" fillId="8" borderId="26" xfId="1" applyNumberFormat="1" applyFont="1" applyFill="1" applyBorder="1"/>
    <xf numFmtId="44" fontId="0" fillId="8" borderId="1" xfId="1" applyFont="1" applyFill="1" applyBorder="1"/>
    <xf numFmtId="44" fontId="0" fillId="0" borderId="0" xfId="0" applyNumberFormat="1" applyAlignment="1">
      <alignment horizontal="center"/>
    </xf>
    <xf numFmtId="172" fontId="0" fillId="4" borderId="6" xfId="0" applyNumberFormat="1" applyFill="1" applyBorder="1"/>
    <xf numFmtId="167" fontId="1" fillId="0" borderId="0" xfId="1" applyNumberFormat="1" applyFont="1" applyBorder="1"/>
    <xf numFmtId="168" fontId="1" fillId="0" borderId="36" xfId="0" applyNumberFormat="1" applyFont="1" applyBorder="1" applyAlignment="1">
      <alignment horizontal="center"/>
    </xf>
    <xf numFmtId="10" fontId="0" fillId="4" borderId="6" xfId="0" applyNumberFormat="1" applyFill="1" applyBorder="1"/>
    <xf numFmtId="167" fontId="0" fillId="4" borderId="1" xfId="1" applyNumberFormat="1" applyFont="1" applyFill="1" applyBorder="1"/>
    <xf numFmtId="0" fontId="0" fillId="0" borderId="25" xfId="0" applyBorder="1" applyAlignment="1">
      <alignment horizontal="right"/>
    </xf>
    <xf numFmtId="167" fontId="0" fillId="8" borderId="28" xfId="0" applyNumberFormat="1" applyFill="1" applyBorder="1"/>
    <xf numFmtId="9" fontId="0" fillId="4" borderId="6" xfId="0" applyNumberFormat="1" applyFill="1" applyBorder="1"/>
    <xf numFmtId="167" fontId="0" fillId="4" borderId="10" xfId="0" applyNumberFormat="1" applyFill="1" applyBorder="1"/>
    <xf numFmtId="167" fontId="0" fillId="4" borderId="2" xfId="0" applyNumberFormat="1" applyFill="1" applyBorder="1"/>
    <xf numFmtId="6" fontId="0" fillId="4" borderId="6" xfId="0" applyNumberFormat="1" applyFill="1" applyBorder="1"/>
    <xf numFmtId="167" fontId="0" fillId="3" borderId="0" xfId="0" applyNumberFormat="1" applyFill="1"/>
    <xf numFmtId="9" fontId="1" fillId="3" borderId="0" xfId="2" applyFont="1" applyFill="1" applyAlignment="1">
      <alignment horizontal="center"/>
    </xf>
    <xf numFmtId="167" fontId="0" fillId="3" borderId="0" xfId="1" applyNumberFormat="1" applyFont="1" applyFill="1"/>
    <xf numFmtId="167" fontId="0" fillId="3" borderId="27" xfId="1" applyNumberFormat="1" applyFont="1" applyFill="1" applyBorder="1"/>
    <xf numFmtId="167" fontId="0" fillId="3" borderId="25" xfId="1" applyNumberFormat="1" applyFont="1" applyFill="1" applyBorder="1"/>
    <xf numFmtId="167" fontId="0" fillId="3" borderId="28" xfId="1" applyNumberFormat="1" applyFont="1" applyFill="1" applyBorder="1"/>
    <xf numFmtId="167" fontId="0" fillId="8" borderId="0" xfId="0" applyNumberFormat="1" applyFill="1"/>
    <xf numFmtId="167" fontId="0" fillId="8" borderId="26" xfId="0" applyNumberFormat="1" applyFill="1" applyBorder="1"/>
    <xf numFmtId="167" fontId="1" fillId="3" borderId="0" xfId="0" applyNumberFormat="1" applyFont="1" applyFill="1"/>
    <xf numFmtId="167" fontId="1" fillId="8" borderId="0" xfId="0" applyNumberFormat="1" applyFont="1" applyFill="1"/>
    <xf numFmtId="0" fontId="48" fillId="0" borderId="0" xfId="0" applyFont="1" applyAlignment="1">
      <alignment horizontal="right"/>
    </xf>
    <xf numFmtId="167" fontId="49" fillId="8" borderId="0" xfId="0" applyNumberFormat="1" applyFont="1" applyFill="1"/>
    <xf numFmtId="0" fontId="10" fillId="0" borderId="27" xfId="0" applyFont="1" applyBorder="1"/>
    <xf numFmtId="172" fontId="0" fillId="8" borderId="0" xfId="2" applyNumberFormat="1" applyFont="1" applyFill="1" applyBorder="1" applyAlignment="1">
      <alignment horizontal="center"/>
    </xf>
    <xf numFmtId="178" fontId="0" fillId="8" borderId="6" xfId="0" applyNumberFormat="1" applyFill="1" applyBorder="1"/>
    <xf numFmtId="1" fontId="1" fillId="8" borderId="36" xfId="0" applyNumberFormat="1" applyFont="1" applyFill="1" applyBorder="1" applyAlignment="1">
      <alignment horizontal="center"/>
    </xf>
    <xf numFmtId="179" fontId="0" fillId="8" borderId="6" xfId="0" applyNumberFormat="1" applyFill="1" applyBorder="1"/>
    <xf numFmtId="178" fontId="0" fillId="0" borderId="0" xfId="0" applyNumberFormat="1"/>
    <xf numFmtId="1" fontId="1" fillId="0" borderId="0" xfId="0" applyNumberFormat="1" applyFont="1" applyAlignment="1">
      <alignment horizontal="center"/>
    </xf>
    <xf numFmtId="178" fontId="0" fillId="0" borderId="0" xfId="0" applyNumberFormat="1" applyAlignment="1">
      <alignment horizontal="right"/>
    </xf>
    <xf numFmtId="167" fontId="0" fillId="3" borderId="5" xfId="0" applyNumberFormat="1" applyFill="1" applyBorder="1"/>
    <xf numFmtId="178" fontId="0" fillId="8" borderId="7" xfId="0" applyNumberFormat="1" applyFill="1" applyBorder="1"/>
    <xf numFmtId="1" fontId="0" fillId="0" borderId="4" xfId="0" applyNumberFormat="1" applyBorder="1" applyAlignment="1">
      <alignment horizontal="center"/>
    </xf>
    <xf numFmtId="179" fontId="0" fillId="8" borderId="7" xfId="0" applyNumberFormat="1" applyFill="1" applyBorder="1"/>
    <xf numFmtId="165" fontId="0" fillId="8" borderId="2" xfId="2" applyNumberFormat="1" applyFont="1" applyFill="1" applyBorder="1"/>
    <xf numFmtId="0" fontId="0" fillId="0" borderId="3" xfId="0" applyBorder="1" applyAlignment="1">
      <alignment horizontal="center"/>
    </xf>
    <xf numFmtId="172" fontId="0" fillId="0" borderId="0" xfId="0" applyNumberFormat="1"/>
    <xf numFmtId="9" fontId="0" fillId="0" borderId="0" xfId="2" applyFont="1" applyBorder="1" applyAlignment="1">
      <alignment horizontal="center"/>
    </xf>
    <xf numFmtId="172" fontId="23" fillId="0" borderId="36" xfId="2" applyNumberFormat="1" applyFont="1" applyBorder="1" applyAlignment="1">
      <alignment horizontal="center"/>
    </xf>
    <xf numFmtId="172" fontId="23" fillId="0" borderId="4" xfId="2" applyNumberFormat="1" applyFont="1" applyBorder="1" applyAlignment="1">
      <alignment horizontal="center"/>
    </xf>
    <xf numFmtId="0" fontId="50" fillId="0" borderId="22" xfId="0" applyFont="1" applyBorder="1"/>
    <xf numFmtId="172" fontId="0" fillId="0" borderId="36" xfId="2" applyNumberFormat="1" applyFont="1" applyBorder="1"/>
    <xf numFmtId="172" fontId="0" fillId="0" borderId="4" xfId="2" applyNumberFormat="1" applyFont="1" applyBorder="1"/>
    <xf numFmtId="0" fontId="50" fillId="0" borderId="22" xfId="0" applyFont="1" applyBorder="1" applyAlignment="1">
      <alignment horizontal="center"/>
    </xf>
    <xf numFmtId="9" fontId="0" fillId="0" borderId="36" xfId="2" applyFont="1" applyBorder="1"/>
    <xf numFmtId="9" fontId="0" fillId="0" borderId="4" xfId="2" applyFont="1" applyBorder="1"/>
    <xf numFmtId="167" fontId="0" fillId="0" borderId="36" xfId="25" applyNumberFormat="1" applyFont="1" applyBorder="1" applyAlignment="1">
      <alignment horizontal="center"/>
    </xf>
    <xf numFmtId="2" fontId="23" fillId="0" borderId="5" xfId="0" applyNumberFormat="1" applyFont="1" applyBorder="1" applyAlignment="1">
      <alignment horizontal="center"/>
    </xf>
    <xf numFmtId="167" fontId="0" fillId="0" borderId="4" xfId="25" applyNumberFormat="1" applyFont="1" applyBorder="1" applyAlignment="1">
      <alignment horizontal="center"/>
    </xf>
    <xf numFmtId="172" fontId="0" fillId="0" borderId="0" xfId="2" applyNumberFormat="1" applyFont="1" applyBorder="1"/>
    <xf numFmtId="2" fontId="23" fillId="0" borderId="0" xfId="0" applyNumberFormat="1" applyFont="1" applyAlignment="1">
      <alignment horizontal="center"/>
    </xf>
    <xf numFmtId="44" fontId="0" fillId="3" borderId="36" xfId="1" applyFont="1" applyFill="1" applyBorder="1" applyAlignment="1">
      <alignment horizontal="center"/>
    </xf>
    <xf numFmtId="0" fontId="0" fillId="8" borderId="0" xfId="0" applyFill="1" applyAlignment="1">
      <alignment horizontal="center"/>
    </xf>
    <xf numFmtId="0" fontId="0" fillId="3" borderId="0" xfId="0" applyFill="1" applyAlignment="1">
      <alignment horizontal="center"/>
    </xf>
    <xf numFmtId="0" fontId="1" fillId="0" borderId="22" xfId="0" applyFont="1" applyBorder="1" applyAlignment="1">
      <alignment horizontal="center"/>
    </xf>
    <xf numFmtId="0" fontId="1" fillId="0" borderId="3" xfId="0" applyFont="1" applyBorder="1" applyAlignment="1">
      <alignment horizontal="center"/>
    </xf>
    <xf numFmtId="0" fontId="1" fillId="0" borderId="22"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center" wrapText="1"/>
    </xf>
    <xf numFmtId="0" fontId="1" fillId="2" borderId="0" xfId="0" applyFont="1" applyFill="1" applyAlignment="1">
      <alignment horizontal="center" vertical="center"/>
    </xf>
    <xf numFmtId="0" fontId="0" fillId="0" borderId="0" xfId="0" applyAlignment="1">
      <alignment horizontal="center"/>
    </xf>
    <xf numFmtId="0" fontId="1" fillId="2" borderId="17" xfId="0" applyFont="1" applyFill="1" applyBorder="1" applyAlignment="1">
      <alignment horizontal="center" textRotation="45"/>
    </xf>
    <xf numFmtId="0" fontId="1" fillId="2" borderId="13" xfId="0" applyFont="1" applyFill="1" applyBorder="1" applyAlignment="1">
      <alignment horizontal="center" textRotation="45"/>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16" xfId="0" applyBorder="1" applyAlignment="1">
      <alignment horizontal="center"/>
    </xf>
    <xf numFmtId="0" fontId="0" fillId="2" borderId="27" xfId="0" applyFill="1" applyBorder="1" applyAlignment="1">
      <alignment horizontal="center"/>
    </xf>
    <xf numFmtId="0" fontId="0" fillId="2" borderId="25" xfId="0" applyFill="1" applyBorder="1" applyAlignment="1">
      <alignment horizontal="center"/>
    </xf>
    <xf numFmtId="0" fontId="0" fillId="2" borderId="28" xfId="0" applyFill="1" applyBorder="1" applyAlignment="1">
      <alignment horizontal="center"/>
    </xf>
    <xf numFmtId="0" fontId="0" fillId="0" borderId="22" xfId="0" applyBorder="1" applyAlignment="1">
      <alignment horizontal="center" wrapText="1"/>
    </xf>
    <xf numFmtId="0" fontId="0" fillId="0" borderId="23" xfId="0" applyBorder="1" applyAlignment="1">
      <alignment horizontal="center" wrapText="1"/>
    </xf>
    <xf numFmtId="0" fontId="0" fillId="0" borderId="3" xfId="0" applyBorder="1" applyAlignment="1">
      <alignment horizontal="center" wrapText="1"/>
    </xf>
    <xf numFmtId="0" fontId="38" fillId="0" borderId="0" xfId="22" applyAlignment="1">
      <alignment horizontal="right" vertical="center" indent="13"/>
    </xf>
    <xf numFmtId="0" fontId="0" fillId="0" borderId="0" xfId="23" applyFont="1">
      <alignment horizontal="center" vertical="center" wrapText="1"/>
    </xf>
    <xf numFmtId="0" fontId="31" fillId="0" borderId="0" xfId="23">
      <alignment horizontal="center" vertical="center" wrapText="1"/>
    </xf>
    <xf numFmtId="0" fontId="35" fillId="0" borderId="0" xfId="24" applyFont="1">
      <alignment horizontal="center" vertical="center" wrapText="1"/>
    </xf>
    <xf numFmtId="0" fontId="31" fillId="0" borderId="0" xfId="9">
      <alignment horizontal="left" wrapText="1"/>
    </xf>
    <xf numFmtId="173" fontId="0" fillId="0" borderId="0" xfId="13" applyFont="1">
      <alignment horizontal="left" vertical="top" wrapText="1"/>
    </xf>
    <xf numFmtId="0" fontId="0" fillId="0" borderId="0" xfId="19" applyFont="1">
      <alignment horizontal="right" vertical="center" wrapText="1"/>
    </xf>
    <xf numFmtId="0" fontId="31" fillId="0" borderId="0" xfId="14">
      <alignment horizontal="left" wrapText="1"/>
    </xf>
    <xf numFmtId="0" fontId="30" fillId="0" borderId="0" xfId="8" applyFont="1" applyBorder="1">
      <alignment horizontal="right" vertical="center"/>
    </xf>
    <xf numFmtId="0" fontId="33" fillId="0" borderId="0" xfId="10" applyFont="1">
      <alignment horizontal="left"/>
    </xf>
    <xf numFmtId="0" fontId="1" fillId="2" borderId="27" xfId="0" applyFont="1" applyFill="1" applyBorder="1" applyAlignment="1">
      <alignment horizontal="center"/>
    </xf>
    <xf numFmtId="0" fontId="1" fillId="2" borderId="25" xfId="0" applyFont="1" applyFill="1" applyBorder="1" applyAlignment="1">
      <alignment horizontal="center"/>
    </xf>
    <xf numFmtId="0" fontId="1" fillId="2" borderId="28" xfId="0" applyFont="1" applyFill="1" applyBorder="1" applyAlignment="1">
      <alignment horizontal="center"/>
    </xf>
    <xf numFmtId="0" fontId="25" fillId="2" borderId="27" xfId="0" applyFont="1" applyFill="1" applyBorder="1" applyAlignment="1">
      <alignment horizontal="center"/>
    </xf>
    <xf numFmtId="0" fontId="25" fillId="2" borderId="25" xfId="0" applyFont="1" applyFill="1" applyBorder="1" applyAlignment="1">
      <alignment horizontal="center"/>
    </xf>
    <xf numFmtId="0" fontId="25" fillId="2" borderId="28" xfId="0" applyFont="1" applyFill="1" applyBorder="1" applyAlignment="1">
      <alignment horizontal="center"/>
    </xf>
    <xf numFmtId="0" fontId="1" fillId="2" borderId="22" xfId="0" applyFont="1" applyFill="1" applyBorder="1" applyAlignment="1">
      <alignment horizontal="center" wrapText="1"/>
    </xf>
    <xf numFmtId="0" fontId="1" fillId="2" borderId="3" xfId="0" applyFont="1" applyFill="1" applyBorder="1" applyAlignment="1">
      <alignment horizontal="center" wrapText="1"/>
    </xf>
    <xf numFmtId="0" fontId="45" fillId="30" borderId="0" xfId="0" applyFont="1" applyFill="1" applyAlignment="1">
      <alignment horizontal="center"/>
    </xf>
    <xf numFmtId="0" fontId="45" fillId="4" borderId="0" xfId="0" applyFont="1" applyFill="1" applyAlignment="1">
      <alignment horizontal="center"/>
    </xf>
    <xf numFmtId="167" fontId="45" fillId="16" borderId="0" xfId="1" applyNumberFormat="1" applyFont="1" applyFill="1" applyAlignment="1">
      <alignment horizontal="center"/>
    </xf>
    <xf numFmtId="0" fontId="47" fillId="0" borderId="22" xfId="0" applyFont="1" applyBorder="1" applyAlignment="1">
      <alignment horizontal="center"/>
    </xf>
    <xf numFmtId="0" fontId="47" fillId="0" borderId="23" xfId="0" applyFont="1" applyBorder="1" applyAlignment="1">
      <alignment horizontal="center"/>
    </xf>
    <xf numFmtId="0" fontId="47" fillId="0" borderId="3" xfId="0" applyFont="1" applyBorder="1" applyAlignment="1">
      <alignment horizontal="center"/>
    </xf>
    <xf numFmtId="0" fontId="47" fillId="0" borderId="6" xfId="0" applyFont="1" applyBorder="1" applyAlignment="1">
      <alignment horizontal="center"/>
    </xf>
    <xf numFmtId="0" fontId="47" fillId="0" borderId="0" xfId="0" applyFont="1" applyAlignment="1">
      <alignment horizontal="center"/>
    </xf>
    <xf numFmtId="0" fontId="47" fillId="0" borderId="36" xfId="0" applyFont="1" applyBorder="1" applyAlignment="1">
      <alignment horizontal="center"/>
    </xf>
    <xf numFmtId="0" fontId="47" fillId="0" borderId="7" xfId="0" applyFont="1" applyBorder="1" applyAlignment="1">
      <alignment horizontal="center"/>
    </xf>
    <xf numFmtId="0" fontId="47" fillId="0" borderId="5" xfId="0" applyFont="1" applyBorder="1" applyAlignment="1">
      <alignment horizontal="center"/>
    </xf>
    <xf numFmtId="0" fontId="47" fillId="0" borderId="4" xfId="0" applyFont="1" applyBorder="1" applyAlignment="1">
      <alignment horizontal="center"/>
    </xf>
  </cellXfs>
  <cellStyles count="26">
    <cellStyle name="20 % - Accent1 2" xfId="16" xr:uid="{D7DB3C4B-A5AF-4B8A-AF92-B3812C34004A}"/>
    <cellStyle name="Date" xfId="12" xr:uid="{F1B7AC35-861C-4245-AABA-52A4E42D9AE5}"/>
    <cellStyle name="Lien hypertexte 2" xfId="14" xr:uid="{4706E905-CA81-4818-B5E4-93971A82D83A}"/>
    <cellStyle name="Milliers 2" xfId="3" xr:uid="{08100F3A-DA12-4DF4-A0A4-9441504ECD12}"/>
    <cellStyle name="Monétaire" xfId="1" builtinId="4"/>
    <cellStyle name="Monétaire [0] 2" xfId="21" xr:uid="{343784F3-2669-478F-B211-D5D81CBF6358}"/>
    <cellStyle name="Monétaire 2" xfId="17" xr:uid="{626C4F08-AB1F-4B65-B749-4AD04279F43D}"/>
    <cellStyle name="Monétaire 3" xfId="18" xr:uid="{92A06E9D-72A9-4DC2-89DE-A45C5A1584C4}"/>
    <cellStyle name="Monétaire 4" xfId="25" xr:uid="{1835CA93-DCC7-47E5-A8C5-620CC86FED5F}"/>
    <cellStyle name="Monétaire 5" xfId="5" xr:uid="{94F9859C-19CA-4FC3-A6C0-D704A1F8B05C}"/>
    <cellStyle name="Normal" xfId="0" builtinId="0"/>
    <cellStyle name="Normal 2" xfId="9" xr:uid="{4F9E150B-0143-468D-A837-8F79027501FE}"/>
    <cellStyle name="Normal 4" xfId="4" xr:uid="{A3940BCD-47C3-456E-93C2-1F253E9305DF}"/>
    <cellStyle name="Note 2" xfId="24" xr:uid="{5BD8CBB1-3CB3-451D-9279-E73A8B9B1793}"/>
    <cellStyle name="Phone" xfId="13" xr:uid="{9D3BF58D-0A57-4682-A709-6D2E688D0B1D}"/>
    <cellStyle name="Pourcentage" xfId="2" builtinId="5"/>
    <cellStyle name="Pourcentage 2" xfId="20" xr:uid="{8AF75A2D-C880-45B8-A91C-48C6AD63E2C5}"/>
    <cellStyle name="Pourcentage 4" xfId="6" xr:uid="{6C3BA193-B811-43DF-9911-AAD36C25BCD3}"/>
    <cellStyle name="Right Alignment" xfId="19" xr:uid="{56F4A8DB-9177-4778-B82B-73B361F56E62}"/>
    <cellStyle name="Texte explicatif 2" xfId="23" xr:uid="{5BE622BB-6EB7-459A-87C2-BE0D96D28FAE}"/>
    <cellStyle name="Titre 2" xfId="8" xr:uid="{C872B23D-6C91-4D40-8954-04AFFCBA998B}"/>
    <cellStyle name="Titre 1 2" xfId="7" xr:uid="{664DCF25-193A-4BE8-B0AB-DC34E9106857}"/>
    <cellStyle name="Titre 2 2" xfId="10" xr:uid="{0A55E821-E5AC-4282-B1A5-991768CB4042}"/>
    <cellStyle name="Titre 3 2" xfId="11" xr:uid="{FDFA6F57-623A-4DFF-81D4-2615BE46EB4C}"/>
    <cellStyle name="Titre 4 2" xfId="15" xr:uid="{F9983D1A-1B31-4598-9F13-6C89E69B8865}"/>
    <cellStyle name="Total 2" xfId="22" xr:uid="{D82B60F7-5DFB-40A6-9463-00B6B8C48FB0}"/>
  </cellStyles>
  <dxfs count="47">
    <dxf>
      <numFmt numFmtId="177" formatCode="_ * #,##0_)\ [$$-C0C]_ ;_ * \(#,##0\)\ [$$-C0C]_ ;_ * &quot;-&quot;??_)\ [$$-C0C]_ ;_ @_ "/>
      <fill>
        <patternFill patternType="solid">
          <fgColor indexed="64"/>
          <bgColor theme="0" tint="-0.1499984740745262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 &quot;$&quo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ont>
        <strike val="0"/>
        <outline val="0"/>
        <shadow val="0"/>
        <u val="none"/>
        <vertAlign val="baseline"/>
        <sz val="10"/>
        <name val="Franklin Gothic Book"/>
      </font>
      <numFmt numFmtId="165" formatCode="#,##0.00\ &quot;$&quot;"/>
      <alignment horizontal="right" vertical="center" textRotation="0" wrapText="0" indent="0" justifyLastLine="0" shrinkToFit="0" readingOrder="0"/>
    </dxf>
    <dxf>
      <font>
        <strike val="0"/>
        <outline val="0"/>
        <shadow val="0"/>
        <u val="none"/>
        <vertAlign val="baseline"/>
        <sz val="10"/>
        <name val="Franklin Gothic Book"/>
      </font>
      <alignment horizontal="center" vertical="center" textRotation="0" wrapText="0" indent="0" justifyLastLine="0" shrinkToFit="0" readingOrder="0"/>
    </dxf>
    <dxf>
      <font>
        <strike val="0"/>
        <outline val="0"/>
        <shadow val="0"/>
        <u val="none"/>
        <vertAlign val="baseline"/>
        <sz val="10"/>
        <name val="Franklin Gothic Book"/>
      </font>
      <numFmt numFmtId="175" formatCode="#,##0.00\ &quot;€&quot;"/>
      <alignment horizontal="center" vertical="center" textRotation="0" wrapText="0" indent="0" justifyLastLine="0" shrinkToFit="0" readingOrder="0"/>
    </dxf>
    <dxf>
      <font>
        <strike val="0"/>
        <outline val="0"/>
        <shadow val="0"/>
        <u val="none"/>
        <vertAlign val="baseline"/>
        <sz val="10"/>
        <name val="Franklin Gothic Book"/>
      </font>
      <alignment horizontal="left" vertical="center" textRotation="0" wrapText="0" indent="1" justifyLastLine="0" shrinkToFit="0" readingOrder="0"/>
    </dxf>
    <dxf>
      <font>
        <strike val="0"/>
        <outline val="0"/>
        <shadow val="0"/>
        <u val="none"/>
        <vertAlign val="baseline"/>
        <sz val="10"/>
        <name val="Franklin Gothic Book"/>
      </font>
      <alignment horizontal="center" vertical="center" textRotation="0" wrapText="0" indent="0" justifyLastLine="0" shrinkToFit="0" readingOrder="0"/>
    </dxf>
    <dxf>
      <font>
        <strike val="0"/>
        <outline val="0"/>
        <shadow val="0"/>
        <u val="none"/>
        <vertAlign val="baseline"/>
        <sz val="10"/>
        <name val="Franklin Gothic Book"/>
      </font>
      <numFmt numFmtId="1" formatCode="0"/>
      <alignment horizontal="center" vertical="center" textRotation="0" wrapText="0" indent="0" justifyLastLine="0" shrinkToFit="0" readingOrder="0"/>
    </dxf>
    <dxf>
      <font>
        <strike val="0"/>
        <outline val="0"/>
        <shadow val="0"/>
        <u val="none"/>
        <vertAlign val="baseline"/>
        <sz val="10"/>
        <name val="Franklin Gothic Book"/>
      </font>
      <alignment horizontal="left" vertical="center" textRotation="0" wrapText="0" indent="1" justifyLastLine="0" shrinkToFit="0" readingOrder="0"/>
    </dxf>
    <dxf>
      <font>
        <b/>
        <strike val="0"/>
        <outline val="0"/>
        <shadow val="0"/>
        <u val="none"/>
        <vertAlign val="baseline"/>
        <sz val="11"/>
        <color theme="1"/>
        <name val="Aptos Narrow"/>
        <scheme val="minor"/>
      </font>
      <alignment horizontal="left" vertical="center" textRotation="0" wrapText="0" indent="1" justifyLastLine="0" shrinkToFit="0" readingOrder="0"/>
    </dxf>
    <dxf>
      <font>
        <strike val="0"/>
        <outline val="0"/>
        <shadow val="0"/>
        <u val="none"/>
        <vertAlign val="baseline"/>
        <sz val="10"/>
        <name val="Franklin Gothic Book"/>
      </font>
      <numFmt numFmtId="165" formatCode="#,##0.00\ &quot;$&quot;"/>
      <alignment horizontal="right" vertical="center" textRotation="0" wrapText="0" indent="0" justifyLastLine="0" shrinkToFit="0" readingOrder="0"/>
    </dxf>
    <dxf>
      <font>
        <strike val="0"/>
        <outline val="0"/>
        <shadow val="0"/>
        <u val="none"/>
        <vertAlign val="baseline"/>
        <sz val="10"/>
        <name val="Franklin Gothic Book"/>
      </font>
      <alignment horizontal="center" vertical="center" textRotation="0" wrapText="0" indent="0" justifyLastLine="0" shrinkToFit="0" readingOrder="0"/>
    </dxf>
    <dxf>
      <font>
        <strike val="0"/>
        <outline val="0"/>
        <shadow val="0"/>
        <u val="none"/>
        <vertAlign val="baseline"/>
        <sz val="10"/>
        <name val="Franklin Gothic Book"/>
      </font>
      <numFmt numFmtId="175" formatCode="#,##0.00\ &quot;€&quot;"/>
      <alignment horizontal="center" vertical="center" textRotation="0" wrapText="0" indent="0" justifyLastLine="0" shrinkToFit="0" readingOrder="0"/>
    </dxf>
    <dxf>
      <font>
        <strike val="0"/>
        <outline val="0"/>
        <shadow val="0"/>
        <u val="none"/>
        <vertAlign val="baseline"/>
        <sz val="10"/>
        <name val="Franklin Gothic Book"/>
      </font>
      <alignment horizontal="left" vertical="center" textRotation="0" wrapText="0" indent="1" justifyLastLine="0" shrinkToFit="0" readingOrder="0"/>
    </dxf>
    <dxf>
      <font>
        <strike val="0"/>
        <outline val="0"/>
        <shadow val="0"/>
        <u val="none"/>
        <vertAlign val="baseline"/>
        <sz val="10"/>
        <name val="Franklin Gothic Book"/>
      </font>
      <alignment horizontal="center" vertical="center" textRotation="0" wrapText="0" indent="0" justifyLastLine="0" shrinkToFit="0" readingOrder="0"/>
    </dxf>
    <dxf>
      <font>
        <strike val="0"/>
        <outline val="0"/>
        <shadow val="0"/>
        <u val="none"/>
        <vertAlign val="baseline"/>
        <sz val="10"/>
        <name val="Franklin Gothic Book"/>
      </font>
      <numFmt numFmtId="1" formatCode="0"/>
      <alignment horizontal="center" vertical="center" textRotation="0" wrapText="0" indent="0" justifyLastLine="0" shrinkToFit="0" readingOrder="0"/>
    </dxf>
    <dxf>
      <font>
        <strike val="0"/>
        <outline val="0"/>
        <shadow val="0"/>
        <u val="none"/>
        <vertAlign val="baseline"/>
        <sz val="10"/>
        <name val="Franklin Gothic Book"/>
      </font>
      <alignment horizontal="left" vertical="center" textRotation="0" wrapText="0" indent="1" justifyLastLine="0" shrinkToFit="0" readingOrder="0"/>
    </dxf>
    <dxf>
      <font>
        <b/>
        <strike val="0"/>
        <outline val="0"/>
        <shadow val="0"/>
        <u val="none"/>
        <vertAlign val="baseline"/>
        <sz val="11"/>
        <color theme="1"/>
        <name val="Aptos Narrow"/>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1"/>
        <name val="Aptos Narrow"/>
        <family val="2"/>
        <scheme val="minor"/>
      </font>
      <numFmt numFmtId="176" formatCode="_ * #,##0.00_)\ [$$-C0C]_ ;_ * \(#,##0.00\)\ [$$-C0C]_ ;_ * &quot;-&quot;??_)\ [$$-C0C]_ ;_ @_ "/>
      <fill>
        <patternFill patternType="solid">
          <fgColor indexed="64"/>
          <bgColor theme="0" tint="-0.1499984740745262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 &quot;$&quo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3" tint="-0.24994659260841701"/>
        <name val="Aptos Narrow"/>
        <family val="2"/>
        <scheme val="minor"/>
      </font>
      <alignment horizontal="left"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bgColor theme="0" tint="-4.9989318521683403E-2"/>
        </patternFill>
      </fill>
    </dxf>
    <dxf>
      <font>
        <b val="0"/>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
      <fill>
        <patternFill>
          <bgColor theme="0" tint="-4.9989318521683403E-2"/>
        </patternFill>
      </fill>
    </dxf>
    <dxf>
      <font>
        <b val="0"/>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i val="0"/>
        <color theme="3" tint="-0.24994659260841701"/>
      </font>
    </dxf>
    <dxf>
      <font>
        <b/>
        <color theme="1"/>
      </font>
    </dxf>
    <dxf>
      <font>
        <b val="0"/>
        <i val="0"/>
        <color theme="3" tint="-0.24994659260841701"/>
      </font>
      <border diagonalUp="0" diagonalDown="0">
        <left/>
        <right/>
        <top style="thin">
          <color theme="4" tint="0.39991454817346722"/>
        </top>
        <bottom/>
        <vertical/>
        <horizontal/>
      </border>
    </dxf>
    <dxf>
      <font>
        <b val="0"/>
        <i val="0"/>
        <color theme="0"/>
      </font>
      <fill>
        <gradientFill degree="90">
          <stop position="0">
            <color theme="4"/>
          </stop>
          <stop position="1">
            <color theme="4" tint="-0.49803155613879818"/>
          </stop>
        </gradientFill>
      </fill>
    </dxf>
    <dxf>
      <font>
        <color theme="1"/>
      </font>
      <border diagonalUp="0" diagonalDown="0">
        <left/>
        <right/>
        <top/>
        <bottom/>
        <vertical/>
        <horizontal/>
      </border>
    </dxf>
  </dxfs>
  <tableStyles count="3" defaultTableStyle="TableStyleMedium2" defaultPivotStyle="PivotStyleLight16">
    <tableStyle name="Service Invoice" pivot="0" count="7" xr9:uid="{1CA3F9CB-12DE-46E1-BA4D-DF1BA94FF785}">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 name="Tableau d’entreprise" pivot="0" count="3" xr9:uid="{7F17EEB4-DCEF-4771-A6AB-3DD6D2F5A56C}">
      <tableStyleElement type="wholeTable" dxfId="39"/>
      <tableStyleElement type="headerRow" dxfId="38"/>
      <tableStyleElement type="secondRowStripe" dxfId="37"/>
    </tableStyle>
    <tableStyle name="Tableau d’entreprise 2" pivot="0" count="3" xr9:uid="{589ED118-23CA-4E1B-8387-3E2A86058A2C}">
      <tableStyleElement type="wholeTable" dxfId="36"/>
      <tableStyleElement type="headerRow" dxfId="35"/>
      <tableStyleElement type="secondRowStripe" dxfId="34"/>
    </tableStyle>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8</xdr:col>
      <xdr:colOff>29098</xdr:colOff>
      <xdr:row>49</xdr:row>
      <xdr:rowOff>109856</xdr:rowOff>
    </xdr:to>
    <xdr:pic>
      <xdr:nvPicPr>
        <xdr:cNvPr id="3" name="Image 2">
          <a:extLst>
            <a:ext uri="{FF2B5EF4-FFF2-40B4-BE49-F238E27FC236}">
              <a16:creationId xmlns:a16="http://schemas.microsoft.com/office/drawing/2014/main" id="{7B4BF2DA-2619-1206-B834-66AED46EA4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216900"/>
          <a:ext cx="5486400" cy="21545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556260</xdr:colOff>
      <xdr:row>14</xdr:row>
      <xdr:rowOff>15240</xdr:rowOff>
    </xdr:from>
    <xdr:to>
      <xdr:col>16</xdr:col>
      <xdr:colOff>518160</xdr:colOff>
      <xdr:row>18</xdr:row>
      <xdr:rowOff>129540</xdr:rowOff>
    </xdr:to>
    <xdr:sp macro="" textlink="">
      <xdr:nvSpPr>
        <xdr:cNvPr id="2" name="Rectangle 1">
          <a:extLst>
            <a:ext uri="{FF2B5EF4-FFF2-40B4-BE49-F238E27FC236}">
              <a16:creationId xmlns:a16="http://schemas.microsoft.com/office/drawing/2014/main" id="{460ED3C6-B174-4219-AAE4-2ED9622929C7}"/>
            </a:ext>
          </a:extLst>
        </xdr:cNvPr>
        <xdr:cNvSpPr/>
      </xdr:nvSpPr>
      <xdr:spPr>
        <a:xfrm>
          <a:off x="10932160" y="2999740"/>
          <a:ext cx="3009900" cy="850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285750" indent="-285750" algn="l">
            <a:buFont typeface="Arial" panose="020B0604020202020204" pitchFamily="34" charset="0"/>
            <a:buChar char="•"/>
          </a:pPr>
          <a:r>
            <a:rPr lang="fr-CA" sz="1400"/>
            <a:t>Calcul</a:t>
          </a:r>
          <a:r>
            <a:rPr lang="fr-CA" sz="1400" baseline="0"/>
            <a:t> du coût de la commande 1</a:t>
          </a:r>
        </a:p>
        <a:p>
          <a:pPr marL="285750" indent="-285750" algn="l">
            <a:buFont typeface="Arial" panose="020B0604020202020204" pitchFamily="34" charset="0"/>
            <a:buChar char="•"/>
          </a:pPr>
          <a:r>
            <a:rPr lang="fr-CA" sz="1400" baseline="0"/>
            <a:t>Choix du transporteur (frais de transport - Fret à l'achat)</a:t>
          </a:r>
          <a:endParaRPr lang="fr-CA"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716280</xdr:colOff>
      <xdr:row>0</xdr:row>
      <xdr:rowOff>160020</xdr:rowOff>
    </xdr:from>
    <xdr:to>
      <xdr:col>25</xdr:col>
      <xdr:colOff>594360</xdr:colOff>
      <xdr:row>2</xdr:row>
      <xdr:rowOff>426720</xdr:rowOff>
    </xdr:to>
    <xdr:sp macro="" textlink="">
      <xdr:nvSpPr>
        <xdr:cNvPr id="2" name="Rectangle 3">
          <a:extLst>
            <a:ext uri="{FF2B5EF4-FFF2-40B4-BE49-F238E27FC236}">
              <a16:creationId xmlns:a16="http://schemas.microsoft.com/office/drawing/2014/main" id="{97DE7714-8AA6-47D8-8E02-185E606092B0}"/>
            </a:ext>
          </a:extLst>
        </xdr:cNvPr>
        <xdr:cNvSpPr/>
      </xdr:nvSpPr>
      <xdr:spPr>
        <a:xfrm>
          <a:off x="18172430" y="160020"/>
          <a:ext cx="1548130" cy="641350"/>
        </a:xfrm>
        <a:prstGeom prst="wedgeRectCallout">
          <a:avLst>
            <a:gd name="adj1" fmla="val -128647"/>
            <a:gd name="adj2" fmla="val 1446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t>arrondir à une décimale près.</a:t>
          </a:r>
        </a:p>
      </xdr:txBody>
    </xdr:sp>
    <xdr:clientData/>
  </xdr:twoCellAnchor>
  <xdr:twoCellAnchor editAs="oneCell">
    <xdr:from>
      <xdr:col>7</xdr:col>
      <xdr:colOff>304800</xdr:colOff>
      <xdr:row>29</xdr:row>
      <xdr:rowOff>99060</xdr:rowOff>
    </xdr:from>
    <xdr:to>
      <xdr:col>12</xdr:col>
      <xdr:colOff>72391</xdr:colOff>
      <xdr:row>35</xdr:row>
      <xdr:rowOff>72390</xdr:rowOff>
    </xdr:to>
    <xdr:pic>
      <xdr:nvPicPr>
        <xdr:cNvPr id="3" name="Image 2">
          <a:extLst>
            <a:ext uri="{FF2B5EF4-FFF2-40B4-BE49-F238E27FC236}">
              <a16:creationId xmlns:a16="http://schemas.microsoft.com/office/drawing/2014/main" id="{DD8D85F1-397E-47E7-9777-5785FABDD1F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46850" y="6334760"/>
          <a:ext cx="3387090" cy="1078230"/>
        </a:xfrm>
        <a:prstGeom prst="rect">
          <a:avLst/>
        </a:prstGeom>
        <a:noFill/>
        <a:ln>
          <a:noFill/>
        </a:ln>
      </xdr:spPr>
    </xdr:pic>
    <xdr:clientData/>
  </xdr:twoCellAnchor>
  <xdr:twoCellAnchor>
    <xdr:from>
      <xdr:col>8</xdr:col>
      <xdr:colOff>129540</xdr:colOff>
      <xdr:row>2</xdr:row>
      <xdr:rowOff>434340</xdr:rowOff>
    </xdr:from>
    <xdr:to>
      <xdr:col>8</xdr:col>
      <xdr:colOff>243840</xdr:colOff>
      <xdr:row>29</xdr:row>
      <xdr:rowOff>53340</xdr:rowOff>
    </xdr:to>
    <xdr:cxnSp macro="">
      <xdr:nvCxnSpPr>
        <xdr:cNvPr id="4" name="Connecteur droit avec flèche 3">
          <a:extLst>
            <a:ext uri="{FF2B5EF4-FFF2-40B4-BE49-F238E27FC236}">
              <a16:creationId xmlns:a16="http://schemas.microsoft.com/office/drawing/2014/main" id="{F4F3B3B1-6425-4EE8-8245-9E702CF7FAD8}"/>
            </a:ext>
          </a:extLst>
        </xdr:cNvPr>
        <xdr:cNvCxnSpPr/>
      </xdr:nvCxnSpPr>
      <xdr:spPr>
        <a:xfrm flipH="1" flipV="1">
          <a:off x="7133590" y="808990"/>
          <a:ext cx="114300" cy="548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411480</xdr:colOff>
      <xdr:row>2</xdr:row>
      <xdr:rowOff>297180</xdr:rowOff>
    </xdr:from>
    <xdr:to>
      <xdr:col>13</xdr:col>
      <xdr:colOff>38100</xdr:colOff>
      <xdr:row>2</xdr:row>
      <xdr:rowOff>312420</xdr:rowOff>
    </xdr:to>
    <xdr:cxnSp macro="">
      <xdr:nvCxnSpPr>
        <xdr:cNvPr id="5" name="Connecteur droit avec flèche 4">
          <a:extLst>
            <a:ext uri="{FF2B5EF4-FFF2-40B4-BE49-F238E27FC236}">
              <a16:creationId xmlns:a16="http://schemas.microsoft.com/office/drawing/2014/main" id="{5EC46EE3-2053-4F52-8B89-82B0C40C520D}"/>
            </a:ext>
          </a:extLst>
        </xdr:cNvPr>
        <xdr:cNvCxnSpPr/>
      </xdr:nvCxnSpPr>
      <xdr:spPr>
        <a:xfrm>
          <a:off x="7415530" y="671830"/>
          <a:ext cx="281432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205740</xdr:colOff>
      <xdr:row>29</xdr:row>
      <xdr:rowOff>7620</xdr:rowOff>
    </xdr:from>
    <xdr:to>
      <xdr:col>15</xdr:col>
      <xdr:colOff>670560</xdr:colOff>
      <xdr:row>37</xdr:row>
      <xdr:rowOff>30480</xdr:rowOff>
    </xdr:to>
    <xdr:sp macro="" textlink="">
      <xdr:nvSpPr>
        <xdr:cNvPr id="6" name="Rectangle à coins arrondis 10">
          <a:extLst>
            <a:ext uri="{FF2B5EF4-FFF2-40B4-BE49-F238E27FC236}">
              <a16:creationId xmlns:a16="http://schemas.microsoft.com/office/drawing/2014/main" id="{067C08A1-A2BA-442E-B46C-85AB63941761}"/>
            </a:ext>
          </a:extLst>
        </xdr:cNvPr>
        <xdr:cNvSpPr/>
      </xdr:nvSpPr>
      <xdr:spPr>
        <a:xfrm>
          <a:off x="10397490" y="6243320"/>
          <a:ext cx="1988820" cy="1496060"/>
        </a:xfrm>
        <a:prstGeom prst="wedgeRoundRectCallout">
          <a:avLst>
            <a:gd name="adj1" fmla="val -83658"/>
            <a:gd name="adj2" fmla="val -25705"/>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solidFill>
                <a:sysClr val="windowText" lastClr="000000"/>
              </a:solidFill>
            </a:rPr>
            <a:t>Il faut prévoir suffisamment d'espace</a:t>
          </a:r>
          <a:r>
            <a:rPr lang="fr-CA" sz="1100" baseline="0">
              <a:solidFill>
                <a:sysClr val="windowText" lastClr="000000"/>
              </a:solidFill>
            </a:rPr>
            <a:t> pour être en mesure de répondre à un certain volume de ventes, car on ne veut pas avoir à déménager trop souvent! :)</a:t>
          </a:r>
          <a:endParaRPr lang="fr-CA" sz="1100">
            <a:solidFill>
              <a:sysClr val="windowText" lastClr="000000"/>
            </a:solidFill>
          </a:endParaRPr>
        </a:p>
      </xdr:txBody>
    </xdr:sp>
    <xdr:clientData/>
  </xdr:twoCellAnchor>
  <xdr:twoCellAnchor>
    <xdr:from>
      <xdr:col>21</xdr:col>
      <xdr:colOff>518160</xdr:colOff>
      <xdr:row>8</xdr:row>
      <xdr:rowOff>167640</xdr:rowOff>
    </xdr:from>
    <xdr:to>
      <xdr:col>21</xdr:col>
      <xdr:colOff>731520</xdr:colOff>
      <xdr:row>10</xdr:row>
      <xdr:rowOff>160020</xdr:rowOff>
    </xdr:to>
    <xdr:sp macro="" textlink="">
      <xdr:nvSpPr>
        <xdr:cNvPr id="7" name="Flèche courbée vers le bas 11">
          <a:extLst>
            <a:ext uri="{FF2B5EF4-FFF2-40B4-BE49-F238E27FC236}">
              <a16:creationId xmlns:a16="http://schemas.microsoft.com/office/drawing/2014/main" id="{0BDF3B96-CF53-43AA-BB8A-E7352028349D}"/>
            </a:ext>
          </a:extLst>
        </xdr:cNvPr>
        <xdr:cNvSpPr/>
      </xdr:nvSpPr>
      <xdr:spPr>
        <a:xfrm rot="4175407">
          <a:off x="16373475" y="2130425"/>
          <a:ext cx="367030" cy="213360"/>
        </a:xfrm>
        <a:prstGeom prst="curvedDownArrow">
          <a:avLst>
            <a:gd name="adj1" fmla="val 25000"/>
            <a:gd name="adj2" fmla="val 51923"/>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solidFill>
              <a:schemeClr val="tx1"/>
            </a:solidFill>
          </a:endParaRPr>
        </a:p>
      </xdr:txBody>
    </xdr:sp>
    <xdr:clientData/>
  </xdr:twoCellAnchor>
  <xdr:twoCellAnchor>
    <xdr:from>
      <xdr:col>3</xdr:col>
      <xdr:colOff>205740</xdr:colOff>
      <xdr:row>8</xdr:row>
      <xdr:rowOff>114300</xdr:rowOff>
    </xdr:from>
    <xdr:to>
      <xdr:col>6</xdr:col>
      <xdr:colOff>7620</xdr:colOff>
      <xdr:row>13</xdr:row>
      <xdr:rowOff>60960</xdr:rowOff>
    </xdr:to>
    <xdr:sp macro="" textlink="">
      <xdr:nvSpPr>
        <xdr:cNvPr id="8" name="Rectangle à coins arrondis 12">
          <a:extLst>
            <a:ext uri="{FF2B5EF4-FFF2-40B4-BE49-F238E27FC236}">
              <a16:creationId xmlns:a16="http://schemas.microsoft.com/office/drawing/2014/main" id="{73E8B58F-E756-4D88-B3FB-CF2FC62CE3AB}"/>
            </a:ext>
          </a:extLst>
        </xdr:cNvPr>
        <xdr:cNvSpPr/>
      </xdr:nvSpPr>
      <xdr:spPr>
        <a:xfrm>
          <a:off x="4091940" y="2000250"/>
          <a:ext cx="2037080" cy="880110"/>
        </a:xfrm>
        <a:prstGeom prst="wedgeRoundRectCallout">
          <a:avLst>
            <a:gd name="adj1" fmla="val -109132"/>
            <a:gd name="adj2" fmla="val -33300"/>
            <a:gd name="adj3" fmla="val 16667"/>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fr-CA" sz="1800"/>
            <a:t>un trimestre = 13 semaines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609600</xdr:colOff>
      <xdr:row>3</xdr:row>
      <xdr:rowOff>28575</xdr:rowOff>
    </xdr:from>
    <xdr:to>
      <xdr:col>9</xdr:col>
      <xdr:colOff>57150</xdr:colOff>
      <xdr:row>17</xdr:row>
      <xdr:rowOff>104775</xdr:rowOff>
    </xdr:to>
    <xdr:cxnSp macro="">
      <xdr:nvCxnSpPr>
        <xdr:cNvPr id="2" name="Connecteur droit avec flèche 1">
          <a:extLst>
            <a:ext uri="{FF2B5EF4-FFF2-40B4-BE49-F238E27FC236}">
              <a16:creationId xmlns:a16="http://schemas.microsoft.com/office/drawing/2014/main" id="{F3A722A1-9D1C-4B8E-ADC5-C01AF48572EE}"/>
            </a:ext>
          </a:extLst>
        </xdr:cNvPr>
        <xdr:cNvCxnSpPr/>
      </xdr:nvCxnSpPr>
      <xdr:spPr>
        <a:xfrm>
          <a:off x="3263900" y="581025"/>
          <a:ext cx="4921250" cy="2705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289560</xdr:colOff>
      <xdr:row>20</xdr:row>
      <xdr:rowOff>91440</xdr:rowOff>
    </xdr:from>
    <xdr:to>
      <xdr:col>5</xdr:col>
      <xdr:colOff>493979</xdr:colOff>
      <xdr:row>33</xdr:row>
      <xdr:rowOff>74930</xdr:rowOff>
    </xdr:to>
    <xdr:pic>
      <xdr:nvPicPr>
        <xdr:cNvPr id="3" name="Image 2">
          <a:extLst>
            <a:ext uri="{FF2B5EF4-FFF2-40B4-BE49-F238E27FC236}">
              <a16:creationId xmlns:a16="http://schemas.microsoft.com/office/drawing/2014/main" id="{D03C6050-549A-4E9C-ACFD-4690FB3688E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9560" y="3831590"/>
          <a:ext cx="5443855" cy="2377440"/>
        </a:xfrm>
        <a:prstGeom prst="rect">
          <a:avLst/>
        </a:prstGeom>
      </xdr:spPr>
    </xdr:pic>
    <xdr:clientData/>
  </xdr:twoCellAnchor>
  <xdr:twoCellAnchor editAs="oneCell">
    <xdr:from>
      <xdr:col>7</xdr:col>
      <xdr:colOff>15240</xdr:colOff>
      <xdr:row>20</xdr:row>
      <xdr:rowOff>83820</xdr:rowOff>
    </xdr:from>
    <xdr:to>
      <xdr:col>13</xdr:col>
      <xdr:colOff>43816</xdr:colOff>
      <xdr:row>26</xdr:row>
      <xdr:rowOff>148590</xdr:rowOff>
    </xdr:to>
    <xdr:pic>
      <xdr:nvPicPr>
        <xdr:cNvPr id="4" name="Image 3">
          <a:extLst>
            <a:ext uri="{FF2B5EF4-FFF2-40B4-BE49-F238E27FC236}">
              <a16:creationId xmlns:a16="http://schemas.microsoft.com/office/drawing/2014/main" id="{B948F4B6-0012-44B7-8AF0-AF002087344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19240" y="3823970"/>
          <a:ext cx="5407025" cy="1169670"/>
        </a:xfrm>
        <a:prstGeom prst="rect">
          <a:avLst/>
        </a:prstGeom>
      </xdr:spPr>
    </xdr:pic>
    <xdr:clientData/>
  </xdr:twoCellAnchor>
  <xdr:twoCellAnchor editAs="oneCell">
    <xdr:from>
      <xdr:col>7</xdr:col>
      <xdr:colOff>15240</xdr:colOff>
      <xdr:row>35</xdr:row>
      <xdr:rowOff>144780</xdr:rowOff>
    </xdr:from>
    <xdr:to>
      <xdr:col>13</xdr:col>
      <xdr:colOff>43816</xdr:colOff>
      <xdr:row>49</xdr:row>
      <xdr:rowOff>38100</xdr:rowOff>
    </xdr:to>
    <xdr:pic>
      <xdr:nvPicPr>
        <xdr:cNvPr id="5" name="Image 4">
          <a:extLst>
            <a:ext uri="{FF2B5EF4-FFF2-40B4-BE49-F238E27FC236}">
              <a16:creationId xmlns:a16="http://schemas.microsoft.com/office/drawing/2014/main" id="{8927BCF0-309C-480E-9040-91D3FFF17A88}"/>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19240" y="6647180"/>
          <a:ext cx="5407025" cy="2471420"/>
        </a:xfrm>
        <a:prstGeom prst="rect">
          <a:avLst/>
        </a:prstGeom>
      </xdr:spPr>
    </xdr:pic>
    <xdr:clientData/>
  </xdr:twoCellAnchor>
  <xdr:twoCellAnchor editAs="oneCell">
    <xdr:from>
      <xdr:col>7</xdr:col>
      <xdr:colOff>0</xdr:colOff>
      <xdr:row>50</xdr:row>
      <xdr:rowOff>0</xdr:rowOff>
    </xdr:from>
    <xdr:to>
      <xdr:col>13</xdr:col>
      <xdr:colOff>32386</xdr:colOff>
      <xdr:row>55</xdr:row>
      <xdr:rowOff>6985</xdr:rowOff>
    </xdr:to>
    <xdr:pic>
      <xdr:nvPicPr>
        <xdr:cNvPr id="6" name="Image 5">
          <a:extLst>
            <a:ext uri="{FF2B5EF4-FFF2-40B4-BE49-F238E27FC236}">
              <a16:creationId xmlns:a16="http://schemas.microsoft.com/office/drawing/2014/main" id="{109435CC-8159-486A-A18B-D1C361A9E346}"/>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04000" y="9264650"/>
          <a:ext cx="5410835" cy="927735"/>
        </a:xfrm>
        <a:prstGeom prst="rect">
          <a:avLst/>
        </a:prstGeom>
      </xdr:spPr>
    </xdr:pic>
    <xdr:clientData/>
  </xdr:twoCellAnchor>
  <xdr:twoCellAnchor editAs="oneCell">
    <xdr:from>
      <xdr:col>7</xdr:col>
      <xdr:colOff>40748</xdr:colOff>
      <xdr:row>29</xdr:row>
      <xdr:rowOff>53341</xdr:rowOff>
    </xdr:from>
    <xdr:to>
      <xdr:col>13</xdr:col>
      <xdr:colOff>50358</xdr:colOff>
      <xdr:row>34</xdr:row>
      <xdr:rowOff>114301</xdr:rowOff>
    </xdr:to>
    <xdr:pic>
      <xdr:nvPicPr>
        <xdr:cNvPr id="7" name="Image 6">
          <a:extLst>
            <a:ext uri="{FF2B5EF4-FFF2-40B4-BE49-F238E27FC236}">
              <a16:creationId xmlns:a16="http://schemas.microsoft.com/office/drawing/2014/main" id="{EDAA028E-4D25-4296-84BA-44B24564B6B1}"/>
            </a:ext>
          </a:extLst>
        </xdr:cNvPr>
        <xdr:cNvPicPr>
          <a:picLocks noChangeAspect="1"/>
        </xdr:cNvPicPr>
      </xdr:nvPicPr>
      <xdr:blipFill>
        <a:blip xmlns:r="http://schemas.openxmlformats.org/officeDocument/2006/relationships" r:embed="rId5"/>
        <a:stretch>
          <a:fillRect/>
        </a:stretch>
      </xdr:blipFill>
      <xdr:spPr>
        <a:xfrm>
          <a:off x="6644748" y="5450841"/>
          <a:ext cx="5388059" cy="981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15240</xdr:colOff>
      <xdr:row>23</xdr:row>
      <xdr:rowOff>0</xdr:rowOff>
    </xdr:to>
    <xdr:sp macro="" textlink="">
      <xdr:nvSpPr>
        <xdr:cNvPr id="2" name="Rectangle 1">
          <a:extLst>
            <a:ext uri="{FF2B5EF4-FFF2-40B4-BE49-F238E27FC236}">
              <a16:creationId xmlns:a16="http://schemas.microsoft.com/office/drawing/2014/main" id="{BF019EAF-A9C2-4569-B728-3C5E587FABF7}"/>
            </a:ext>
          </a:extLst>
        </xdr:cNvPr>
        <xdr:cNvSpPr/>
      </xdr:nvSpPr>
      <xdr:spPr>
        <a:xfrm>
          <a:off x="762000" y="184150"/>
          <a:ext cx="7635240" cy="4051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CA" sz="2800"/>
            <a:t>Attention! :)</a:t>
          </a:r>
        </a:p>
        <a:p>
          <a:pPr algn="ctr"/>
          <a:r>
            <a:rPr lang="fr-CA" sz="2800"/>
            <a:t>Vous</a:t>
          </a:r>
          <a:r>
            <a:rPr lang="fr-CA" sz="2800" baseline="0"/>
            <a:t> devez copier toutes les feuilles Excel en </a:t>
          </a:r>
          <a:r>
            <a:rPr lang="fr-CA" sz="2800" u="sng" baseline="0"/>
            <a:t>même temps</a:t>
          </a:r>
          <a:r>
            <a:rPr lang="fr-CA" sz="2800" baseline="0"/>
            <a:t>, afin de s'assurer que les montants s'inscrivent dans votre feuille de transactions Acomba.</a:t>
          </a:r>
        </a:p>
        <a:p>
          <a:pPr algn="ctr"/>
          <a:endParaRPr lang="fr-CA" sz="2800" baseline="0"/>
        </a:p>
        <a:p>
          <a:pPr algn="ctr"/>
          <a:r>
            <a:rPr lang="fr-CA" sz="2800" baseline="0"/>
            <a:t>Il faut sélectionner toutes les feuilles (Ctrl +C), appuyer sur bouton de droite de la souris et faire </a:t>
          </a:r>
          <a:r>
            <a:rPr lang="fr-CA" sz="2800" u="sng" baseline="0"/>
            <a:t>Copier</a:t>
          </a:r>
          <a:r>
            <a:rPr lang="fr-CA" sz="2800" baseline="0"/>
            <a:t> dans votre dossier de simulation.  </a:t>
          </a:r>
          <a:endParaRPr lang="fr-CA" sz="28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19</xdr:row>
      <xdr:rowOff>53340</xdr:rowOff>
    </xdr:from>
    <xdr:to>
      <xdr:col>5</xdr:col>
      <xdr:colOff>0</xdr:colOff>
      <xdr:row>26</xdr:row>
      <xdr:rowOff>171450</xdr:rowOff>
    </xdr:to>
    <xdr:sp macro="" textlink="">
      <xdr:nvSpPr>
        <xdr:cNvPr id="2" name="Rectangle à coins arrondis 6">
          <a:extLst>
            <a:ext uri="{FF2B5EF4-FFF2-40B4-BE49-F238E27FC236}">
              <a16:creationId xmlns:a16="http://schemas.microsoft.com/office/drawing/2014/main" id="{8F1ED13E-55EC-41F2-8C5E-0DAB84BCB50F}"/>
            </a:ext>
          </a:extLst>
        </xdr:cNvPr>
        <xdr:cNvSpPr/>
      </xdr:nvSpPr>
      <xdr:spPr>
        <a:xfrm>
          <a:off x="3290570" y="4834890"/>
          <a:ext cx="1008380" cy="14071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t>Fonction</a:t>
          </a:r>
          <a:r>
            <a:rPr lang="fr-CA" sz="1100" baseline="0"/>
            <a:t> Min entre Quantités commandées et Ventes potentielles</a:t>
          </a:r>
          <a:endParaRPr lang="fr-CA" sz="1100"/>
        </a:p>
      </xdr:txBody>
    </xdr:sp>
    <xdr:clientData/>
  </xdr:twoCellAnchor>
  <xdr:twoCellAnchor>
    <xdr:from>
      <xdr:col>10</xdr:col>
      <xdr:colOff>685800</xdr:colOff>
      <xdr:row>19</xdr:row>
      <xdr:rowOff>60960</xdr:rowOff>
    </xdr:from>
    <xdr:to>
      <xdr:col>12</xdr:col>
      <xdr:colOff>245745</xdr:colOff>
      <xdr:row>25</xdr:row>
      <xdr:rowOff>121920</xdr:rowOff>
    </xdr:to>
    <xdr:sp macro="" textlink="">
      <xdr:nvSpPr>
        <xdr:cNvPr id="3" name="Rectangle à coins arrondis 8">
          <a:extLst>
            <a:ext uri="{FF2B5EF4-FFF2-40B4-BE49-F238E27FC236}">
              <a16:creationId xmlns:a16="http://schemas.microsoft.com/office/drawing/2014/main" id="{C7DC9730-D6AB-42C2-B04B-85E9C5AAA618}"/>
            </a:ext>
          </a:extLst>
        </xdr:cNvPr>
        <xdr:cNvSpPr/>
      </xdr:nvSpPr>
      <xdr:spPr>
        <a:xfrm>
          <a:off x="8890000" y="4842510"/>
          <a:ext cx="1083945" cy="1165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900"/>
            <a:t> =Si</a:t>
          </a:r>
          <a:r>
            <a:rPr lang="fr-CA" sz="900" baseline="0"/>
            <a:t> </a:t>
          </a:r>
          <a:r>
            <a:rPr lang="fr-CA" sz="900"/>
            <a:t>(ventes</a:t>
          </a:r>
          <a:r>
            <a:rPr lang="fr-CA" sz="900" baseline="0"/>
            <a:t> potentielles </a:t>
          </a:r>
          <a:r>
            <a:rPr lang="fr-CA" sz="900"/>
            <a:t>&gt; ventes réelles</a:t>
          </a:r>
          <a:r>
            <a:rPr lang="fr-CA" sz="900" baseline="0"/>
            <a:t>; Ventes potentielles - ventes réelles ; 0)</a:t>
          </a:r>
          <a:endParaRPr lang="fr-CA" sz="900"/>
        </a:p>
      </xdr:txBody>
    </xdr:sp>
    <xdr:clientData/>
  </xdr:twoCellAnchor>
  <xdr:twoCellAnchor>
    <xdr:from>
      <xdr:col>6</xdr:col>
      <xdr:colOff>7621</xdr:colOff>
      <xdr:row>19</xdr:row>
      <xdr:rowOff>38100</xdr:rowOff>
    </xdr:from>
    <xdr:to>
      <xdr:col>7</xdr:col>
      <xdr:colOff>30481</xdr:colOff>
      <xdr:row>27</xdr:row>
      <xdr:rowOff>129540</xdr:rowOff>
    </xdr:to>
    <xdr:sp macro="" textlink="">
      <xdr:nvSpPr>
        <xdr:cNvPr id="4" name="Rectangle à coins arrondis 6">
          <a:extLst>
            <a:ext uri="{FF2B5EF4-FFF2-40B4-BE49-F238E27FC236}">
              <a16:creationId xmlns:a16="http://schemas.microsoft.com/office/drawing/2014/main" id="{9E581933-90ED-4AEC-916C-96BAA1BF941C}"/>
            </a:ext>
          </a:extLst>
        </xdr:cNvPr>
        <xdr:cNvSpPr/>
      </xdr:nvSpPr>
      <xdr:spPr>
        <a:xfrm>
          <a:off x="4306571" y="4819650"/>
          <a:ext cx="994410" cy="15646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900"/>
            <a:t> =Si</a:t>
          </a:r>
          <a:r>
            <a:rPr lang="fr-CA" sz="900" baseline="0"/>
            <a:t> </a:t>
          </a:r>
          <a:r>
            <a:rPr lang="fr-CA" sz="900"/>
            <a:t>(qté</a:t>
          </a:r>
          <a:r>
            <a:rPr lang="fr-CA" sz="900" baseline="0"/>
            <a:t> commandée </a:t>
          </a:r>
          <a:r>
            <a:rPr lang="fr-CA" sz="900"/>
            <a:t>&lt; ventes potentielles;</a:t>
          </a:r>
          <a:r>
            <a:rPr lang="fr-CA" sz="900" baseline="0"/>
            <a:t> 0;Quantité commandée -Ventes potentielles</a:t>
          </a:r>
          <a:r>
            <a:rPr lang="fr-CA" sz="1100" baseline="0"/>
            <a:t>)</a:t>
          </a:r>
          <a:endParaRPr lang="fr-CA"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139881</xdr:colOff>
      <xdr:row>0</xdr:row>
      <xdr:rowOff>179070</xdr:rowOff>
    </xdr:from>
    <xdr:to>
      <xdr:col>1</xdr:col>
      <xdr:colOff>1060268</xdr:colOff>
      <xdr:row>0</xdr:row>
      <xdr:rowOff>685800</xdr:rowOff>
    </xdr:to>
    <xdr:pic>
      <xdr:nvPicPr>
        <xdr:cNvPr id="2" name="Image 1">
          <a:extLst>
            <a:ext uri="{FF2B5EF4-FFF2-40B4-BE49-F238E27FC236}">
              <a16:creationId xmlns:a16="http://schemas.microsoft.com/office/drawing/2014/main" id="{635E1E3B-8D4A-4C6C-A561-90610280D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781" y="179070"/>
          <a:ext cx="920387" cy="506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396240</xdr:colOff>
      <xdr:row>1</xdr:row>
      <xdr:rowOff>60960</xdr:rowOff>
    </xdr:from>
    <xdr:to>
      <xdr:col>4</xdr:col>
      <xdr:colOff>1167129</xdr:colOff>
      <xdr:row>10</xdr:row>
      <xdr:rowOff>342796</xdr:rowOff>
    </xdr:to>
    <xdr:grpSp>
      <xdr:nvGrpSpPr>
        <xdr:cNvPr id="3" name="Groupe 1" descr="Content border">
          <a:extLst>
            <a:ext uri="{FF2B5EF4-FFF2-40B4-BE49-F238E27FC236}">
              <a16:creationId xmlns:a16="http://schemas.microsoft.com/office/drawing/2014/main" id="{84428224-5CBB-4F6D-B170-C86823312C25}"/>
            </a:ext>
          </a:extLst>
        </xdr:cNvPr>
        <xdr:cNvGrpSpPr/>
      </xdr:nvGrpSpPr>
      <xdr:grpSpPr>
        <a:xfrm>
          <a:off x="396240" y="924560"/>
          <a:ext cx="7438389" cy="2517036"/>
          <a:chOff x="771525" y="828675"/>
          <a:chExt cx="5766635" cy="2657371"/>
        </a:xfrm>
      </xdr:grpSpPr>
      <xdr:pic>
        <xdr:nvPicPr>
          <xdr:cNvPr id="4" name="Image 4" descr="Content left border">
            <a:extLst>
              <a:ext uri="{FF2B5EF4-FFF2-40B4-BE49-F238E27FC236}">
                <a16:creationId xmlns:a16="http://schemas.microsoft.com/office/drawing/2014/main" id="{AE56D3F1-979E-5BE0-3A91-00E29C8A1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1525" y="853670"/>
            <a:ext cx="38095" cy="2632376"/>
          </a:xfrm>
          <a:prstGeom prst="rect">
            <a:avLst/>
          </a:prstGeom>
        </xdr:spPr>
      </xdr:pic>
      <xdr:pic>
        <xdr:nvPicPr>
          <xdr:cNvPr id="5" name="Image 4" descr="Content right border">
            <a:extLst>
              <a:ext uri="{FF2B5EF4-FFF2-40B4-BE49-F238E27FC236}">
                <a16:creationId xmlns:a16="http://schemas.microsoft.com/office/drawing/2014/main" id="{9B0C3742-29AB-3CEE-F4C8-6CBE6D72C2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00065" y="853670"/>
            <a:ext cx="38095" cy="2632376"/>
          </a:xfrm>
          <a:prstGeom prst="rect">
            <a:avLst/>
          </a:prstGeom>
        </xdr:spPr>
      </xdr:pic>
      <xdr:pic>
        <xdr:nvPicPr>
          <xdr:cNvPr id="6" name="Image 6" descr="Content top border">
            <a:extLst>
              <a:ext uri="{FF2B5EF4-FFF2-40B4-BE49-F238E27FC236}">
                <a16:creationId xmlns:a16="http://schemas.microsoft.com/office/drawing/2014/main" id="{78D263C2-6A4B-1637-5F59-47B5CDD50D38}"/>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40025" b="-140025"/>
          <a:stretch>
            <a:fillRect/>
          </a:stretch>
        </xdr:blipFill>
        <xdr:spPr>
          <a:xfrm>
            <a:off x="805639" y="828675"/>
            <a:ext cx="5702427" cy="69502"/>
          </a:xfrm>
          <a:prstGeom prst="rect">
            <a:avLst/>
          </a:prstGeom>
        </xdr:spPr>
      </xdr:pic>
    </xdr:grpSp>
    <xdr:clientData/>
  </xdr:twoCellAnchor>
  <xdr:twoCellAnchor editAs="oneCell">
    <xdr:from>
      <xdr:col>1</xdr:col>
      <xdr:colOff>133350</xdr:colOff>
      <xdr:row>0</xdr:row>
      <xdr:rowOff>198120</xdr:rowOff>
    </xdr:from>
    <xdr:to>
      <xdr:col>1</xdr:col>
      <xdr:colOff>1069398</xdr:colOff>
      <xdr:row>0</xdr:row>
      <xdr:rowOff>723900</xdr:rowOff>
    </xdr:to>
    <xdr:pic>
      <xdr:nvPicPr>
        <xdr:cNvPr id="7" name="Image 6">
          <a:extLst>
            <a:ext uri="{FF2B5EF4-FFF2-40B4-BE49-F238E27FC236}">
              <a16:creationId xmlns:a16="http://schemas.microsoft.com/office/drawing/2014/main" id="{2B465AE5-D910-4EAF-BE15-D75032E2FA9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3250" y="198120"/>
          <a:ext cx="936048"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7</xdr:col>
      <xdr:colOff>9525</xdr:colOff>
      <xdr:row>1</xdr:row>
      <xdr:rowOff>678</xdr:rowOff>
    </xdr:to>
    <xdr:pic>
      <xdr:nvPicPr>
        <xdr:cNvPr id="2" name="Image 5" descr="Image abstraite" title="Banner 1">
          <a:extLst>
            <a:ext uri="{FF2B5EF4-FFF2-40B4-BE49-F238E27FC236}">
              <a16:creationId xmlns:a16="http://schemas.microsoft.com/office/drawing/2014/main" id="{B297CA14-BDA8-4018-B887-77B0199A83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
          <a:ext cx="7458075" cy="1346877"/>
        </a:xfrm>
        <a:prstGeom prst="rect">
          <a:avLst/>
        </a:prstGeom>
      </xdr:spPr>
    </xdr:pic>
    <xdr:clientData/>
  </xdr:twoCellAnchor>
  <xdr:twoCellAnchor>
    <xdr:from>
      <xdr:col>3</xdr:col>
      <xdr:colOff>1943100</xdr:colOff>
      <xdr:row>0</xdr:row>
      <xdr:rowOff>0</xdr:rowOff>
    </xdr:from>
    <xdr:to>
      <xdr:col>7</xdr:col>
      <xdr:colOff>0</xdr:colOff>
      <xdr:row>0</xdr:row>
      <xdr:rowOff>505503</xdr:rowOff>
    </xdr:to>
    <xdr:sp macro="" textlink="">
      <xdr:nvSpPr>
        <xdr:cNvPr id="3" name="Zone de texte 1" descr="Ticket de caisse" title="Title 1">
          <a:extLst>
            <a:ext uri="{FF2B5EF4-FFF2-40B4-BE49-F238E27FC236}">
              <a16:creationId xmlns:a16="http://schemas.microsoft.com/office/drawing/2014/main" id="{3A7FE1AB-73D0-4DD3-B24F-E699D63D34F9}"/>
            </a:ext>
          </a:extLst>
        </xdr:cNvPr>
        <xdr:cNvSpPr txBox="1"/>
      </xdr:nvSpPr>
      <xdr:spPr>
        <a:xfrm>
          <a:off x="4229100" y="0"/>
          <a:ext cx="3371850" cy="505503"/>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algn="r" rtl="0"/>
          <a:r>
            <a:rPr lang="fr" sz="2400">
              <a:solidFill>
                <a:schemeClr val="bg1"/>
              </a:solidFill>
              <a:latin typeface="Constantia" panose="02030602050306030303" pitchFamily="18" charset="0"/>
            </a:rPr>
            <a:t>Bon</a:t>
          </a:r>
          <a:r>
            <a:rPr lang="fr" sz="2400" baseline="0">
              <a:solidFill>
                <a:schemeClr val="bg1"/>
              </a:solidFill>
              <a:latin typeface="Constantia" panose="02030602050306030303" pitchFamily="18" charset="0"/>
            </a:rPr>
            <a:t> de commande</a:t>
          </a:r>
          <a:endParaRPr lang="fr" sz="2400">
            <a:solidFill>
              <a:schemeClr val="bg1"/>
            </a:solidFill>
            <a:latin typeface="Constantia" panose="02030602050306030303" pitchFamily="18" charset="0"/>
          </a:endParaRPr>
        </a:p>
      </xdr:txBody>
    </xdr:sp>
    <xdr:clientData/>
  </xdr:twoCellAnchor>
  <xdr:twoCellAnchor>
    <xdr:from>
      <xdr:col>1</xdr:col>
      <xdr:colOff>0</xdr:colOff>
      <xdr:row>0</xdr:row>
      <xdr:rowOff>1000803</xdr:rowOff>
    </xdr:from>
    <xdr:to>
      <xdr:col>4</xdr:col>
      <xdr:colOff>0</xdr:colOff>
      <xdr:row>0</xdr:row>
      <xdr:rowOff>1343703</xdr:rowOff>
    </xdr:to>
    <xdr:sp macro="" textlink="">
      <xdr:nvSpPr>
        <xdr:cNvPr id="4" name="Zone de texte 8" descr="Slogan de la société" title="Title 3">
          <a:extLst>
            <a:ext uri="{FF2B5EF4-FFF2-40B4-BE49-F238E27FC236}">
              <a16:creationId xmlns:a16="http://schemas.microsoft.com/office/drawing/2014/main" id="{A8B9DD16-53FF-4F41-A3BC-710283699DF1}"/>
            </a:ext>
          </a:extLst>
        </xdr:cNvPr>
        <xdr:cNvSpPr txBox="1"/>
      </xdr:nvSpPr>
      <xdr:spPr>
        <a:xfrm>
          <a:off x="152400" y="1000803"/>
          <a:ext cx="4076700" cy="342900"/>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rtl="0"/>
          <a:r>
            <a:rPr lang="fr" sz="1000">
              <a:solidFill>
                <a:schemeClr val="bg1"/>
              </a:solidFill>
              <a:latin typeface="Franklin Gothic Book" panose="020B0503020102020204" pitchFamily="34" charset="0"/>
            </a:rPr>
            <a:t>Chez</a:t>
          </a:r>
          <a:r>
            <a:rPr lang="fr" sz="1000" baseline="0">
              <a:solidFill>
                <a:schemeClr val="bg1"/>
              </a:solidFill>
              <a:latin typeface="Franklin Gothic Book" panose="020B0503020102020204" pitchFamily="34" charset="0"/>
            </a:rPr>
            <a:t> Fournisseur, tout est à l'heure!</a:t>
          </a:r>
          <a:endParaRPr lang="en-US" sz="1000">
            <a:solidFill>
              <a:schemeClr val="bg1"/>
            </a:solidFill>
            <a:latin typeface="Franklin Gothic Book" panose="020B0503020102020204" pitchFamily="34" charset="0"/>
          </a:endParaRPr>
        </a:p>
      </xdr:txBody>
    </xdr:sp>
    <xdr:clientData/>
  </xdr:twoCellAnchor>
  <xdr:twoCellAnchor>
    <xdr:from>
      <xdr:col>1</xdr:col>
      <xdr:colOff>0</xdr:colOff>
      <xdr:row>0</xdr:row>
      <xdr:rowOff>0</xdr:rowOff>
    </xdr:from>
    <xdr:to>
      <xdr:col>3</xdr:col>
      <xdr:colOff>552450</xdr:colOff>
      <xdr:row>0</xdr:row>
      <xdr:rowOff>869834</xdr:rowOff>
    </xdr:to>
    <xdr:sp macro="" textlink="">
      <xdr:nvSpPr>
        <xdr:cNvPr id="5" name="Zone de texte 2" descr="Nom de la société" title="Title 2">
          <a:extLst>
            <a:ext uri="{FF2B5EF4-FFF2-40B4-BE49-F238E27FC236}">
              <a16:creationId xmlns:a16="http://schemas.microsoft.com/office/drawing/2014/main" id="{158B4687-3152-4037-8A78-902BB7CFEC1E}"/>
            </a:ext>
          </a:extLst>
        </xdr:cNvPr>
        <xdr:cNvSpPr txBox="1"/>
      </xdr:nvSpPr>
      <xdr:spPr>
        <a:xfrm>
          <a:off x="152400" y="0"/>
          <a:ext cx="2774950" cy="869834"/>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rtl="0"/>
          <a:r>
            <a:rPr lang="fr" sz="2000">
              <a:solidFill>
                <a:schemeClr val="bg1"/>
              </a:solidFill>
              <a:latin typeface="Constantia" panose="02030602050306030303" pitchFamily="18" charset="0"/>
            </a:rPr>
            <a:t>Fournisseur</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15240</xdr:colOff>
      <xdr:row>16</xdr:row>
      <xdr:rowOff>22860</xdr:rowOff>
    </xdr:from>
    <xdr:to>
      <xdr:col>12</xdr:col>
      <xdr:colOff>289560</xdr:colOff>
      <xdr:row>24</xdr:row>
      <xdr:rowOff>45720</xdr:rowOff>
    </xdr:to>
    <xdr:pic>
      <xdr:nvPicPr>
        <xdr:cNvPr id="2" name="Image 1">
          <a:extLst>
            <a:ext uri="{FF2B5EF4-FFF2-40B4-BE49-F238E27FC236}">
              <a16:creationId xmlns:a16="http://schemas.microsoft.com/office/drawing/2014/main" id="{BCD52C3D-5535-4318-906F-F1679407007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70640" y="3185160"/>
          <a:ext cx="2750820" cy="1496060"/>
        </a:xfrm>
        <a:prstGeom prst="rect">
          <a:avLst/>
        </a:prstGeom>
      </xdr:spPr>
    </xdr:pic>
    <xdr:clientData/>
  </xdr:twoCellAnchor>
  <xdr:twoCellAnchor editAs="oneCell">
    <xdr:from>
      <xdr:col>12</xdr:col>
      <xdr:colOff>297180</xdr:colOff>
      <xdr:row>15</xdr:row>
      <xdr:rowOff>0</xdr:rowOff>
    </xdr:from>
    <xdr:to>
      <xdr:col>16</xdr:col>
      <xdr:colOff>525780</xdr:colOff>
      <xdr:row>25</xdr:row>
      <xdr:rowOff>151130</xdr:rowOff>
    </xdr:to>
    <xdr:pic>
      <xdr:nvPicPr>
        <xdr:cNvPr id="3" name="Image 2">
          <a:extLst>
            <a:ext uri="{FF2B5EF4-FFF2-40B4-BE49-F238E27FC236}">
              <a16:creationId xmlns:a16="http://schemas.microsoft.com/office/drawing/2014/main" id="{379DC6DA-AB2B-4965-A09A-F9702D6BAAE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29080" y="2978150"/>
          <a:ext cx="3848100" cy="1998980"/>
        </a:xfrm>
        <a:prstGeom prst="rect">
          <a:avLst/>
        </a:prstGeom>
      </xdr:spPr>
    </xdr:pic>
    <xdr:clientData/>
  </xdr:twoCellAnchor>
  <xdr:twoCellAnchor>
    <xdr:from>
      <xdr:col>3</xdr:col>
      <xdr:colOff>1021080</xdr:colOff>
      <xdr:row>0</xdr:row>
      <xdr:rowOff>68580</xdr:rowOff>
    </xdr:from>
    <xdr:to>
      <xdr:col>5</xdr:col>
      <xdr:colOff>1059180</xdr:colOff>
      <xdr:row>6</xdr:row>
      <xdr:rowOff>45720</xdr:rowOff>
    </xdr:to>
    <xdr:sp macro="" textlink="">
      <xdr:nvSpPr>
        <xdr:cNvPr id="4" name="Rectangle à coins arrondis 3">
          <a:extLst>
            <a:ext uri="{FF2B5EF4-FFF2-40B4-BE49-F238E27FC236}">
              <a16:creationId xmlns:a16="http://schemas.microsoft.com/office/drawing/2014/main" id="{919204FD-35AE-4F83-A29F-0CC5FFF9FEEE}"/>
            </a:ext>
          </a:extLst>
        </xdr:cNvPr>
        <xdr:cNvSpPr/>
      </xdr:nvSpPr>
      <xdr:spPr>
        <a:xfrm>
          <a:off x="6418580" y="68580"/>
          <a:ext cx="2133600" cy="110109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fr-CA" sz="1100"/>
            <a:t>Notes</a:t>
          </a:r>
          <a:r>
            <a:rPr lang="fr-CA" sz="1100" baseline="0"/>
            <a:t> de cours: section Calcul des opérations du Trimestre 1 (voir calcul des charges d'exploitation)</a:t>
          </a:r>
          <a:endParaRPr lang="fr-CA" sz="1100"/>
        </a:p>
      </xdr:txBody>
    </xdr:sp>
    <xdr:clientData/>
  </xdr:twoCellAnchor>
  <xdr:twoCellAnchor editAs="oneCell">
    <xdr:from>
      <xdr:col>11</xdr:col>
      <xdr:colOff>213360</xdr:colOff>
      <xdr:row>3</xdr:row>
      <xdr:rowOff>91440</xdr:rowOff>
    </xdr:from>
    <xdr:to>
      <xdr:col>15</xdr:col>
      <xdr:colOff>472440</xdr:colOff>
      <xdr:row>14</xdr:row>
      <xdr:rowOff>99060</xdr:rowOff>
    </xdr:to>
    <xdr:pic>
      <xdr:nvPicPr>
        <xdr:cNvPr id="5" name="Image 4">
          <a:extLst>
            <a:ext uri="{FF2B5EF4-FFF2-40B4-BE49-F238E27FC236}">
              <a16:creationId xmlns:a16="http://schemas.microsoft.com/office/drawing/2014/main" id="{D1AE5C08-B4B2-4648-BEBB-C6E54BD10175}"/>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83260" y="656590"/>
          <a:ext cx="3878580" cy="223647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302895</xdr:colOff>
      <xdr:row>2</xdr:row>
      <xdr:rowOff>160020</xdr:rowOff>
    </xdr:from>
    <xdr:to>
      <xdr:col>5</xdr:col>
      <xdr:colOff>348616</xdr:colOff>
      <xdr:row>6</xdr:row>
      <xdr:rowOff>93345</xdr:rowOff>
    </xdr:to>
    <xdr:cxnSp macro="">
      <xdr:nvCxnSpPr>
        <xdr:cNvPr id="2" name="Connecteur droit avec flèche 1">
          <a:extLst>
            <a:ext uri="{FF2B5EF4-FFF2-40B4-BE49-F238E27FC236}">
              <a16:creationId xmlns:a16="http://schemas.microsoft.com/office/drawing/2014/main" id="{9CF8E32D-7A21-4650-A9B7-AA5AF77E66D2}"/>
            </a:ext>
          </a:extLst>
        </xdr:cNvPr>
        <xdr:cNvCxnSpPr>
          <a:endCxn id="3" idx="1"/>
        </xdr:cNvCxnSpPr>
      </xdr:nvCxnSpPr>
      <xdr:spPr>
        <a:xfrm flipH="1">
          <a:off x="2849245" y="528320"/>
          <a:ext cx="1652271" cy="6508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57151</xdr:colOff>
      <xdr:row>5</xdr:row>
      <xdr:rowOff>9525</xdr:rowOff>
    </xdr:from>
    <xdr:to>
      <xdr:col>3</xdr:col>
      <xdr:colOff>302895</xdr:colOff>
      <xdr:row>8</xdr:row>
      <xdr:rowOff>0</xdr:rowOff>
    </xdr:to>
    <xdr:sp macro="" textlink="">
      <xdr:nvSpPr>
        <xdr:cNvPr id="3" name="Accolade fermante 2">
          <a:extLst>
            <a:ext uri="{FF2B5EF4-FFF2-40B4-BE49-F238E27FC236}">
              <a16:creationId xmlns:a16="http://schemas.microsoft.com/office/drawing/2014/main" id="{7636C478-A3A2-4E4E-81DC-DEE22EC89231}"/>
            </a:ext>
          </a:extLst>
        </xdr:cNvPr>
        <xdr:cNvSpPr/>
      </xdr:nvSpPr>
      <xdr:spPr>
        <a:xfrm>
          <a:off x="2603501" y="911225"/>
          <a:ext cx="245744" cy="5429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endParaRPr lang="fr-CA"/>
        </a:p>
      </xdr:txBody>
    </xdr:sp>
    <xdr:clientData/>
  </xdr:twoCellAnchor>
  <xdr:twoCellAnchor>
    <xdr:from>
      <xdr:col>4</xdr:col>
      <xdr:colOff>114298</xdr:colOff>
      <xdr:row>9</xdr:row>
      <xdr:rowOff>160019</xdr:rowOff>
    </xdr:from>
    <xdr:to>
      <xdr:col>9</xdr:col>
      <xdr:colOff>462907</xdr:colOff>
      <xdr:row>37</xdr:row>
      <xdr:rowOff>93345</xdr:rowOff>
    </xdr:to>
    <xdr:sp macro="" textlink="">
      <xdr:nvSpPr>
        <xdr:cNvPr id="4" name="Bulle ronde 3">
          <a:extLst>
            <a:ext uri="{FF2B5EF4-FFF2-40B4-BE49-F238E27FC236}">
              <a16:creationId xmlns:a16="http://schemas.microsoft.com/office/drawing/2014/main" id="{90656C66-A842-4903-A462-3BF25B542C1E}"/>
            </a:ext>
          </a:extLst>
        </xdr:cNvPr>
        <xdr:cNvSpPr/>
      </xdr:nvSpPr>
      <xdr:spPr>
        <a:xfrm rot="10800000">
          <a:off x="3467098" y="1798319"/>
          <a:ext cx="4679309" cy="5102226"/>
        </a:xfrm>
        <a:prstGeom prst="wedgeEllipseCallout">
          <a:avLst>
            <a:gd name="adj1" fmla="val -32091"/>
            <a:gd name="adj2" fmla="val 5151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fr-CA"/>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16</xdr:col>
      <xdr:colOff>190500</xdr:colOff>
      <xdr:row>0</xdr:row>
      <xdr:rowOff>53340</xdr:rowOff>
    </xdr:from>
    <xdr:to>
      <xdr:col>19</xdr:col>
      <xdr:colOff>167640</xdr:colOff>
      <xdr:row>1</xdr:row>
      <xdr:rowOff>15240</xdr:rowOff>
    </xdr:to>
    <xdr:pic>
      <xdr:nvPicPr>
        <xdr:cNvPr id="2" name="Image 1">
          <a:extLst>
            <a:ext uri="{FF2B5EF4-FFF2-40B4-BE49-F238E27FC236}">
              <a16:creationId xmlns:a16="http://schemas.microsoft.com/office/drawing/2014/main" id="{A781379C-EC23-47D9-90DF-E90306E3443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92050" y="53340"/>
          <a:ext cx="2606040" cy="800100"/>
        </a:xfrm>
        <a:prstGeom prst="rect">
          <a:avLst/>
        </a:prstGeom>
      </xdr:spPr>
    </xdr:pic>
    <xdr:clientData/>
  </xdr:twoCellAnchor>
  <xdr:twoCellAnchor editAs="oneCell">
    <xdr:from>
      <xdr:col>16</xdr:col>
      <xdr:colOff>320040</xdr:colOff>
      <xdr:row>2</xdr:row>
      <xdr:rowOff>83820</xdr:rowOff>
    </xdr:from>
    <xdr:to>
      <xdr:col>19</xdr:col>
      <xdr:colOff>45720</xdr:colOff>
      <xdr:row>4</xdr:row>
      <xdr:rowOff>457200</xdr:rowOff>
    </xdr:to>
    <xdr:pic>
      <xdr:nvPicPr>
        <xdr:cNvPr id="3" name="Image 2">
          <a:extLst>
            <a:ext uri="{FF2B5EF4-FFF2-40B4-BE49-F238E27FC236}">
              <a16:creationId xmlns:a16="http://schemas.microsoft.com/office/drawing/2014/main" id="{D669D930-2764-49A2-B98D-856F36124D5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21590" y="1290320"/>
          <a:ext cx="2354580" cy="754380"/>
        </a:xfrm>
        <a:prstGeom prst="rect">
          <a:avLst/>
        </a:prstGeom>
      </xdr:spPr>
    </xdr:pic>
    <xdr:clientData/>
  </xdr:twoCellAnchor>
  <xdr:twoCellAnchor editAs="oneCell">
    <xdr:from>
      <xdr:col>15</xdr:col>
      <xdr:colOff>464820</xdr:colOff>
      <xdr:row>4</xdr:row>
      <xdr:rowOff>464820</xdr:rowOff>
    </xdr:from>
    <xdr:to>
      <xdr:col>20</xdr:col>
      <xdr:colOff>76200</xdr:colOff>
      <xdr:row>6</xdr:row>
      <xdr:rowOff>175260</xdr:rowOff>
    </xdr:to>
    <xdr:pic>
      <xdr:nvPicPr>
        <xdr:cNvPr id="4" name="Image 3">
          <a:extLst>
            <a:ext uri="{FF2B5EF4-FFF2-40B4-BE49-F238E27FC236}">
              <a16:creationId xmlns:a16="http://schemas.microsoft.com/office/drawing/2014/main" id="{926E9A99-8214-4F2B-AF64-EC13C06A84CE}"/>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104370" y="2052320"/>
          <a:ext cx="4234180" cy="8280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556260</xdr:colOff>
      <xdr:row>14</xdr:row>
      <xdr:rowOff>15240</xdr:rowOff>
    </xdr:from>
    <xdr:to>
      <xdr:col>17</xdr:col>
      <xdr:colOff>518160</xdr:colOff>
      <xdr:row>18</xdr:row>
      <xdr:rowOff>129540</xdr:rowOff>
    </xdr:to>
    <xdr:sp macro="" textlink="">
      <xdr:nvSpPr>
        <xdr:cNvPr id="2" name="Rectangle 1">
          <a:extLst>
            <a:ext uri="{FF2B5EF4-FFF2-40B4-BE49-F238E27FC236}">
              <a16:creationId xmlns:a16="http://schemas.microsoft.com/office/drawing/2014/main" id="{992C6D5F-57B3-41F8-83D0-083827D42B18}"/>
            </a:ext>
          </a:extLst>
        </xdr:cNvPr>
        <xdr:cNvSpPr/>
      </xdr:nvSpPr>
      <xdr:spPr>
        <a:xfrm>
          <a:off x="10932160" y="2987040"/>
          <a:ext cx="3009900" cy="850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285750" indent="-285750" algn="l">
            <a:buFont typeface="Arial" panose="020B0604020202020204" pitchFamily="34" charset="0"/>
            <a:buChar char="•"/>
          </a:pPr>
          <a:r>
            <a:rPr lang="fr-CA" sz="1400"/>
            <a:t>Calcul</a:t>
          </a:r>
          <a:r>
            <a:rPr lang="fr-CA" sz="1400" baseline="0"/>
            <a:t> du coût de la commande 1</a:t>
          </a:r>
        </a:p>
        <a:p>
          <a:pPr marL="285750" indent="-285750" algn="l">
            <a:buFont typeface="Arial" panose="020B0604020202020204" pitchFamily="34" charset="0"/>
            <a:buChar char="•"/>
          </a:pPr>
          <a:r>
            <a:rPr lang="fr-CA" sz="1400" baseline="0"/>
            <a:t>Choix du transporteur (frais de transport - Fret à l'achat)</a:t>
          </a:r>
          <a:endParaRPr lang="fr-CA" sz="14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7</xdr:col>
      <xdr:colOff>9525</xdr:colOff>
      <xdr:row>1</xdr:row>
      <xdr:rowOff>678</xdr:rowOff>
    </xdr:to>
    <xdr:pic>
      <xdr:nvPicPr>
        <xdr:cNvPr id="2" name="Image 5" descr="Image abstraite" title="Banner 1">
          <a:extLst>
            <a:ext uri="{FF2B5EF4-FFF2-40B4-BE49-F238E27FC236}">
              <a16:creationId xmlns:a16="http://schemas.microsoft.com/office/drawing/2014/main" id="{7E8D0B03-93D6-44CB-90FE-D5683A16E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
          <a:ext cx="7458075" cy="1346877"/>
        </a:xfrm>
        <a:prstGeom prst="rect">
          <a:avLst/>
        </a:prstGeom>
      </xdr:spPr>
    </xdr:pic>
    <xdr:clientData/>
  </xdr:twoCellAnchor>
  <xdr:twoCellAnchor>
    <xdr:from>
      <xdr:col>3</xdr:col>
      <xdr:colOff>1943100</xdr:colOff>
      <xdr:row>0</xdr:row>
      <xdr:rowOff>0</xdr:rowOff>
    </xdr:from>
    <xdr:to>
      <xdr:col>7</xdr:col>
      <xdr:colOff>0</xdr:colOff>
      <xdr:row>0</xdr:row>
      <xdr:rowOff>505503</xdr:rowOff>
    </xdr:to>
    <xdr:sp macro="" textlink="">
      <xdr:nvSpPr>
        <xdr:cNvPr id="3" name="Zone de texte 1" descr="Ticket de caisse" title="Title 1">
          <a:extLst>
            <a:ext uri="{FF2B5EF4-FFF2-40B4-BE49-F238E27FC236}">
              <a16:creationId xmlns:a16="http://schemas.microsoft.com/office/drawing/2014/main" id="{BB010903-ACDA-428D-8104-25517D45D6B1}"/>
            </a:ext>
          </a:extLst>
        </xdr:cNvPr>
        <xdr:cNvSpPr txBox="1"/>
      </xdr:nvSpPr>
      <xdr:spPr>
        <a:xfrm>
          <a:off x="4229100" y="0"/>
          <a:ext cx="3371850" cy="505503"/>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algn="r" rtl="0"/>
          <a:r>
            <a:rPr lang="fr" sz="2400">
              <a:solidFill>
                <a:schemeClr val="bg1"/>
              </a:solidFill>
              <a:latin typeface="Constantia" panose="02030602050306030303" pitchFamily="18" charset="0"/>
            </a:rPr>
            <a:t>Bon</a:t>
          </a:r>
          <a:r>
            <a:rPr lang="fr" sz="2400" baseline="0">
              <a:solidFill>
                <a:schemeClr val="bg1"/>
              </a:solidFill>
              <a:latin typeface="Constantia" panose="02030602050306030303" pitchFamily="18" charset="0"/>
            </a:rPr>
            <a:t> de commande</a:t>
          </a:r>
          <a:endParaRPr lang="fr" sz="2400">
            <a:solidFill>
              <a:schemeClr val="bg1"/>
            </a:solidFill>
            <a:latin typeface="Constantia" panose="02030602050306030303" pitchFamily="18" charset="0"/>
          </a:endParaRPr>
        </a:p>
      </xdr:txBody>
    </xdr:sp>
    <xdr:clientData/>
  </xdr:twoCellAnchor>
  <xdr:twoCellAnchor>
    <xdr:from>
      <xdr:col>1</xdr:col>
      <xdr:colOff>0</xdr:colOff>
      <xdr:row>0</xdr:row>
      <xdr:rowOff>1000803</xdr:rowOff>
    </xdr:from>
    <xdr:to>
      <xdr:col>4</xdr:col>
      <xdr:colOff>0</xdr:colOff>
      <xdr:row>0</xdr:row>
      <xdr:rowOff>1343703</xdr:rowOff>
    </xdr:to>
    <xdr:sp macro="" textlink="">
      <xdr:nvSpPr>
        <xdr:cNvPr id="4" name="Zone de texte 8" descr="Slogan de la société" title="Title 3">
          <a:extLst>
            <a:ext uri="{FF2B5EF4-FFF2-40B4-BE49-F238E27FC236}">
              <a16:creationId xmlns:a16="http://schemas.microsoft.com/office/drawing/2014/main" id="{C72572F3-59AA-4B45-B719-4E5A6CA664F3}"/>
            </a:ext>
          </a:extLst>
        </xdr:cNvPr>
        <xdr:cNvSpPr txBox="1"/>
      </xdr:nvSpPr>
      <xdr:spPr>
        <a:xfrm>
          <a:off x="152400" y="1000803"/>
          <a:ext cx="4076700" cy="342900"/>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rtl="0"/>
          <a:r>
            <a:rPr lang="fr" sz="1000">
              <a:solidFill>
                <a:schemeClr val="bg1"/>
              </a:solidFill>
              <a:latin typeface="Franklin Gothic Book" panose="020B0503020102020204" pitchFamily="34" charset="0"/>
            </a:rPr>
            <a:t>Chez</a:t>
          </a:r>
          <a:r>
            <a:rPr lang="fr" sz="1000" baseline="0">
              <a:solidFill>
                <a:schemeClr val="bg1"/>
              </a:solidFill>
              <a:latin typeface="Franklin Gothic Book" panose="020B0503020102020204" pitchFamily="34" charset="0"/>
            </a:rPr>
            <a:t> Fournisseur, tout est à l'heure!</a:t>
          </a:r>
          <a:endParaRPr lang="en-US" sz="1000">
            <a:solidFill>
              <a:schemeClr val="bg1"/>
            </a:solidFill>
            <a:latin typeface="Franklin Gothic Book" panose="020B0503020102020204" pitchFamily="34" charset="0"/>
          </a:endParaRPr>
        </a:p>
      </xdr:txBody>
    </xdr:sp>
    <xdr:clientData/>
  </xdr:twoCellAnchor>
  <xdr:twoCellAnchor>
    <xdr:from>
      <xdr:col>1</xdr:col>
      <xdr:colOff>0</xdr:colOff>
      <xdr:row>0</xdr:row>
      <xdr:rowOff>0</xdr:rowOff>
    </xdr:from>
    <xdr:to>
      <xdr:col>3</xdr:col>
      <xdr:colOff>552450</xdr:colOff>
      <xdr:row>0</xdr:row>
      <xdr:rowOff>869834</xdr:rowOff>
    </xdr:to>
    <xdr:sp macro="" textlink="">
      <xdr:nvSpPr>
        <xdr:cNvPr id="5" name="Zone de texte 2" descr="Nom de la société" title="Title 2">
          <a:extLst>
            <a:ext uri="{FF2B5EF4-FFF2-40B4-BE49-F238E27FC236}">
              <a16:creationId xmlns:a16="http://schemas.microsoft.com/office/drawing/2014/main" id="{2A85560C-D659-423D-81BF-87DAB8A16A59}"/>
            </a:ext>
          </a:extLst>
        </xdr:cNvPr>
        <xdr:cNvSpPr txBox="1"/>
      </xdr:nvSpPr>
      <xdr:spPr>
        <a:xfrm>
          <a:off x="152400" y="0"/>
          <a:ext cx="2774950" cy="869834"/>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rtl="0"/>
          <a:r>
            <a:rPr lang="fr" sz="2000">
              <a:solidFill>
                <a:schemeClr val="bg1"/>
              </a:solidFill>
              <a:latin typeface="Constantia" panose="02030602050306030303" pitchFamily="18" charset="0"/>
            </a:rPr>
            <a:t>Fournisseur</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139881</xdr:colOff>
      <xdr:row>0</xdr:row>
      <xdr:rowOff>179070</xdr:rowOff>
    </xdr:from>
    <xdr:to>
      <xdr:col>1</xdr:col>
      <xdr:colOff>1060268</xdr:colOff>
      <xdr:row>0</xdr:row>
      <xdr:rowOff>685800</xdr:rowOff>
    </xdr:to>
    <xdr:pic>
      <xdr:nvPicPr>
        <xdr:cNvPr id="2" name="Image 1">
          <a:extLst>
            <a:ext uri="{FF2B5EF4-FFF2-40B4-BE49-F238E27FC236}">
              <a16:creationId xmlns:a16="http://schemas.microsoft.com/office/drawing/2014/main" id="{EC31484B-5F1E-4F8B-9E16-F145800548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781" y="179070"/>
          <a:ext cx="920387" cy="506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396240</xdr:colOff>
      <xdr:row>1</xdr:row>
      <xdr:rowOff>60960</xdr:rowOff>
    </xdr:from>
    <xdr:to>
      <xdr:col>4</xdr:col>
      <xdr:colOff>1167129</xdr:colOff>
      <xdr:row>10</xdr:row>
      <xdr:rowOff>342796</xdr:rowOff>
    </xdr:to>
    <xdr:grpSp>
      <xdr:nvGrpSpPr>
        <xdr:cNvPr id="3" name="Groupe 1" descr="Content border">
          <a:extLst>
            <a:ext uri="{FF2B5EF4-FFF2-40B4-BE49-F238E27FC236}">
              <a16:creationId xmlns:a16="http://schemas.microsoft.com/office/drawing/2014/main" id="{71EC42A4-068F-449F-9BD0-CFE7C19436E2}"/>
            </a:ext>
          </a:extLst>
        </xdr:cNvPr>
        <xdr:cNvGrpSpPr/>
      </xdr:nvGrpSpPr>
      <xdr:grpSpPr>
        <a:xfrm>
          <a:off x="396240" y="924560"/>
          <a:ext cx="7438389" cy="2517036"/>
          <a:chOff x="771525" y="828675"/>
          <a:chExt cx="5766635" cy="2657371"/>
        </a:xfrm>
      </xdr:grpSpPr>
      <xdr:pic>
        <xdr:nvPicPr>
          <xdr:cNvPr id="4" name="Image 4" descr="Content left border">
            <a:extLst>
              <a:ext uri="{FF2B5EF4-FFF2-40B4-BE49-F238E27FC236}">
                <a16:creationId xmlns:a16="http://schemas.microsoft.com/office/drawing/2014/main" id="{CE64E446-4D7C-2670-F036-E31A5E9BA4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1525" y="853670"/>
            <a:ext cx="38095" cy="2632376"/>
          </a:xfrm>
          <a:prstGeom prst="rect">
            <a:avLst/>
          </a:prstGeom>
        </xdr:spPr>
      </xdr:pic>
      <xdr:pic>
        <xdr:nvPicPr>
          <xdr:cNvPr id="5" name="Image 4" descr="Content right border">
            <a:extLst>
              <a:ext uri="{FF2B5EF4-FFF2-40B4-BE49-F238E27FC236}">
                <a16:creationId xmlns:a16="http://schemas.microsoft.com/office/drawing/2014/main" id="{93DACC2A-FEB9-8581-EC22-E6D55B8B9D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00065" y="853670"/>
            <a:ext cx="38095" cy="2632376"/>
          </a:xfrm>
          <a:prstGeom prst="rect">
            <a:avLst/>
          </a:prstGeom>
        </xdr:spPr>
      </xdr:pic>
      <xdr:pic>
        <xdr:nvPicPr>
          <xdr:cNvPr id="6" name="Image 6" descr="Content top border">
            <a:extLst>
              <a:ext uri="{FF2B5EF4-FFF2-40B4-BE49-F238E27FC236}">
                <a16:creationId xmlns:a16="http://schemas.microsoft.com/office/drawing/2014/main" id="{78F7B3AA-F890-164D-0D90-469F0692432D}"/>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40025" b="-140025"/>
          <a:stretch>
            <a:fillRect/>
          </a:stretch>
        </xdr:blipFill>
        <xdr:spPr>
          <a:xfrm>
            <a:off x="805639" y="828675"/>
            <a:ext cx="5702427" cy="69502"/>
          </a:xfrm>
          <a:prstGeom prst="rect">
            <a:avLst/>
          </a:prstGeom>
        </xdr:spPr>
      </xdr:pic>
    </xdr:grpSp>
    <xdr:clientData/>
  </xdr:twoCellAnchor>
  <xdr:twoCellAnchor editAs="oneCell">
    <xdr:from>
      <xdr:col>1</xdr:col>
      <xdr:colOff>133350</xdr:colOff>
      <xdr:row>0</xdr:row>
      <xdr:rowOff>198120</xdr:rowOff>
    </xdr:from>
    <xdr:to>
      <xdr:col>1</xdr:col>
      <xdr:colOff>1069398</xdr:colOff>
      <xdr:row>0</xdr:row>
      <xdr:rowOff>723900</xdr:rowOff>
    </xdr:to>
    <xdr:pic>
      <xdr:nvPicPr>
        <xdr:cNvPr id="7" name="Image 6">
          <a:extLst>
            <a:ext uri="{FF2B5EF4-FFF2-40B4-BE49-F238E27FC236}">
              <a16:creationId xmlns:a16="http://schemas.microsoft.com/office/drawing/2014/main" id="{073595FE-5621-4AE1-92B7-53F145D3E8F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3250" y="198120"/>
          <a:ext cx="936048"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4</xdr:col>
      <xdr:colOff>7620</xdr:colOff>
      <xdr:row>19</xdr:row>
      <xdr:rowOff>53340</xdr:rowOff>
    </xdr:from>
    <xdr:to>
      <xdr:col>5</xdr:col>
      <xdr:colOff>0</xdr:colOff>
      <xdr:row>26</xdr:row>
      <xdr:rowOff>171450</xdr:rowOff>
    </xdr:to>
    <xdr:sp macro="" textlink="">
      <xdr:nvSpPr>
        <xdr:cNvPr id="2" name="Rectangle à coins arrondis 6">
          <a:extLst>
            <a:ext uri="{FF2B5EF4-FFF2-40B4-BE49-F238E27FC236}">
              <a16:creationId xmlns:a16="http://schemas.microsoft.com/office/drawing/2014/main" id="{6F86ECB6-6DBB-45E8-AA7C-C8D2BA8627BF}"/>
            </a:ext>
          </a:extLst>
        </xdr:cNvPr>
        <xdr:cNvSpPr/>
      </xdr:nvSpPr>
      <xdr:spPr>
        <a:xfrm>
          <a:off x="3290570" y="4834890"/>
          <a:ext cx="1008380" cy="14071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t>Fonction</a:t>
          </a:r>
          <a:r>
            <a:rPr lang="fr-CA" sz="1100" baseline="0"/>
            <a:t> Min entre Quantités commandées et Ventes potentielles</a:t>
          </a:r>
          <a:endParaRPr lang="fr-CA" sz="1100"/>
        </a:p>
      </xdr:txBody>
    </xdr:sp>
    <xdr:clientData/>
  </xdr:twoCellAnchor>
  <xdr:twoCellAnchor>
    <xdr:from>
      <xdr:col>10</xdr:col>
      <xdr:colOff>685800</xdr:colOff>
      <xdr:row>19</xdr:row>
      <xdr:rowOff>60960</xdr:rowOff>
    </xdr:from>
    <xdr:to>
      <xdr:col>12</xdr:col>
      <xdr:colOff>245745</xdr:colOff>
      <xdr:row>25</xdr:row>
      <xdr:rowOff>121920</xdr:rowOff>
    </xdr:to>
    <xdr:sp macro="" textlink="">
      <xdr:nvSpPr>
        <xdr:cNvPr id="3" name="Rectangle à coins arrondis 8">
          <a:extLst>
            <a:ext uri="{FF2B5EF4-FFF2-40B4-BE49-F238E27FC236}">
              <a16:creationId xmlns:a16="http://schemas.microsoft.com/office/drawing/2014/main" id="{94C94468-406C-4CBE-AC19-5EC9843E402B}"/>
            </a:ext>
          </a:extLst>
        </xdr:cNvPr>
        <xdr:cNvSpPr/>
      </xdr:nvSpPr>
      <xdr:spPr>
        <a:xfrm>
          <a:off x="9906000" y="4842510"/>
          <a:ext cx="1083945" cy="1165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900"/>
            <a:t> =Si</a:t>
          </a:r>
          <a:r>
            <a:rPr lang="fr-CA" sz="900" baseline="0"/>
            <a:t> </a:t>
          </a:r>
          <a:r>
            <a:rPr lang="fr-CA" sz="900"/>
            <a:t>(ventes</a:t>
          </a:r>
          <a:r>
            <a:rPr lang="fr-CA" sz="900" baseline="0"/>
            <a:t> potentielles </a:t>
          </a:r>
          <a:r>
            <a:rPr lang="fr-CA" sz="900"/>
            <a:t>&gt; ventes réelles</a:t>
          </a:r>
          <a:r>
            <a:rPr lang="fr-CA" sz="900" baseline="0"/>
            <a:t>; Ventes potentielles - ventes réelles ; 0)</a:t>
          </a:r>
          <a:endParaRPr lang="fr-CA" sz="900"/>
        </a:p>
      </xdr:txBody>
    </xdr:sp>
    <xdr:clientData/>
  </xdr:twoCellAnchor>
  <xdr:twoCellAnchor>
    <xdr:from>
      <xdr:col>6</xdr:col>
      <xdr:colOff>7621</xdr:colOff>
      <xdr:row>19</xdr:row>
      <xdr:rowOff>38100</xdr:rowOff>
    </xdr:from>
    <xdr:to>
      <xdr:col>7</xdr:col>
      <xdr:colOff>30481</xdr:colOff>
      <xdr:row>27</xdr:row>
      <xdr:rowOff>129540</xdr:rowOff>
    </xdr:to>
    <xdr:sp macro="" textlink="">
      <xdr:nvSpPr>
        <xdr:cNvPr id="4" name="Rectangle à coins arrondis 6">
          <a:extLst>
            <a:ext uri="{FF2B5EF4-FFF2-40B4-BE49-F238E27FC236}">
              <a16:creationId xmlns:a16="http://schemas.microsoft.com/office/drawing/2014/main" id="{943EF7EC-1BDB-43A0-8F6D-1558197A3920}"/>
            </a:ext>
          </a:extLst>
        </xdr:cNvPr>
        <xdr:cNvSpPr/>
      </xdr:nvSpPr>
      <xdr:spPr>
        <a:xfrm>
          <a:off x="5322571" y="4819650"/>
          <a:ext cx="994410" cy="15646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900"/>
            <a:t> =Si</a:t>
          </a:r>
          <a:r>
            <a:rPr lang="fr-CA" sz="900" baseline="0"/>
            <a:t> </a:t>
          </a:r>
          <a:r>
            <a:rPr lang="fr-CA" sz="900"/>
            <a:t>(qté</a:t>
          </a:r>
          <a:r>
            <a:rPr lang="fr-CA" sz="900" baseline="0"/>
            <a:t> commandée </a:t>
          </a:r>
          <a:r>
            <a:rPr lang="fr-CA" sz="900"/>
            <a:t>&lt; ventes potentielles;</a:t>
          </a:r>
          <a:r>
            <a:rPr lang="fr-CA" sz="900" baseline="0"/>
            <a:t> 0;Quantité commandée -Ventes potentielles</a:t>
          </a:r>
          <a:r>
            <a:rPr lang="fr-CA" sz="1100" baseline="0"/>
            <a:t>)</a:t>
          </a:r>
          <a:endParaRPr lang="fr-CA"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15240</xdr:colOff>
      <xdr:row>16</xdr:row>
      <xdr:rowOff>22860</xdr:rowOff>
    </xdr:from>
    <xdr:to>
      <xdr:col>12</xdr:col>
      <xdr:colOff>289560</xdr:colOff>
      <xdr:row>24</xdr:row>
      <xdr:rowOff>45720</xdr:rowOff>
    </xdr:to>
    <xdr:pic>
      <xdr:nvPicPr>
        <xdr:cNvPr id="2" name="Image 1">
          <a:extLst>
            <a:ext uri="{FF2B5EF4-FFF2-40B4-BE49-F238E27FC236}">
              <a16:creationId xmlns:a16="http://schemas.microsoft.com/office/drawing/2014/main" id="{D13B486B-EC88-4C67-9C7C-19C9F423304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78590" y="3185160"/>
          <a:ext cx="2750820" cy="1496060"/>
        </a:xfrm>
        <a:prstGeom prst="rect">
          <a:avLst/>
        </a:prstGeom>
      </xdr:spPr>
    </xdr:pic>
    <xdr:clientData/>
  </xdr:twoCellAnchor>
  <xdr:twoCellAnchor editAs="oneCell">
    <xdr:from>
      <xdr:col>12</xdr:col>
      <xdr:colOff>297180</xdr:colOff>
      <xdr:row>15</xdr:row>
      <xdr:rowOff>0</xdr:rowOff>
    </xdr:from>
    <xdr:to>
      <xdr:col>16</xdr:col>
      <xdr:colOff>525780</xdr:colOff>
      <xdr:row>25</xdr:row>
      <xdr:rowOff>151130</xdr:rowOff>
    </xdr:to>
    <xdr:pic>
      <xdr:nvPicPr>
        <xdr:cNvPr id="3" name="Image 2">
          <a:extLst>
            <a:ext uri="{FF2B5EF4-FFF2-40B4-BE49-F238E27FC236}">
              <a16:creationId xmlns:a16="http://schemas.microsoft.com/office/drawing/2014/main" id="{27F1EA59-8433-4C32-A73E-FF146A22DD2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37030" y="2978150"/>
          <a:ext cx="3848100" cy="1998980"/>
        </a:xfrm>
        <a:prstGeom prst="rect">
          <a:avLst/>
        </a:prstGeom>
      </xdr:spPr>
    </xdr:pic>
    <xdr:clientData/>
  </xdr:twoCellAnchor>
  <xdr:twoCellAnchor>
    <xdr:from>
      <xdr:col>3</xdr:col>
      <xdr:colOff>1021080</xdr:colOff>
      <xdr:row>0</xdr:row>
      <xdr:rowOff>68580</xdr:rowOff>
    </xdr:from>
    <xdr:to>
      <xdr:col>5</xdr:col>
      <xdr:colOff>1059180</xdr:colOff>
      <xdr:row>6</xdr:row>
      <xdr:rowOff>45720</xdr:rowOff>
    </xdr:to>
    <xdr:sp macro="" textlink="">
      <xdr:nvSpPr>
        <xdr:cNvPr id="4" name="Rectangle à coins arrondis 3">
          <a:extLst>
            <a:ext uri="{FF2B5EF4-FFF2-40B4-BE49-F238E27FC236}">
              <a16:creationId xmlns:a16="http://schemas.microsoft.com/office/drawing/2014/main" id="{80991F7F-4059-4656-9491-2A471D089CC5}"/>
            </a:ext>
          </a:extLst>
        </xdr:cNvPr>
        <xdr:cNvSpPr/>
      </xdr:nvSpPr>
      <xdr:spPr>
        <a:xfrm>
          <a:off x="6418580" y="68580"/>
          <a:ext cx="2241550" cy="110109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fr-CA" sz="1100"/>
            <a:t>Notes</a:t>
          </a:r>
          <a:r>
            <a:rPr lang="fr-CA" sz="1100" baseline="0"/>
            <a:t> de cours: section Calcul des opérations du Trimestre 1 (voir calcul des charges d'exploitation)</a:t>
          </a:r>
          <a:endParaRPr lang="fr-CA" sz="1100"/>
        </a:p>
      </xdr:txBody>
    </xdr:sp>
    <xdr:clientData/>
  </xdr:twoCellAnchor>
  <xdr:twoCellAnchor editAs="oneCell">
    <xdr:from>
      <xdr:col>11</xdr:col>
      <xdr:colOff>213360</xdr:colOff>
      <xdr:row>3</xdr:row>
      <xdr:rowOff>91440</xdr:rowOff>
    </xdr:from>
    <xdr:to>
      <xdr:col>15</xdr:col>
      <xdr:colOff>472440</xdr:colOff>
      <xdr:row>14</xdr:row>
      <xdr:rowOff>99060</xdr:rowOff>
    </xdr:to>
    <xdr:pic>
      <xdr:nvPicPr>
        <xdr:cNvPr id="5" name="Image 4">
          <a:extLst>
            <a:ext uri="{FF2B5EF4-FFF2-40B4-BE49-F238E27FC236}">
              <a16:creationId xmlns:a16="http://schemas.microsoft.com/office/drawing/2014/main" id="{23F8FEB4-101F-42D4-B8B3-5E1E09B15C3A}"/>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91210" y="656590"/>
          <a:ext cx="3878580" cy="22364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3</xdr:col>
      <xdr:colOff>302895</xdr:colOff>
      <xdr:row>2</xdr:row>
      <xdr:rowOff>160020</xdr:rowOff>
    </xdr:from>
    <xdr:to>
      <xdr:col>5</xdr:col>
      <xdr:colOff>348616</xdr:colOff>
      <xdr:row>6</xdr:row>
      <xdr:rowOff>93345</xdr:rowOff>
    </xdr:to>
    <xdr:cxnSp macro="">
      <xdr:nvCxnSpPr>
        <xdr:cNvPr id="2" name="Connecteur droit avec flèche 1">
          <a:extLst>
            <a:ext uri="{FF2B5EF4-FFF2-40B4-BE49-F238E27FC236}">
              <a16:creationId xmlns:a16="http://schemas.microsoft.com/office/drawing/2014/main" id="{69D47AAA-B801-48C6-9362-6C9665EE6662}"/>
            </a:ext>
          </a:extLst>
        </xdr:cNvPr>
        <xdr:cNvCxnSpPr>
          <a:endCxn id="3" idx="1"/>
        </xdr:cNvCxnSpPr>
      </xdr:nvCxnSpPr>
      <xdr:spPr>
        <a:xfrm flipH="1">
          <a:off x="2804795" y="528320"/>
          <a:ext cx="1607821" cy="6508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57151</xdr:colOff>
      <xdr:row>5</xdr:row>
      <xdr:rowOff>9525</xdr:rowOff>
    </xdr:from>
    <xdr:to>
      <xdr:col>3</xdr:col>
      <xdr:colOff>302895</xdr:colOff>
      <xdr:row>8</xdr:row>
      <xdr:rowOff>0</xdr:rowOff>
    </xdr:to>
    <xdr:sp macro="" textlink="">
      <xdr:nvSpPr>
        <xdr:cNvPr id="3" name="Accolade fermante 2">
          <a:extLst>
            <a:ext uri="{FF2B5EF4-FFF2-40B4-BE49-F238E27FC236}">
              <a16:creationId xmlns:a16="http://schemas.microsoft.com/office/drawing/2014/main" id="{AEB21AA4-4ED8-4DAD-BEC8-A5178F2693E6}"/>
            </a:ext>
          </a:extLst>
        </xdr:cNvPr>
        <xdr:cNvSpPr/>
      </xdr:nvSpPr>
      <xdr:spPr>
        <a:xfrm>
          <a:off x="2559051" y="911225"/>
          <a:ext cx="245744" cy="5429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endParaRPr lang="fr-CA"/>
        </a:p>
      </xdr:txBody>
    </xdr:sp>
    <xdr:clientData/>
  </xdr:twoCellAnchor>
  <xdr:twoCellAnchor>
    <xdr:from>
      <xdr:col>4</xdr:col>
      <xdr:colOff>114298</xdr:colOff>
      <xdr:row>9</xdr:row>
      <xdr:rowOff>160019</xdr:rowOff>
    </xdr:from>
    <xdr:to>
      <xdr:col>9</xdr:col>
      <xdr:colOff>462907</xdr:colOff>
      <xdr:row>37</xdr:row>
      <xdr:rowOff>93345</xdr:rowOff>
    </xdr:to>
    <xdr:sp macro="" textlink="">
      <xdr:nvSpPr>
        <xdr:cNvPr id="4" name="Bulle ronde 3">
          <a:extLst>
            <a:ext uri="{FF2B5EF4-FFF2-40B4-BE49-F238E27FC236}">
              <a16:creationId xmlns:a16="http://schemas.microsoft.com/office/drawing/2014/main" id="{0072A8AB-2C2D-4CF7-9576-0616B25E7FF9}"/>
            </a:ext>
          </a:extLst>
        </xdr:cNvPr>
        <xdr:cNvSpPr/>
      </xdr:nvSpPr>
      <xdr:spPr>
        <a:xfrm rot="10800000">
          <a:off x="3378198" y="1798319"/>
          <a:ext cx="4590409" cy="5102226"/>
        </a:xfrm>
        <a:prstGeom prst="wedgeEllipseCallout">
          <a:avLst>
            <a:gd name="adj1" fmla="val -32091"/>
            <a:gd name="adj2" fmla="val 5151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fr-CA"/>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419100</xdr:colOff>
      <xdr:row>1</xdr:row>
      <xdr:rowOff>167640</xdr:rowOff>
    </xdr:from>
    <xdr:to>
      <xdr:col>2</xdr:col>
      <xdr:colOff>822960</xdr:colOff>
      <xdr:row>3</xdr:row>
      <xdr:rowOff>259080</xdr:rowOff>
    </xdr:to>
    <xdr:sp macro="" textlink="">
      <xdr:nvSpPr>
        <xdr:cNvPr id="2" name="Flèche vers le bas 2">
          <a:extLst>
            <a:ext uri="{FF2B5EF4-FFF2-40B4-BE49-F238E27FC236}">
              <a16:creationId xmlns:a16="http://schemas.microsoft.com/office/drawing/2014/main" id="{1B190C3B-4388-492C-83AF-09C11C968DC2}"/>
            </a:ext>
          </a:extLst>
        </xdr:cNvPr>
        <xdr:cNvSpPr/>
      </xdr:nvSpPr>
      <xdr:spPr>
        <a:xfrm>
          <a:off x="2844800" y="351790"/>
          <a:ext cx="403860" cy="46609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xdr:from>
      <xdr:col>3</xdr:col>
      <xdr:colOff>276225</xdr:colOff>
      <xdr:row>7</xdr:row>
      <xdr:rowOff>95250</xdr:rowOff>
    </xdr:from>
    <xdr:to>
      <xdr:col>6</xdr:col>
      <xdr:colOff>342900</xdr:colOff>
      <xdr:row>22</xdr:row>
      <xdr:rowOff>0</xdr:rowOff>
    </xdr:to>
    <xdr:cxnSp macro="">
      <xdr:nvCxnSpPr>
        <xdr:cNvPr id="3" name="Connecteur droit avec flèche 2">
          <a:extLst>
            <a:ext uri="{FF2B5EF4-FFF2-40B4-BE49-F238E27FC236}">
              <a16:creationId xmlns:a16="http://schemas.microsoft.com/office/drawing/2014/main" id="{0CE7A7F2-53FF-4DB7-9EB8-4468E3429AE5}"/>
            </a:ext>
          </a:extLst>
        </xdr:cNvPr>
        <xdr:cNvCxnSpPr/>
      </xdr:nvCxnSpPr>
      <xdr:spPr>
        <a:xfrm flipH="1">
          <a:off x="3781425" y="1771650"/>
          <a:ext cx="3254375" cy="356235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Caroline.Rossignol/OneDrive%20-%20C&#233;gep%20Limoilou/Bureau/Mat&#233;riel%20en%20cours/AFI/Simulation_2023%20-%20modif-janv.xlsx" TargetMode="External"/><Relationship Id="rId1" Type="http://schemas.openxmlformats.org/officeDocument/2006/relationships/externalLinkPath" Target="/Users/Caroline.Rossignol/OneDrive%20-%20C&#233;gep%20Limoilou/Bureau/Mat&#233;riel%20en%20cours/AFI/Simulation_2023%20-%20modif-janv.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ecegeplimoilou-my.sharepoint.com/personal/caroline_rossignol_cegeplimoilou_ca/Documents/Bureau/Mat&#233;riel%20en%20cours/AFI/Simulation_2024%20-C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Caroline.Rossignol/OneDrive%20-%20C&#233;gep%20Limoilou/Bureau/Mat&#233;riel%20en%20cours/AFI/Simulation_2024%20-%20EC.xlsx" TargetMode="External"/><Relationship Id="rId1" Type="http://schemas.openxmlformats.org/officeDocument/2006/relationships/externalLinkPath" Target="/Users/Caroline.Rossignol/OneDrive%20-%20C&#233;gep%20Limoilou/Bureau/Mat&#233;riel%20en%20cours/AFI/Simulation_2024%20-%20EC.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Caroline.Rossignol/Desktop/410-474-LI-%20AFI/0.SIMULATION%20CR/Simulation_2026%20-CR.xlsx" TargetMode="External"/><Relationship Id="rId2" Type="http://schemas.openxmlformats.org/officeDocument/2006/relationships/externalLinkPath" Target="file:///C:\Users\Caroline.Rossignol\Desktop\410-474-LI-%20AFI\0.SIMULATION%20CR\Simulation_2026%20-CR.xlsx" TargetMode="External"/><Relationship Id="rId1" Type="http://schemas.openxmlformats.org/officeDocument/2006/relationships/externalLinkPath" Target="/Users/Caroline.Rossignol/Desktop/410-474-LI-%20AFI/0.SIMULATION%20CR/Simulation_2026%20-C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ntes -ETUD"/>
      <sheetName val="Données"/>
      <sheetName val="demo"/>
      <sheetName val="C2&amp;3 - Projections"/>
      <sheetName val="C4 - Inventaire départ"/>
      <sheetName val="C5&amp;6 - IMMO"/>
      <sheetName val="C7 - Montade financier -achat"/>
      <sheetName val="C7 - Montade financier -loc."/>
      <sheetName val="Bilan - achat"/>
      <sheetName val="Bilan -location"/>
      <sheetName val="JS-A23"/>
      <sheetName val="Bon de commande 1"/>
      <sheetName val="Plan de livraison 1"/>
      <sheetName val="Desgagnés 1"/>
      <sheetName val="Ventes"/>
      <sheetName val="Revenus-Coûts"/>
      <sheetName val="Rentabilité par produit"/>
      <sheetName val="Revenus-Coûts (2)"/>
      <sheetName val="Fx var Fx fix"/>
      <sheetName val="JS-A23 (2)"/>
      <sheetName val="ÉtatFin_TRI1"/>
      <sheetName val="ÉtatFin_TRI2"/>
      <sheetName val="ÉtatFin_Semestre"/>
      <sheetName val="Emprunt"/>
      <sheetName val="salaire"/>
      <sheetName val="Bon de commande (2)"/>
      <sheetName val="Desgagnés (2)"/>
      <sheetName val="Plan de livraison (2)"/>
      <sheetName val="salaire (2)"/>
      <sheetName val="Simulation_2023 - modif-jan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A4" t="str">
            <v>P1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sheetName val="demo"/>
      <sheetName val="S1 - Projections"/>
      <sheetName val="S2- Inventaire départ"/>
      <sheetName val="S3 - IMMO"/>
      <sheetName val="S4 - Montage financier"/>
      <sheetName val="Bon de commande 1"/>
      <sheetName val="Desgagnés 1"/>
      <sheetName val="Outil - Ventes - gr01"/>
      <sheetName val="S5 - Outil - Ventes  "/>
      <sheetName val="S6 - Outil - Charges"/>
      <sheetName val="S6 -Emprunt"/>
      <sheetName val="S6 - salaire"/>
      <sheetName val="S6 - Transaction Acomba"/>
      <sheetName val="ÉDR-TRIM 1"/>
      <sheetName val="Rentabilité par produit"/>
      <sheetName val="Revenus-Coûts (2)"/>
      <sheetName val="Fx var Fx fix"/>
      <sheetName val="JS-A23 (2)"/>
      <sheetName val="Bon de commande (2)"/>
      <sheetName val="Desgagnés (2)"/>
      <sheetName val="Plan de livraison (2)"/>
      <sheetName val="salaire (2)"/>
      <sheetName val="Simulation_2024 -CR"/>
    </sheetNames>
    <sheetDataSet>
      <sheetData sheetId="0"/>
      <sheetData sheetId="1"/>
      <sheetData sheetId="2"/>
      <sheetData sheetId="3"/>
      <sheetData sheetId="4">
        <row r="51">
          <cell r="E51">
            <v>4000</v>
          </cell>
        </row>
      </sheetData>
      <sheetData sheetId="5">
        <row r="2">
          <cell r="P2">
            <v>0.11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nnées"/>
      <sheetName val="demo"/>
      <sheetName val="C2&amp;3 - Projections"/>
      <sheetName val="C4 - Inventaire départ"/>
      <sheetName val="S3 - IMMO"/>
      <sheetName val="S4 - Montage financier"/>
      <sheetName val="tableau"/>
      <sheetName val="C7 - Montade financier -achat"/>
      <sheetName val="C7 - Montade financier -loc."/>
      <sheetName val="Bilan - achat"/>
      <sheetName val="Bilan -location"/>
      <sheetName val="JS-A23"/>
      <sheetName val="Bon de commande 1"/>
      <sheetName val="Plan de livraison 1"/>
      <sheetName val="Desgagnés 1"/>
      <sheetName val="Ventes"/>
      <sheetName val="Outil - Ventes   (2)"/>
      <sheetName val="Outil - Ventes  "/>
      <sheetName val="Outil - Ventes TRIM1"/>
      <sheetName val="Outil - Charges"/>
      <sheetName val="Revenus-Coûts"/>
      <sheetName val="Rentabilité par produit"/>
      <sheetName val="Revenus-Coûts (2)"/>
      <sheetName val="Fx var Fx fix"/>
      <sheetName val="JS-A23 (2)"/>
      <sheetName val="ÉtatFin_TRI1"/>
      <sheetName val="ÉtatFin_TRI2"/>
      <sheetName val="ÉtatFin_Semestre"/>
      <sheetName val="Emprunt"/>
      <sheetName val="salaire"/>
      <sheetName val="Bon de commande (2)"/>
      <sheetName val="Desgagnés (2)"/>
      <sheetName val="Plan de livraison (2)"/>
      <sheetName val="salaire (2)"/>
      <sheetName val="Simulation_2024 - 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nnées"/>
      <sheetName val="demo"/>
      <sheetName val="S1 - Projections"/>
      <sheetName val="S2- Inventaire départ"/>
      <sheetName val="S3 - IMMO"/>
      <sheetName val="S4 - Montage financier"/>
      <sheetName val="Bon de commande 1"/>
      <sheetName val="Desgagnés 1"/>
      <sheetName val="Outil - Ventes - gr01"/>
      <sheetName val="Outil - Ventes - gr02"/>
      <sheetName val="S5 - Outil - Ventes  "/>
      <sheetName val="S6 - Outil - Charges"/>
      <sheetName val="S6 -Emprunt"/>
      <sheetName val="S6 - salaire"/>
      <sheetName val="S6 - Transaction Acomba"/>
      <sheetName val="ÉDR-TRIM 1"/>
      <sheetName val="Bilan-TRIM1"/>
      <sheetName val="Bon de commande Trim 2"/>
      <sheetName val="Desgagnés TRIM 2"/>
      <sheetName val="S8 - Com. 2 -gr02"/>
      <sheetName val="S8- Commande 2"/>
      <sheetName val="Bon de commande TRIM2"/>
      <sheetName val="Desgagnés TRIM2"/>
      <sheetName val="S8 - Outil - Ventes  TRIM2 -v2"/>
      <sheetName val="S8 - Outil - Ventes_TRIM2"/>
      <sheetName val="S8 - Outil - Charges"/>
      <sheetName val="S8 -Emprunt"/>
      <sheetName val="S8 - salaire"/>
      <sheetName val="S8 - Transaction Acomba"/>
      <sheetName val="ÉDR-Final"/>
      <sheetName val="Bilan-Final"/>
      <sheetName val="S9 - Rentabilité par produit"/>
      <sheetName val="S9 - Rentabilité par prod. (ex)"/>
      <sheetName val="S9 - Rentabilité par prod. ETUD"/>
      <sheetName val="Fx var et Fx fixe"/>
      <sheetName val="Simulation_2026 -CR"/>
    </sheetNames>
    <sheetDataSet>
      <sheetData sheetId="0">
        <row r="6">
          <cell r="B6" t="str">
            <v>P1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38132-5DE3-4038-BCC1-3E5BF3751FE6}" name="Facture" displayName="Facture" ref="B15:E26" totalsRowCount="1" headerRowDxfId="33">
  <autoFilter ref="B15:E25" xr:uid="{00000000-0009-0000-0100-000001000000}">
    <filterColumn colId="0" hiddenButton="1"/>
    <filterColumn colId="1" hiddenButton="1"/>
    <filterColumn colId="2" hiddenButton="1"/>
    <filterColumn colId="3" hiddenButton="1"/>
  </autoFilter>
  <tableColumns count="4">
    <tableColumn id="1" xr3:uid="{C17515D9-BF32-4943-A46D-4C215B0FA1A1}" name="Quantité" dataDxfId="32" totalsRowDxfId="31" dataCellStyle="Normal 2"/>
    <tableColumn id="2" xr3:uid="{6E39E4C3-094C-4C61-8D76-2A6EB4A8C119}" name="Description" dataDxfId="30" totalsRowDxfId="29" dataCellStyle="Normal 2"/>
    <tableColumn id="4" xr3:uid="{5CB65AAC-1121-4A3B-AF70-4B90FD0D2191}" name="Prix unitaire" totalsRowLabel="Sous-total" dataDxfId="28" totalsRowDxfId="27" dataCellStyle="Normal 2"/>
    <tableColumn id="5" xr3:uid="{F70B5DE7-9DF9-4C07-BEEE-DC1ABDD5B266}" name="Total de la ligne" totalsRowFunction="custom" dataDxfId="26" totalsRowDxfId="25" dataCellStyle="Monétaire">
      <calculatedColumnFormula>Facture[[#This Row],[Prix unitaire]]*Facture[[#This Row],[Quantité]]</calculatedColumnFormula>
      <totalsRowFormula>SUM(Facture[Total de la ligne])</totalsRowFormula>
    </tableColumn>
  </tableColumns>
  <tableStyleInfo name="Service Invoice" showFirstColumn="0" showLastColumn="1" showRowStripes="1" showColumnStripes="0"/>
  <extLst>
    <ext xmlns:x14="http://schemas.microsoft.com/office/spreadsheetml/2009/9/main" uri="{504A1905-F514-4f6f-8877-14C23A59335A}">
      <x14:table altTextSummary="Entrez la quantité, la description et le prix unitaire dans ce tableau. Le total de la ligne et le sous-total sont calculés automatiqueme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3F8500-6B2A-4E05-9666-5A5E0F3C4553}" name="Table_SalesReceiptDetails" displayName="Table_SalesReceiptDetails" ref="B9:G22" totalsRowShown="0" headerRowDxfId="24" dataDxfId="23">
  <tableColumns count="6">
    <tableColumn id="1" xr3:uid="{E0B09D86-CA23-44B5-816A-94CD8B51D569}" name="Quantité" dataDxfId="22"/>
    <tableColumn id="2" xr3:uid="{E20F0C63-07A2-4EF8-8B0F-334CBB3E8896}" name="Nº de l’article" dataDxfId="21"/>
    <tableColumn id="3" xr3:uid="{6C120E27-0BD2-4897-936D-B4EB728A4766}" name="Description" dataDxfId="20"/>
    <tableColumn id="4" xr3:uid="{2C76B7E7-E694-4967-8642-7862F62D184F}" name="Prix unitaire" dataDxfId="19"/>
    <tableColumn id="5" xr3:uid="{6B4547C0-650F-4DA4-8ED4-B9DB3DE8EB56}" name="Remise" dataDxfId="18" dataCellStyle="Pourcentage"/>
    <tableColumn id="6" xr3:uid="{807F462D-104B-48CE-A357-0E114DAE6AE7}" name="Total de la ligne" dataDxfId="17" dataCellStyle="Monétaire">
      <calculatedColumnFormula>Table_SalesReceiptDetails[[#This Row],[Quantité]]*Table_SalesReceiptDetails[[#This Row],[Prix unitaire]]</calculatedColumnFormula>
    </tableColumn>
  </tableColumns>
  <tableStyleInfo name="Tableau d’entrepris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99B48E-33A3-4E60-9C1D-6722DADEEDC8}" name="Table_SalesReceiptDetails6" displayName="Table_SalesReceiptDetails6" ref="B9:G22" totalsRowShown="0" headerRowDxfId="16" dataDxfId="15">
  <tableColumns count="6">
    <tableColumn id="1" xr3:uid="{C10F5573-E28B-48E6-953B-47D32864588A}" name="Quantité" dataDxfId="14">
      <calculatedColumnFormula>'S8 – Commande TRIM 2'!F4</calculatedColumnFormula>
    </tableColumn>
    <tableColumn id="2" xr3:uid="{A44D75D4-18F1-45FA-A7B0-116BCEE695EF}" name="Nº de l’article" dataDxfId="13"/>
    <tableColumn id="3" xr3:uid="{3273884E-616D-4D3C-B452-C253EF53E162}" name="Description" dataDxfId="12"/>
    <tableColumn id="4" xr3:uid="{E508C0D2-62B7-4D28-9D5E-6A4AE8671523}" name="Prix unitaire" dataDxfId="11">
      <calculatedColumnFormula>'S8 – Commande TRIM 2'!G4</calculatedColumnFormula>
    </tableColumn>
    <tableColumn id="5" xr3:uid="{390DFB32-3F95-4F54-AEA5-88E21FB9C52D}" name="Remise" dataDxfId="10" dataCellStyle="Pourcentage"/>
    <tableColumn id="6" xr3:uid="{625D8546-4A4B-4ECA-B372-92494601562A}" name="Total de la ligne" dataDxfId="9" dataCellStyle="Monétaire">
      <calculatedColumnFormula>Table_SalesReceiptDetails6[[#This Row],[Quantité]]*Table_SalesReceiptDetails6[[#This Row],[Prix unitaire]]</calculatedColumnFormula>
    </tableColumn>
  </tableColumns>
  <tableStyleInfo name="Tableau d’entrepris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824ABF-18E3-4BF3-BC10-55A5DCAC4985}" name="Facture5" displayName="Facture5" ref="B15:E26" totalsRowCount="1" headerRowDxfId="8">
  <autoFilter ref="B15:E25" xr:uid="{00000000-0009-0000-0100-000001000000}">
    <filterColumn colId="0" hiddenButton="1"/>
    <filterColumn colId="1" hiddenButton="1"/>
    <filterColumn colId="2" hiddenButton="1"/>
    <filterColumn colId="3" hiddenButton="1"/>
  </autoFilter>
  <tableColumns count="4">
    <tableColumn id="1" xr3:uid="{7DDBAD34-D78E-4899-B464-0C0232DFA780}" name="Quantité" dataDxfId="7" totalsRowDxfId="6" dataCellStyle="Normal 2"/>
    <tableColumn id="2" xr3:uid="{D19F956F-2A1A-448E-8EB2-9807F477A0F0}" name="Description" dataDxfId="5" totalsRowDxfId="4" dataCellStyle="Normal 2"/>
    <tableColumn id="4" xr3:uid="{BC19EFC2-12F5-4985-843F-AF1393651BEF}" name="Prix unitaire" totalsRowLabel="Sous-total" dataDxfId="3" totalsRowDxfId="2" dataCellStyle="Normal 2"/>
    <tableColumn id="5" xr3:uid="{0FD89AFB-5434-42B5-8E2C-EDB38322FC99}" name="Total de la ligne" totalsRowFunction="custom" dataDxfId="1" totalsRowDxfId="0" dataCellStyle="Monétaire">
      <calculatedColumnFormula>Facture5[[#This Row],[Prix unitaire]]*Facture5[[#This Row],[Quantité]]</calculatedColumnFormula>
      <totalsRowFormula>SUM(Facture5[Total de la ligne])</totalsRowFormula>
    </tableColumn>
  </tableColumns>
  <tableStyleInfo name="Service Invoice" showFirstColumn="0" showLastColumn="1" showRowStripes="1" showColumnStripes="0"/>
  <extLst>
    <ext xmlns:x14="http://schemas.microsoft.com/office/spreadsheetml/2009/9/main" uri="{504A1905-F514-4f6f-8877-14C23A59335A}">
      <x14:table altTextSummary="Entrez la quantité, la description et le prix unitaire dans ce tableau. Le total de la ligne et le sous-total sont calculés automatiquement."/>
    </ext>
  </extLst>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mailto:Service@DGT.com" TargetMode="Externa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mailto:Service@DGT.com" TargetMode="External"/><Relationship Id="rId4"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comments" Target="../comments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4A14-70E6-4366-BD40-020B014C0471}">
  <dimension ref="A1:AU44"/>
  <sheetViews>
    <sheetView topLeftCell="C2" zoomScaleNormal="100" workbookViewId="0">
      <selection activeCell="N6" sqref="N6"/>
    </sheetView>
  </sheetViews>
  <sheetFormatPr baseColWidth="10" defaultRowHeight="14.5" x14ac:dyDescent="0.35"/>
  <cols>
    <col min="1" max="1" width="15.36328125" customWidth="1"/>
    <col min="8" max="8" width="12.7265625" customWidth="1"/>
    <col min="13" max="13" width="20.36328125" customWidth="1"/>
    <col min="14" max="14" width="16.453125" customWidth="1"/>
    <col min="35" max="46" width="12.36328125" bestFit="1" customWidth="1"/>
  </cols>
  <sheetData>
    <row r="1" spans="1:47" x14ac:dyDescent="0.35">
      <c r="A1" s="722" t="s">
        <v>74</v>
      </c>
      <c r="B1" s="722"/>
      <c r="H1" s="53"/>
      <c r="I1" s="53"/>
      <c r="J1" s="53"/>
      <c r="K1" s="53"/>
      <c r="L1" s="53"/>
      <c r="M1" s="53"/>
    </row>
    <row r="2" spans="1:47" x14ac:dyDescent="0.35">
      <c r="H2" s="53"/>
      <c r="I2" s="53"/>
      <c r="J2" s="53"/>
      <c r="K2" s="53"/>
      <c r="L2" s="53"/>
      <c r="M2" s="53"/>
    </row>
    <row r="3" spans="1:47" ht="15" thickBot="1" x14ac:dyDescent="0.4">
      <c r="H3" s="53"/>
      <c r="I3" s="53"/>
      <c r="J3" s="53"/>
      <c r="K3" s="53"/>
      <c r="L3" s="53"/>
      <c r="M3" s="53"/>
    </row>
    <row r="4" spans="1:47" ht="24" customHeight="1" x14ac:dyDescent="0.35">
      <c r="A4" s="14"/>
      <c r="B4" s="723" t="s">
        <v>24</v>
      </c>
      <c r="C4" s="733" t="s">
        <v>0</v>
      </c>
      <c r="D4" s="725" t="s">
        <v>27</v>
      </c>
      <c r="E4" s="725" t="s">
        <v>28</v>
      </c>
      <c r="F4" s="725" t="s">
        <v>29</v>
      </c>
      <c r="G4" s="725" t="s">
        <v>38</v>
      </c>
      <c r="H4" s="725" t="s">
        <v>1</v>
      </c>
      <c r="I4" s="725" t="s">
        <v>2</v>
      </c>
      <c r="J4" s="725" t="s">
        <v>3</v>
      </c>
      <c r="K4" s="728" t="s">
        <v>25</v>
      </c>
      <c r="L4" s="730" t="s">
        <v>26</v>
      </c>
      <c r="M4" s="732" t="s">
        <v>73</v>
      </c>
      <c r="N4" s="721" t="s">
        <v>72</v>
      </c>
    </row>
    <row r="5" spans="1:47" ht="15" thickBot="1" x14ac:dyDescent="0.4">
      <c r="A5" s="14"/>
      <c r="B5" s="724"/>
      <c r="C5" s="734"/>
      <c r="D5" s="726"/>
      <c r="E5" s="726"/>
      <c r="F5" s="727"/>
      <c r="G5" s="726"/>
      <c r="H5" s="726"/>
      <c r="I5" s="726"/>
      <c r="J5" s="726"/>
      <c r="K5" s="729"/>
      <c r="L5" s="731"/>
      <c r="M5" s="732"/>
      <c r="N5" s="721"/>
    </row>
    <row r="6" spans="1:47" ht="15" thickBot="1" x14ac:dyDescent="0.4">
      <c r="B6" s="1" t="s">
        <v>4</v>
      </c>
      <c r="C6" s="2" t="s">
        <v>5</v>
      </c>
      <c r="D6" s="8">
        <v>1</v>
      </c>
      <c r="E6" s="3">
        <v>0.4</v>
      </c>
      <c r="F6" s="10">
        <v>0.45</v>
      </c>
      <c r="G6" s="12">
        <f>D6*E6*F6</f>
        <v>0.18000000000000002</v>
      </c>
      <c r="H6" s="3">
        <v>6.75</v>
      </c>
      <c r="I6" s="4">
        <v>10.87</v>
      </c>
      <c r="J6" s="2">
        <v>50</v>
      </c>
      <c r="K6" s="5">
        <v>5390</v>
      </c>
      <c r="L6" s="16">
        <v>5080</v>
      </c>
      <c r="M6" s="17">
        <f>AVERAGE(K6:L6)</f>
        <v>5235</v>
      </c>
      <c r="N6" s="17">
        <f>M6*Données!$F$26</f>
        <v>1555.7206537890045</v>
      </c>
    </row>
    <row r="7" spans="1:47" ht="15" thickBot="1" x14ac:dyDescent="0.4">
      <c r="B7" s="1" t="s">
        <v>6</v>
      </c>
      <c r="C7" s="2" t="s">
        <v>7</v>
      </c>
      <c r="D7" s="9">
        <v>0.5</v>
      </c>
      <c r="E7" s="3">
        <v>0.5</v>
      </c>
      <c r="F7" s="11">
        <v>0.9</v>
      </c>
      <c r="G7" s="11">
        <f t="shared" ref="G7:G18" si="0">D7*E7*F7</f>
        <v>0.22500000000000001</v>
      </c>
      <c r="H7" s="3">
        <v>13.5</v>
      </c>
      <c r="I7" s="4">
        <v>21.74</v>
      </c>
      <c r="J7" s="2">
        <v>100</v>
      </c>
      <c r="K7" s="5">
        <v>6290</v>
      </c>
      <c r="L7" s="16">
        <v>5980</v>
      </c>
      <c r="M7" s="17">
        <f t="shared" ref="M7:M11" si="1">AVERAGE(K7:L7)</f>
        <v>6135</v>
      </c>
      <c r="N7" s="17">
        <f>M7*Données!$F$26</f>
        <v>1823.1797919762259</v>
      </c>
    </row>
    <row r="8" spans="1:47" ht="15" thickBot="1" x14ac:dyDescent="0.4">
      <c r="A8" s="15" t="s">
        <v>31</v>
      </c>
      <c r="B8" s="1" t="s">
        <v>30</v>
      </c>
      <c r="C8" s="2" t="s">
        <v>8</v>
      </c>
      <c r="D8" s="9">
        <v>0.9</v>
      </c>
      <c r="E8" s="3">
        <v>0.5</v>
      </c>
      <c r="F8" s="11">
        <v>1.5</v>
      </c>
      <c r="G8" s="11">
        <f t="shared" si="0"/>
        <v>0.67500000000000004</v>
      </c>
      <c r="H8" s="3">
        <v>20</v>
      </c>
      <c r="I8" s="4">
        <v>35.020000000000003</v>
      </c>
      <c r="J8" s="2">
        <v>100</v>
      </c>
      <c r="K8" s="5">
        <v>3880</v>
      </c>
      <c r="L8" s="16">
        <v>3370</v>
      </c>
      <c r="M8" s="17">
        <f t="shared" si="1"/>
        <v>3625</v>
      </c>
      <c r="N8" s="17">
        <f>M8*Données!$F$26</f>
        <v>1077.2659732540862</v>
      </c>
      <c r="AI8">
        <f>$AD8*(1+AI$5)</f>
        <v>0</v>
      </c>
      <c r="AJ8">
        <f t="shared" ref="AJ8:AT8" si="2">$AD8*1+(AJ$5)</f>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SUM(AI8:AT8)</f>
        <v>0</v>
      </c>
    </row>
    <row r="9" spans="1:47" ht="15" thickBot="1" x14ac:dyDescent="0.4">
      <c r="B9" s="1" t="s">
        <v>9</v>
      </c>
      <c r="C9" s="2" t="s">
        <v>10</v>
      </c>
      <c r="D9" s="9">
        <v>1</v>
      </c>
      <c r="E9" s="3">
        <v>0.5</v>
      </c>
      <c r="F9" s="11">
        <v>1</v>
      </c>
      <c r="G9" s="11">
        <f t="shared" si="0"/>
        <v>0.5</v>
      </c>
      <c r="H9" s="3">
        <v>29</v>
      </c>
      <c r="I9" s="4">
        <v>42.26</v>
      </c>
      <c r="J9" s="2">
        <v>100</v>
      </c>
      <c r="K9" s="5">
        <v>2960</v>
      </c>
      <c r="L9" s="16">
        <v>2760</v>
      </c>
      <c r="M9" s="17">
        <f t="shared" si="1"/>
        <v>2860</v>
      </c>
      <c r="N9" s="17">
        <f>M9*Données!$F$26</f>
        <v>849.92570579494804</v>
      </c>
      <c r="AI9">
        <f>$N9*(1+AI$5)</f>
        <v>849.92570579494804</v>
      </c>
      <c r="AJ9">
        <f t="shared" ref="AJ9:AT9" si="3">$N9*(1+AJ$5)</f>
        <v>849.92570579494804</v>
      </c>
      <c r="AK9">
        <f t="shared" si="3"/>
        <v>849.92570579494804</v>
      </c>
      <c r="AL9">
        <f t="shared" si="3"/>
        <v>849.92570579494804</v>
      </c>
      <c r="AM9">
        <f t="shared" si="3"/>
        <v>849.92570579494804</v>
      </c>
      <c r="AN9">
        <f t="shared" si="3"/>
        <v>849.92570579494804</v>
      </c>
      <c r="AO9">
        <f t="shared" si="3"/>
        <v>849.92570579494804</v>
      </c>
      <c r="AP9">
        <f t="shared" si="3"/>
        <v>849.92570579494804</v>
      </c>
      <c r="AQ9">
        <f t="shared" si="3"/>
        <v>849.92570579494804</v>
      </c>
      <c r="AR9">
        <f t="shared" si="3"/>
        <v>849.92570579494804</v>
      </c>
      <c r="AS9">
        <f t="shared" si="3"/>
        <v>849.92570579494804</v>
      </c>
      <c r="AT9">
        <f t="shared" si="3"/>
        <v>849.92570579494804</v>
      </c>
      <c r="AU9">
        <f>SUM(AI9:AT9)</f>
        <v>10199.108469539377</v>
      </c>
    </row>
    <row r="10" spans="1:47" ht="15" thickBot="1" x14ac:dyDescent="0.4">
      <c r="B10" s="1" t="s">
        <v>11</v>
      </c>
      <c r="C10" s="2" t="s">
        <v>12</v>
      </c>
      <c r="D10" s="9">
        <v>0.5</v>
      </c>
      <c r="E10" s="3">
        <v>1</v>
      </c>
      <c r="F10" s="11">
        <v>1.5</v>
      </c>
      <c r="G10" s="11">
        <f t="shared" si="0"/>
        <v>0.75</v>
      </c>
      <c r="H10" s="3">
        <v>35</v>
      </c>
      <c r="I10" s="4">
        <v>59.17</v>
      </c>
      <c r="J10" s="2">
        <v>50</v>
      </c>
      <c r="K10" s="5">
        <v>4800</v>
      </c>
      <c r="L10" s="16">
        <v>4700</v>
      </c>
      <c r="M10" s="17">
        <f>AVERAGE(K10:L10)</f>
        <v>4750</v>
      </c>
      <c r="N10" s="17">
        <f>M10*Données!$F$26</f>
        <v>1411.5898959881129</v>
      </c>
      <c r="AU10">
        <f t="shared" ref="AU10:AU20" si="4">SUM(AI10:AT10)</f>
        <v>0</v>
      </c>
    </row>
    <row r="11" spans="1:47" ht="15" thickBot="1" x14ac:dyDescent="0.4">
      <c r="A11" s="15" t="s">
        <v>31</v>
      </c>
      <c r="B11" s="1" t="s">
        <v>32</v>
      </c>
      <c r="C11" s="2" t="s">
        <v>13</v>
      </c>
      <c r="D11" s="9">
        <v>0.5</v>
      </c>
      <c r="E11" s="3">
        <v>1</v>
      </c>
      <c r="F11" s="11">
        <v>1.8</v>
      </c>
      <c r="G11" s="11">
        <f t="shared" si="0"/>
        <v>0.9</v>
      </c>
      <c r="H11" s="3">
        <v>42</v>
      </c>
      <c r="I11" s="4">
        <v>64</v>
      </c>
      <c r="J11" s="2">
        <v>100</v>
      </c>
      <c r="K11" s="5">
        <v>1690</v>
      </c>
      <c r="L11" s="16">
        <v>1590</v>
      </c>
      <c r="M11" s="17">
        <f t="shared" si="1"/>
        <v>1640</v>
      </c>
      <c r="N11" s="17">
        <f>M11*Données!$F$26</f>
        <v>487.36998514115896</v>
      </c>
      <c r="AI11">
        <f>$N11*(1+AI$5)</f>
        <v>487.36998514115896</v>
      </c>
      <c r="AJ11">
        <f t="shared" ref="AJ11:AT12" si="5">$N11*(1+AJ$5)</f>
        <v>487.36998514115896</v>
      </c>
      <c r="AK11">
        <f t="shared" si="5"/>
        <v>487.36998514115896</v>
      </c>
      <c r="AL11">
        <f t="shared" si="5"/>
        <v>487.36998514115896</v>
      </c>
      <c r="AM11">
        <f t="shared" si="5"/>
        <v>487.36998514115896</v>
      </c>
      <c r="AN11">
        <f t="shared" si="5"/>
        <v>487.36998514115896</v>
      </c>
      <c r="AO11">
        <f t="shared" si="5"/>
        <v>487.36998514115896</v>
      </c>
      <c r="AP11">
        <f t="shared" si="5"/>
        <v>487.36998514115896</v>
      </c>
      <c r="AQ11">
        <f t="shared" si="5"/>
        <v>487.36998514115896</v>
      </c>
      <c r="AR11">
        <f t="shared" si="5"/>
        <v>487.36998514115896</v>
      </c>
      <c r="AS11">
        <f t="shared" si="5"/>
        <v>487.36998514115896</v>
      </c>
      <c r="AT11">
        <f t="shared" si="5"/>
        <v>487.36998514115896</v>
      </c>
      <c r="AU11">
        <f>SUM(AI11:AT11)</f>
        <v>5848.439821693908</v>
      </c>
    </row>
    <row r="12" spans="1:47" ht="15" thickBot="1" x14ac:dyDescent="0.4">
      <c r="B12" s="1" t="s">
        <v>14</v>
      </c>
      <c r="C12" s="2" t="s">
        <v>15</v>
      </c>
      <c r="D12" s="9">
        <v>0.5</v>
      </c>
      <c r="E12" s="3">
        <v>1</v>
      </c>
      <c r="F12" s="11">
        <v>1.75</v>
      </c>
      <c r="G12" s="11">
        <f t="shared" si="0"/>
        <v>0.875</v>
      </c>
      <c r="H12" s="3">
        <v>54</v>
      </c>
      <c r="I12" s="4">
        <v>82.11</v>
      </c>
      <c r="J12" s="2">
        <v>50</v>
      </c>
      <c r="K12" s="5">
        <v>2480</v>
      </c>
      <c r="L12" s="16">
        <v>2430</v>
      </c>
      <c r="M12" s="17">
        <f>AVERAGE(K12:L12)</f>
        <v>2455</v>
      </c>
      <c r="N12" s="17">
        <f>M12*Données!$F$26</f>
        <v>729.56909361069836</v>
      </c>
      <c r="AI12">
        <f>$N12*(1+AI$5)</f>
        <v>729.56909361069836</v>
      </c>
      <c r="AJ12">
        <f t="shared" si="5"/>
        <v>729.56909361069836</v>
      </c>
      <c r="AK12">
        <f t="shared" si="5"/>
        <v>729.56909361069836</v>
      </c>
      <c r="AL12">
        <f t="shared" si="5"/>
        <v>729.56909361069836</v>
      </c>
      <c r="AM12">
        <f t="shared" si="5"/>
        <v>729.56909361069836</v>
      </c>
      <c r="AN12">
        <f t="shared" si="5"/>
        <v>729.56909361069836</v>
      </c>
      <c r="AO12">
        <f t="shared" si="5"/>
        <v>729.56909361069836</v>
      </c>
      <c r="AP12">
        <f t="shared" si="5"/>
        <v>729.56909361069836</v>
      </c>
      <c r="AQ12">
        <f t="shared" si="5"/>
        <v>729.56909361069836</v>
      </c>
      <c r="AR12">
        <f t="shared" si="5"/>
        <v>729.56909361069836</v>
      </c>
      <c r="AS12">
        <f t="shared" si="5"/>
        <v>729.56909361069836</v>
      </c>
      <c r="AT12">
        <f t="shared" si="5"/>
        <v>729.56909361069836</v>
      </c>
      <c r="AU12">
        <f t="shared" si="4"/>
        <v>8754.8291233283799</v>
      </c>
    </row>
    <row r="13" spans="1:47" ht="15" thickBot="1" x14ac:dyDescent="0.4">
      <c r="B13" s="1" t="s">
        <v>16</v>
      </c>
      <c r="C13" s="2" t="s">
        <v>17</v>
      </c>
      <c r="D13" s="9">
        <v>1.8</v>
      </c>
      <c r="E13" s="3">
        <v>1</v>
      </c>
      <c r="F13" s="11">
        <v>1</v>
      </c>
      <c r="G13" s="11">
        <f t="shared" si="0"/>
        <v>1.8</v>
      </c>
      <c r="H13" s="3">
        <v>59</v>
      </c>
      <c r="I13" s="4">
        <v>85.73</v>
      </c>
      <c r="J13" s="2">
        <v>10</v>
      </c>
      <c r="K13" s="5">
        <v>7530</v>
      </c>
      <c r="L13" s="16">
        <v>7490</v>
      </c>
      <c r="M13" s="17">
        <f t="shared" ref="M13:M18" si="6">AVERAGE(K13:L13)</f>
        <v>7510</v>
      </c>
      <c r="N13" s="17">
        <f>M13*Données!$F$26</f>
        <v>2231.7979197622585</v>
      </c>
      <c r="AU13">
        <f t="shared" si="4"/>
        <v>0</v>
      </c>
    </row>
    <row r="14" spans="1:47" ht="15" thickBot="1" x14ac:dyDescent="0.4">
      <c r="A14" s="15" t="s">
        <v>31</v>
      </c>
      <c r="B14" s="1" t="s">
        <v>33</v>
      </c>
      <c r="C14" s="2" t="s">
        <v>18</v>
      </c>
      <c r="D14" s="9">
        <v>0.9</v>
      </c>
      <c r="E14" s="3">
        <v>0.5</v>
      </c>
      <c r="F14" s="11">
        <v>1.25</v>
      </c>
      <c r="G14" s="11">
        <f t="shared" si="0"/>
        <v>0.5625</v>
      </c>
      <c r="H14" s="3">
        <v>66</v>
      </c>
      <c r="I14" s="4">
        <v>108.68</v>
      </c>
      <c r="J14" s="2">
        <v>10</v>
      </c>
      <c r="K14" s="5">
        <v>4290</v>
      </c>
      <c r="L14" s="16">
        <v>4260</v>
      </c>
      <c r="M14" s="17">
        <f>AVERAGE(K14:L14)</f>
        <v>4275</v>
      </c>
      <c r="N14" s="17">
        <f>M14*Données!$F$26</f>
        <v>1270.4309063893015</v>
      </c>
      <c r="AI14" s="6">
        <f>$N14*(1+AI$5)</f>
        <v>1270.4309063893015</v>
      </c>
      <c r="AJ14" s="6">
        <f t="shared" ref="AJ14:AT15" si="7">$N14*(1+AJ$5)</f>
        <v>1270.4309063893015</v>
      </c>
      <c r="AK14" s="6">
        <f t="shared" si="7"/>
        <v>1270.4309063893015</v>
      </c>
      <c r="AL14" s="6">
        <f t="shared" si="7"/>
        <v>1270.4309063893015</v>
      </c>
      <c r="AM14" s="6">
        <f t="shared" si="7"/>
        <v>1270.4309063893015</v>
      </c>
      <c r="AN14" s="6">
        <f t="shared" si="7"/>
        <v>1270.4309063893015</v>
      </c>
      <c r="AO14" s="6">
        <f t="shared" si="7"/>
        <v>1270.4309063893015</v>
      </c>
      <c r="AP14" s="6">
        <f t="shared" si="7"/>
        <v>1270.4309063893015</v>
      </c>
      <c r="AQ14" s="6">
        <f t="shared" si="7"/>
        <v>1270.4309063893015</v>
      </c>
      <c r="AR14" s="6">
        <f t="shared" si="7"/>
        <v>1270.4309063893015</v>
      </c>
      <c r="AS14" s="6">
        <f t="shared" si="7"/>
        <v>1270.4309063893015</v>
      </c>
      <c r="AT14" s="6">
        <f t="shared" si="7"/>
        <v>1270.4309063893015</v>
      </c>
      <c r="AU14" s="6">
        <f>SUM(AI14:AT14)</f>
        <v>15245.170876671618</v>
      </c>
    </row>
    <row r="15" spans="1:47" ht="15" thickBot="1" x14ac:dyDescent="0.4">
      <c r="B15" s="1" t="s">
        <v>19</v>
      </c>
      <c r="C15" s="2" t="s">
        <v>20</v>
      </c>
      <c r="D15" s="9">
        <v>1</v>
      </c>
      <c r="E15" s="3">
        <v>0.5</v>
      </c>
      <c r="F15" s="11">
        <v>1.5</v>
      </c>
      <c r="G15" s="11">
        <f t="shared" si="0"/>
        <v>0.75</v>
      </c>
      <c r="H15" s="3">
        <v>69</v>
      </c>
      <c r="I15" s="4">
        <v>107.47</v>
      </c>
      <c r="J15" s="2">
        <v>10</v>
      </c>
      <c r="K15" s="5">
        <v>1130</v>
      </c>
      <c r="L15" s="16">
        <v>1120</v>
      </c>
      <c r="M15" s="17">
        <f t="shared" si="6"/>
        <v>1125</v>
      </c>
      <c r="N15" s="17">
        <f>M15*Données!$F$26</f>
        <v>334.32392273402672</v>
      </c>
      <c r="AI15">
        <f>$N15*(1+AI$5)</f>
        <v>334.32392273402672</v>
      </c>
      <c r="AJ15">
        <f t="shared" si="7"/>
        <v>334.32392273402672</v>
      </c>
      <c r="AK15">
        <f t="shared" si="7"/>
        <v>334.32392273402672</v>
      </c>
      <c r="AL15">
        <f t="shared" si="7"/>
        <v>334.32392273402672</v>
      </c>
      <c r="AM15">
        <f t="shared" si="7"/>
        <v>334.32392273402672</v>
      </c>
      <c r="AN15">
        <f t="shared" si="7"/>
        <v>334.32392273402672</v>
      </c>
      <c r="AO15">
        <f t="shared" si="7"/>
        <v>334.32392273402672</v>
      </c>
      <c r="AP15">
        <f t="shared" si="7"/>
        <v>334.32392273402672</v>
      </c>
      <c r="AQ15">
        <f t="shared" si="7"/>
        <v>334.32392273402672</v>
      </c>
      <c r="AR15">
        <f t="shared" si="7"/>
        <v>334.32392273402672</v>
      </c>
      <c r="AS15">
        <f t="shared" si="7"/>
        <v>334.32392273402672</v>
      </c>
      <c r="AT15">
        <f t="shared" si="7"/>
        <v>334.32392273402672</v>
      </c>
      <c r="AU15">
        <f t="shared" si="4"/>
        <v>4011.8870728083216</v>
      </c>
    </row>
    <row r="16" spans="1:47" ht="15" thickBot="1" x14ac:dyDescent="0.4">
      <c r="A16" s="15" t="s">
        <v>31</v>
      </c>
      <c r="B16" s="1" t="s">
        <v>34</v>
      </c>
      <c r="C16" s="2" t="s">
        <v>21</v>
      </c>
      <c r="D16" s="9">
        <v>0.5</v>
      </c>
      <c r="E16" s="3">
        <v>0.9</v>
      </c>
      <c r="F16" s="11">
        <v>1.5</v>
      </c>
      <c r="G16" s="11">
        <f t="shared" si="0"/>
        <v>0.67500000000000004</v>
      </c>
      <c r="H16" s="3">
        <v>22</v>
      </c>
      <c r="I16" s="4">
        <v>36.229999999999997</v>
      </c>
      <c r="J16" s="2">
        <v>100</v>
      </c>
      <c r="K16" s="5">
        <v>920</v>
      </c>
      <c r="L16" s="16">
        <v>820</v>
      </c>
      <c r="M16" s="17">
        <f t="shared" si="6"/>
        <v>870</v>
      </c>
      <c r="N16" s="17">
        <f>M16*Données!$F$26</f>
        <v>258.54383358098067</v>
      </c>
      <c r="AU16">
        <f t="shared" si="4"/>
        <v>0</v>
      </c>
    </row>
    <row r="17" spans="1:47" ht="15" thickBot="1" x14ac:dyDescent="0.4">
      <c r="A17" s="15" t="s">
        <v>35</v>
      </c>
      <c r="B17" s="1" t="s">
        <v>36</v>
      </c>
      <c r="C17" s="2" t="s">
        <v>22</v>
      </c>
      <c r="D17" s="9">
        <v>1</v>
      </c>
      <c r="E17" s="3">
        <v>1.75</v>
      </c>
      <c r="F17" s="11">
        <v>1</v>
      </c>
      <c r="G17" s="11">
        <f t="shared" si="0"/>
        <v>1.75</v>
      </c>
      <c r="H17" s="3">
        <v>43</v>
      </c>
      <c r="I17" s="4">
        <v>63.4</v>
      </c>
      <c r="J17" s="2">
        <v>10</v>
      </c>
      <c r="K17" s="5">
        <v>2660</v>
      </c>
      <c r="L17" s="16">
        <v>2530</v>
      </c>
      <c r="M17" s="17">
        <f t="shared" si="6"/>
        <v>2595</v>
      </c>
      <c r="N17" s="17">
        <f>M17*Données!$F$26</f>
        <v>771.17384843982165</v>
      </c>
      <c r="AI17">
        <f>$N17*(1+AI$5)</f>
        <v>771.17384843982165</v>
      </c>
      <c r="AJ17">
        <f t="shared" ref="AJ17:AT17" si="8">$N17*(1+AJ$5)</f>
        <v>771.17384843982165</v>
      </c>
      <c r="AK17">
        <f t="shared" si="8"/>
        <v>771.17384843982165</v>
      </c>
      <c r="AL17">
        <f t="shared" si="8"/>
        <v>771.17384843982165</v>
      </c>
      <c r="AM17">
        <f t="shared" si="8"/>
        <v>771.17384843982165</v>
      </c>
      <c r="AN17">
        <f t="shared" si="8"/>
        <v>771.17384843982165</v>
      </c>
      <c r="AO17">
        <f t="shared" si="8"/>
        <v>771.17384843982165</v>
      </c>
      <c r="AP17">
        <f t="shared" si="8"/>
        <v>771.17384843982165</v>
      </c>
      <c r="AQ17">
        <f t="shared" si="8"/>
        <v>771.17384843982165</v>
      </c>
      <c r="AR17">
        <f t="shared" si="8"/>
        <v>771.17384843982165</v>
      </c>
      <c r="AS17">
        <f t="shared" si="8"/>
        <v>771.17384843982165</v>
      </c>
      <c r="AT17">
        <f t="shared" si="8"/>
        <v>771.17384843982165</v>
      </c>
      <c r="AU17">
        <f t="shared" si="4"/>
        <v>9254.0861812778603</v>
      </c>
    </row>
    <row r="18" spans="1:47" ht="15" thickBot="1" x14ac:dyDescent="0.4">
      <c r="A18" s="15" t="s">
        <v>35</v>
      </c>
      <c r="B18" s="1" t="s">
        <v>37</v>
      </c>
      <c r="C18" s="2" t="s">
        <v>23</v>
      </c>
      <c r="D18" s="9">
        <v>1</v>
      </c>
      <c r="E18" s="3">
        <v>1</v>
      </c>
      <c r="F18" s="13">
        <v>1.25</v>
      </c>
      <c r="G18" s="13">
        <f t="shared" si="0"/>
        <v>1.25</v>
      </c>
      <c r="H18" s="3">
        <v>65</v>
      </c>
      <c r="I18" s="4">
        <v>99.62</v>
      </c>
      <c r="J18" s="2">
        <v>10</v>
      </c>
      <c r="K18" s="5">
        <v>1080</v>
      </c>
      <c r="L18" s="16">
        <v>1020</v>
      </c>
      <c r="M18" s="17">
        <f t="shared" si="6"/>
        <v>1050</v>
      </c>
      <c r="N18" s="17">
        <f>M18*Données!$F$26</f>
        <v>312.03566121842493</v>
      </c>
      <c r="AU18">
        <f t="shared" si="4"/>
        <v>0</v>
      </c>
    </row>
    <row r="19" spans="1:47" x14ac:dyDescent="0.35">
      <c r="AU19">
        <f t="shared" si="4"/>
        <v>0</v>
      </c>
    </row>
    <row r="20" spans="1:47" x14ac:dyDescent="0.35">
      <c r="AU20">
        <f t="shared" si="4"/>
        <v>0</v>
      </c>
    </row>
    <row r="21" spans="1:47" x14ac:dyDescent="0.35">
      <c r="D21" s="50">
        <v>0.1</v>
      </c>
      <c r="E21" s="50">
        <v>0.15</v>
      </c>
      <c r="AE21">
        <f>SUM(AE8:AE20)</f>
        <v>0</v>
      </c>
      <c r="AI21">
        <f>SUM(AI8:AI20)</f>
        <v>4442.7934621099557</v>
      </c>
      <c r="AJ21">
        <f t="shared" ref="AJ21:AT21" si="9">SUM(AJ8:AJ20)</f>
        <v>4442.7934621099557</v>
      </c>
      <c r="AK21">
        <f t="shared" si="9"/>
        <v>4442.7934621099557</v>
      </c>
      <c r="AL21">
        <f t="shared" si="9"/>
        <v>4442.7934621099557</v>
      </c>
      <c r="AM21">
        <f t="shared" si="9"/>
        <v>4442.7934621099557</v>
      </c>
      <c r="AN21">
        <f t="shared" si="9"/>
        <v>4442.7934621099557</v>
      </c>
      <c r="AO21">
        <f t="shared" si="9"/>
        <v>4442.7934621099557</v>
      </c>
      <c r="AP21">
        <f t="shared" si="9"/>
        <v>4442.7934621099557</v>
      </c>
      <c r="AQ21">
        <f t="shared" si="9"/>
        <v>4442.7934621099557</v>
      </c>
      <c r="AR21">
        <f t="shared" si="9"/>
        <v>4442.7934621099557</v>
      </c>
      <c r="AS21">
        <f t="shared" si="9"/>
        <v>4442.7934621099557</v>
      </c>
      <c r="AT21">
        <f t="shared" si="9"/>
        <v>4442.7934621099557</v>
      </c>
      <c r="AU21">
        <f>SUM(AU8:AU20)</f>
        <v>53313.521545319461</v>
      </c>
    </row>
    <row r="22" spans="1:47" x14ac:dyDescent="0.35">
      <c r="C22" s="41" t="s">
        <v>47</v>
      </c>
      <c r="D22" s="41" t="s">
        <v>48</v>
      </c>
      <c r="E22" s="41" t="s">
        <v>49</v>
      </c>
      <c r="F22" s="41" t="s">
        <v>69</v>
      </c>
    </row>
    <row r="23" spans="1:47" x14ac:dyDescent="0.35">
      <c r="B23" t="s">
        <v>70</v>
      </c>
      <c r="C23" s="41">
        <v>1</v>
      </c>
      <c r="D23" s="41">
        <f>C23*(1+D21)</f>
        <v>1.1000000000000001</v>
      </c>
      <c r="E23" s="41">
        <f>(1+E21)*D23</f>
        <v>1.2649999999999999</v>
      </c>
      <c r="F23" s="41">
        <f>SUM(C23:E23)</f>
        <v>3.3650000000000002</v>
      </c>
      <c r="G23" s="51">
        <f>1 + 1.2 + 1.44</f>
        <v>3.64</v>
      </c>
    </row>
    <row r="24" spans="1:47" x14ac:dyDescent="0.35">
      <c r="C24" t="e">
        <f>C8*$A24</f>
        <v>#VALUE!</v>
      </c>
      <c r="O24" t="e">
        <f>SUM(C24:N24)</f>
        <v>#VALUE!</v>
      </c>
      <c r="S24">
        <f>$Q24*S8</f>
        <v>0</v>
      </c>
      <c r="AE24">
        <f>SUM(S24:AD24)</f>
        <v>0</v>
      </c>
      <c r="AI24">
        <f t="shared" ref="AI24:AT24" si="10">AI8*$AG24</f>
        <v>0</v>
      </c>
      <c r="AJ24">
        <f t="shared" si="10"/>
        <v>0</v>
      </c>
      <c r="AK24">
        <f t="shared" si="10"/>
        <v>0</v>
      </c>
      <c r="AL24">
        <f t="shared" si="10"/>
        <v>0</v>
      </c>
      <c r="AM24">
        <f t="shared" si="10"/>
        <v>0</v>
      </c>
      <c r="AN24">
        <f t="shared" si="10"/>
        <v>0</v>
      </c>
      <c r="AO24">
        <f t="shared" si="10"/>
        <v>0</v>
      </c>
      <c r="AP24">
        <f t="shared" si="10"/>
        <v>0</v>
      </c>
      <c r="AQ24">
        <f t="shared" si="10"/>
        <v>0</v>
      </c>
      <c r="AR24">
        <f t="shared" si="10"/>
        <v>0</v>
      </c>
      <c r="AS24">
        <f t="shared" si="10"/>
        <v>0</v>
      </c>
      <c r="AT24">
        <f t="shared" si="10"/>
        <v>0</v>
      </c>
      <c r="AU24">
        <f>SUM(AI24:AT24)</f>
        <v>0</v>
      </c>
    </row>
    <row r="25" spans="1:47" x14ac:dyDescent="0.35">
      <c r="B25" t="s">
        <v>71</v>
      </c>
      <c r="S25">
        <f>$Q25*S9</f>
        <v>0</v>
      </c>
      <c r="AE25">
        <f t="shared" ref="AE25:AE36" si="11">SUM(S25:AD25)</f>
        <v>0</v>
      </c>
      <c r="AI25">
        <f>AI9*$AG25</f>
        <v>0</v>
      </c>
      <c r="AJ25">
        <f>AJ9*$AG25</f>
        <v>0</v>
      </c>
      <c r="AK25">
        <f>AK9*$AG25</f>
        <v>0</v>
      </c>
      <c r="AL25">
        <f t="shared" ref="AL25:AT36" si="12">AL9*$AG25</f>
        <v>0</v>
      </c>
      <c r="AM25">
        <f t="shared" si="12"/>
        <v>0</v>
      </c>
      <c r="AN25">
        <f t="shared" si="12"/>
        <v>0</v>
      </c>
      <c r="AO25">
        <f t="shared" si="12"/>
        <v>0</v>
      </c>
      <c r="AP25">
        <f t="shared" si="12"/>
        <v>0</v>
      </c>
      <c r="AQ25">
        <f t="shared" si="12"/>
        <v>0</v>
      </c>
      <c r="AR25">
        <f t="shared" si="12"/>
        <v>0</v>
      </c>
      <c r="AS25">
        <f t="shared" si="12"/>
        <v>0</v>
      </c>
      <c r="AT25">
        <f t="shared" si="12"/>
        <v>0</v>
      </c>
      <c r="AU25">
        <f t="shared" ref="AU25:AU36" si="13">SUM(AI25:AT25)</f>
        <v>0</v>
      </c>
    </row>
    <row r="26" spans="1:47" x14ac:dyDescent="0.35">
      <c r="F26" s="52">
        <f>1/F23</f>
        <v>0.29717682020802377</v>
      </c>
      <c r="AE26">
        <f t="shared" si="11"/>
        <v>0</v>
      </c>
      <c r="AI26">
        <f>AI10*$AG26</f>
        <v>0</v>
      </c>
      <c r="AJ26">
        <f t="shared" ref="AJ26:AJ36" si="14">AJ10*$AG26</f>
        <v>0</v>
      </c>
      <c r="AK26">
        <f t="shared" ref="AK26:AK36" si="15">AK10*$AG26</f>
        <v>0</v>
      </c>
      <c r="AL26">
        <f t="shared" si="12"/>
        <v>0</v>
      </c>
      <c r="AM26">
        <f t="shared" si="12"/>
        <v>0</v>
      </c>
      <c r="AN26">
        <f t="shared" si="12"/>
        <v>0</v>
      </c>
      <c r="AO26">
        <f t="shared" si="12"/>
        <v>0</v>
      </c>
      <c r="AP26">
        <f t="shared" si="12"/>
        <v>0</v>
      </c>
      <c r="AQ26">
        <f t="shared" si="12"/>
        <v>0</v>
      </c>
      <c r="AR26">
        <f t="shared" si="12"/>
        <v>0</v>
      </c>
      <c r="AS26">
        <f t="shared" si="12"/>
        <v>0</v>
      </c>
      <c r="AT26">
        <f t="shared" si="12"/>
        <v>0</v>
      </c>
      <c r="AU26">
        <f t="shared" si="13"/>
        <v>0</v>
      </c>
    </row>
    <row r="27" spans="1:47" x14ac:dyDescent="0.35">
      <c r="AE27">
        <f t="shared" si="11"/>
        <v>0</v>
      </c>
      <c r="AI27">
        <f t="shared" ref="AI27:AI36" si="16">AI11*$AG27</f>
        <v>0</v>
      </c>
      <c r="AJ27">
        <f t="shared" si="14"/>
        <v>0</v>
      </c>
      <c r="AK27">
        <f>AK11*$AG27</f>
        <v>0</v>
      </c>
      <c r="AL27">
        <f t="shared" si="12"/>
        <v>0</v>
      </c>
      <c r="AM27">
        <f t="shared" si="12"/>
        <v>0</v>
      </c>
      <c r="AN27">
        <f t="shared" si="12"/>
        <v>0</v>
      </c>
      <c r="AO27">
        <f t="shared" si="12"/>
        <v>0</v>
      </c>
      <c r="AP27">
        <f t="shared" si="12"/>
        <v>0</v>
      </c>
      <c r="AQ27">
        <f t="shared" si="12"/>
        <v>0</v>
      </c>
      <c r="AR27">
        <f t="shared" si="12"/>
        <v>0</v>
      </c>
      <c r="AS27">
        <f t="shared" si="12"/>
        <v>0</v>
      </c>
      <c r="AT27">
        <f t="shared" si="12"/>
        <v>0</v>
      </c>
      <c r="AU27">
        <f t="shared" si="13"/>
        <v>0</v>
      </c>
    </row>
    <row r="28" spans="1:47" x14ac:dyDescent="0.35">
      <c r="AE28">
        <f t="shared" si="11"/>
        <v>0</v>
      </c>
      <c r="AI28">
        <f t="shared" si="16"/>
        <v>0</v>
      </c>
      <c r="AJ28">
        <f t="shared" si="14"/>
        <v>0</v>
      </c>
      <c r="AK28">
        <f t="shared" si="15"/>
        <v>0</v>
      </c>
      <c r="AL28">
        <f t="shared" si="12"/>
        <v>0</v>
      </c>
      <c r="AM28">
        <f t="shared" si="12"/>
        <v>0</v>
      </c>
      <c r="AN28">
        <f t="shared" si="12"/>
        <v>0</v>
      </c>
      <c r="AO28">
        <f t="shared" si="12"/>
        <v>0</v>
      </c>
      <c r="AP28">
        <f t="shared" si="12"/>
        <v>0</v>
      </c>
      <c r="AQ28">
        <f t="shared" si="12"/>
        <v>0</v>
      </c>
      <c r="AR28">
        <f t="shared" si="12"/>
        <v>0</v>
      </c>
      <c r="AS28">
        <f t="shared" si="12"/>
        <v>0</v>
      </c>
      <c r="AT28">
        <f t="shared" si="12"/>
        <v>0</v>
      </c>
      <c r="AU28">
        <f t="shared" si="13"/>
        <v>0</v>
      </c>
    </row>
    <row r="29" spans="1:47" x14ac:dyDescent="0.35">
      <c r="AE29">
        <f t="shared" si="11"/>
        <v>0</v>
      </c>
      <c r="AI29">
        <f t="shared" si="16"/>
        <v>0</v>
      </c>
      <c r="AJ29">
        <f t="shared" si="14"/>
        <v>0</v>
      </c>
      <c r="AK29">
        <f t="shared" si="15"/>
        <v>0</v>
      </c>
      <c r="AL29">
        <f t="shared" si="12"/>
        <v>0</v>
      </c>
      <c r="AM29">
        <f t="shared" si="12"/>
        <v>0</v>
      </c>
      <c r="AN29">
        <f t="shared" si="12"/>
        <v>0</v>
      </c>
      <c r="AO29">
        <f t="shared" si="12"/>
        <v>0</v>
      </c>
      <c r="AP29">
        <f t="shared" si="12"/>
        <v>0</v>
      </c>
      <c r="AQ29">
        <f t="shared" si="12"/>
        <v>0</v>
      </c>
      <c r="AR29">
        <f t="shared" si="12"/>
        <v>0</v>
      </c>
      <c r="AS29">
        <f t="shared" si="12"/>
        <v>0</v>
      </c>
      <c r="AT29">
        <f t="shared" si="12"/>
        <v>0</v>
      </c>
      <c r="AU29">
        <f t="shared" si="13"/>
        <v>0</v>
      </c>
    </row>
    <row r="30" spans="1:47" x14ac:dyDescent="0.35">
      <c r="AE30">
        <f t="shared" si="11"/>
        <v>0</v>
      </c>
      <c r="AI30">
        <f t="shared" si="16"/>
        <v>0</v>
      </c>
      <c r="AJ30">
        <f t="shared" si="14"/>
        <v>0</v>
      </c>
      <c r="AK30">
        <f t="shared" si="15"/>
        <v>0</v>
      </c>
      <c r="AL30">
        <f t="shared" si="12"/>
        <v>0</v>
      </c>
      <c r="AM30">
        <f t="shared" si="12"/>
        <v>0</v>
      </c>
      <c r="AN30">
        <f t="shared" si="12"/>
        <v>0</v>
      </c>
      <c r="AO30">
        <f t="shared" si="12"/>
        <v>0</v>
      </c>
      <c r="AP30">
        <f t="shared" si="12"/>
        <v>0</v>
      </c>
      <c r="AQ30">
        <f t="shared" si="12"/>
        <v>0</v>
      </c>
      <c r="AR30">
        <f t="shared" si="12"/>
        <v>0</v>
      </c>
      <c r="AS30">
        <f t="shared" si="12"/>
        <v>0</v>
      </c>
      <c r="AT30">
        <f t="shared" si="12"/>
        <v>0</v>
      </c>
      <c r="AU30">
        <f t="shared" si="13"/>
        <v>0</v>
      </c>
    </row>
    <row r="31" spans="1:47" x14ac:dyDescent="0.35">
      <c r="AE31">
        <f t="shared" si="11"/>
        <v>0</v>
      </c>
      <c r="AI31">
        <f t="shared" si="16"/>
        <v>0</v>
      </c>
      <c r="AJ31">
        <f t="shared" si="14"/>
        <v>0</v>
      </c>
      <c r="AK31">
        <f t="shared" si="15"/>
        <v>0</v>
      </c>
      <c r="AL31">
        <f t="shared" si="12"/>
        <v>0</v>
      </c>
      <c r="AM31">
        <f t="shared" si="12"/>
        <v>0</v>
      </c>
      <c r="AN31">
        <f t="shared" si="12"/>
        <v>0</v>
      </c>
      <c r="AO31">
        <f t="shared" si="12"/>
        <v>0</v>
      </c>
      <c r="AP31">
        <f t="shared" si="12"/>
        <v>0</v>
      </c>
      <c r="AQ31">
        <f t="shared" si="12"/>
        <v>0</v>
      </c>
      <c r="AR31">
        <f t="shared" si="12"/>
        <v>0</v>
      </c>
      <c r="AS31">
        <f t="shared" si="12"/>
        <v>0</v>
      </c>
      <c r="AT31">
        <f t="shared" si="12"/>
        <v>0</v>
      </c>
      <c r="AU31">
        <f t="shared" si="13"/>
        <v>0</v>
      </c>
    </row>
    <row r="32" spans="1:47" x14ac:dyDescent="0.35">
      <c r="AE32">
        <f t="shared" si="11"/>
        <v>0</v>
      </c>
      <c r="AI32">
        <f t="shared" si="16"/>
        <v>0</v>
      </c>
      <c r="AJ32">
        <f t="shared" si="14"/>
        <v>0</v>
      </c>
      <c r="AK32">
        <f t="shared" si="15"/>
        <v>0</v>
      </c>
      <c r="AL32">
        <f t="shared" si="12"/>
        <v>0</v>
      </c>
      <c r="AM32">
        <f t="shared" si="12"/>
        <v>0</v>
      </c>
      <c r="AN32">
        <f t="shared" si="12"/>
        <v>0</v>
      </c>
      <c r="AO32">
        <f t="shared" si="12"/>
        <v>0</v>
      </c>
      <c r="AP32">
        <f t="shared" si="12"/>
        <v>0</v>
      </c>
      <c r="AQ32">
        <f t="shared" si="12"/>
        <v>0</v>
      </c>
      <c r="AR32">
        <f t="shared" si="12"/>
        <v>0</v>
      </c>
      <c r="AS32">
        <f t="shared" si="12"/>
        <v>0</v>
      </c>
      <c r="AT32">
        <f t="shared" si="12"/>
        <v>0</v>
      </c>
      <c r="AU32">
        <f t="shared" si="13"/>
        <v>0</v>
      </c>
    </row>
    <row r="33" spans="1:47" x14ac:dyDescent="0.35">
      <c r="S33">
        <f>$Q33*S17</f>
        <v>0</v>
      </c>
      <c r="AE33">
        <f t="shared" si="11"/>
        <v>0</v>
      </c>
      <c r="AI33">
        <f t="shared" si="16"/>
        <v>0</v>
      </c>
      <c r="AJ33">
        <f t="shared" si="14"/>
        <v>0</v>
      </c>
      <c r="AK33">
        <f t="shared" si="15"/>
        <v>0</v>
      </c>
      <c r="AL33">
        <f t="shared" si="12"/>
        <v>0</v>
      </c>
      <c r="AM33">
        <f t="shared" si="12"/>
        <v>0</v>
      </c>
      <c r="AN33">
        <f t="shared" si="12"/>
        <v>0</v>
      </c>
      <c r="AO33">
        <f t="shared" si="12"/>
        <v>0</v>
      </c>
      <c r="AP33">
        <f t="shared" si="12"/>
        <v>0</v>
      </c>
      <c r="AQ33">
        <f t="shared" si="12"/>
        <v>0</v>
      </c>
      <c r="AR33">
        <f t="shared" si="12"/>
        <v>0</v>
      </c>
      <c r="AS33">
        <f t="shared" si="12"/>
        <v>0</v>
      </c>
      <c r="AT33">
        <f t="shared" si="12"/>
        <v>0</v>
      </c>
      <c r="AU33">
        <f t="shared" si="13"/>
        <v>0</v>
      </c>
    </row>
    <row r="34" spans="1:47" x14ac:dyDescent="0.35">
      <c r="S34">
        <f>$Q34*S18</f>
        <v>0</v>
      </c>
      <c r="AE34">
        <f t="shared" si="11"/>
        <v>0</v>
      </c>
      <c r="AI34">
        <f t="shared" si="16"/>
        <v>0</v>
      </c>
      <c r="AJ34">
        <f t="shared" si="14"/>
        <v>0</v>
      </c>
      <c r="AK34">
        <f t="shared" si="15"/>
        <v>0</v>
      </c>
      <c r="AL34">
        <f t="shared" si="12"/>
        <v>0</v>
      </c>
      <c r="AM34">
        <f t="shared" si="12"/>
        <v>0</v>
      </c>
      <c r="AN34">
        <f t="shared" si="12"/>
        <v>0</v>
      </c>
      <c r="AO34">
        <f t="shared" si="12"/>
        <v>0</v>
      </c>
      <c r="AP34">
        <f t="shared" si="12"/>
        <v>0</v>
      </c>
      <c r="AQ34">
        <f t="shared" si="12"/>
        <v>0</v>
      </c>
      <c r="AR34">
        <f t="shared" si="12"/>
        <v>0</v>
      </c>
      <c r="AS34">
        <f t="shared" si="12"/>
        <v>0</v>
      </c>
      <c r="AT34">
        <f t="shared" si="12"/>
        <v>0</v>
      </c>
      <c r="AU34">
        <f t="shared" si="13"/>
        <v>0</v>
      </c>
    </row>
    <row r="35" spans="1:47" x14ac:dyDescent="0.35">
      <c r="AE35">
        <f t="shared" si="11"/>
        <v>0</v>
      </c>
      <c r="AI35">
        <f t="shared" si="16"/>
        <v>0</v>
      </c>
      <c r="AJ35">
        <f t="shared" si="14"/>
        <v>0</v>
      </c>
      <c r="AK35">
        <f t="shared" si="15"/>
        <v>0</v>
      </c>
      <c r="AL35">
        <f t="shared" si="12"/>
        <v>0</v>
      </c>
      <c r="AM35">
        <f t="shared" si="12"/>
        <v>0</v>
      </c>
      <c r="AN35">
        <f t="shared" si="12"/>
        <v>0</v>
      </c>
      <c r="AO35">
        <f t="shared" si="12"/>
        <v>0</v>
      </c>
      <c r="AP35">
        <f t="shared" si="12"/>
        <v>0</v>
      </c>
      <c r="AQ35">
        <f t="shared" si="12"/>
        <v>0</v>
      </c>
      <c r="AR35">
        <f t="shared" si="12"/>
        <v>0</v>
      </c>
      <c r="AS35">
        <f t="shared" si="12"/>
        <v>0</v>
      </c>
      <c r="AT35">
        <f t="shared" si="12"/>
        <v>0</v>
      </c>
      <c r="AU35">
        <f t="shared" si="13"/>
        <v>0</v>
      </c>
    </row>
    <row r="36" spans="1:47" x14ac:dyDescent="0.35">
      <c r="AE36">
        <f t="shared" si="11"/>
        <v>0</v>
      </c>
      <c r="AI36">
        <f t="shared" si="16"/>
        <v>0</v>
      </c>
      <c r="AJ36">
        <f t="shared" si="14"/>
        <v>0</v>
      </c>
      <c r="AK36">
        <f t="shared" si="15"/>
        <v>0</v>
      </c>
      <c r="AL36">
        <f t="shared" si="12"/>
        <v>0</v>
      </c>
      <c r="AM36">
        <f t="shared" si="12"/>
        <v>0</v>
      </c>
      <c r="AN36">
        <f t="shared" si="12"/>
        <v>0</v>
      </c>
      <c r="AO36">
        <f t="shared" si="12"/>
        <v>0</v>
      </c>
      <c r="AP36">
        <f t="shared" si="12"/>
        <v>0</v>
      </c>
      <c r="AQ36">
        <f t="shared" si="12"/>
        <v>0</v>
      </c>
      <c r="AR36">
        <f t="shared" si="12"/>
        <v>0</v>
      </c>
      <c r="AS36">
        <f t="shared" si="12"/>
        <v>0</v>
      </c>
      <c r="AT36">
        <f t="shared" si="12"/>
        <v>0</v>
      </c>
      <c r="AU36">
        <f t="shared" si="13"/>
        <v>0</v>
      </c>
    </row>
    <row r="37" spans="1:47" x14ac:dyDescent="0.35">
      <c r="S37">
        <f>SUM(S24:S36)</f>
        <v>0</v>
      </c>
      <c r="T37">
        <f t="shared" ref="T37:AE37" si="17">SUM(T24:T36)</f>
        <v>0</v>
      </c>
      <c r="U37">
        <f t="shared" si="17"/>
        <v>0</v>
      </c>
      <c r="V37">
        <f t="shared" si="17"/>
        <v>0</v>
      </c>
      <c r="W37">
        <f t="shared" si="17"/>
        <v>0</v>
      </c>
      <c r="X37">
        <f t="shared" si="17"/>
        <v>0</v>
      </c>
      <c r="Y37">
        <f t="shared" si="17"/>
        <v>0</v>
      </c>
      <c r="Z37">
        <f t="shared" si="17"/>
        <v>0</v>
      </c>
      <c r="AA37">
        <f t="shared" si="17"/>
        <v>0</v>
      </c>
      <c r="AB37">
        <f t="shared" si="17"/>
        <v>0</v>
      </c>
      <c r="AC37">
        <f t="shared" si="17"/>
        <v>0</v>
      </c>
      <c r="AD37">
        <f t="shared" si="17"/>
        <v>0</v>
      </c>
      <c r="AE37">
        <f t="shared" si="17"/>
        <v>0</v>
      </c>
      <c r="AI37">
        <f>SUM(AI24:AI36)</f>
        <v>0</v>
      </c>
      <c r="AJ37">
        <f t="shared" ref="AJ37:AU37" si="18">SUM(AJ24:AJ36)</f>
        <v>0</v>
      </c>
      <c r="AK37">
        <f t="shared" si="18"/>
        <v>0</v>
      </c>
      <c r="AL37">
        <f t="shared" si="18"/>
        <v>0</v>
      </c>
      <c r="AM37">
        <f t="shared" si="18"/>
        <v>0</v>
      </c>
      <c r="AN37">
        <f t="shared" si="18"/>
        <v>0</v>
      </c>
      <c r="AO37">
        <f t="shared" si="18"/>
        <v>0</v>
      </c>
      <c r="AP37">
        <f t="shared" si="18"/>
        <v>0</v>
      </c>
      <c r="AQ37">
        <f t="shared" si="18"/>
        <v>0</v>
      </c>
      <c r="AR37">
        <f t="shared" si="18"/>
        <v>0</v>
      </c>
      <c r="AS37">
        <f t="shared" si="18"/>
        <v>0</v>
      </c>
      <c r="AT37">
        <f t="shared" si="18"/>
        <v>0</v>
      </c>
      <c r="AU37">
        <f t="shared" si="18"/>
        <v>0</v>
      </c>
    </row>
    <row r="39" spans="1:47" ht="15" thickBot="1" x14ac:dyDescent="0.4"/>
    <row r="40" spans="1:47" ht="15" thickBot="1" x14ac:dyDescent="0.4">
      <c r="A40" s="162"/>
      <c r="B40" s="170" t="s">
        <v>59</v>
      </c>
      <c r="C40" s="171" t="s">
        <v>60</v>
      </c>
      <c r="D40" s="172" t="s">
        <v>61</v>
      </c>
    </row>
    <row r="41" spans="1:47" x14ac:dyDescent="0.35">
      <c r="A41" s="167" t="s">
        <v>196</v>
      </c>
      <c r="B41" s="165">
        <f>SUM(C21+D21+E21)</f>
        <v>0.25</v>
      </c>
      <c r="C41" s="166">
        <f>SUM(S21:U21)</f>
        <v>0</v>
      </c>
      <c r="D41" s="166">
        <f>SUM(AI21:AK21)</f>
        <v>13328.380386329867</v>
      </c>
    </row>
    <row r="42" spans="1:47" x14ac:dyDescent="0.35">
      <c r="A42" s="168" t="s">
        <v>197</v>
      </c>
      <c r="B42" s="161">
        <f>SUM(E21+F21+G21)</f>
        <v>0.15</v>
      </c>
      <c r="C42" s="61">
        <f>SUM(V21:X21)</f>
        <v>0</v>
      </c>
      <c r="D42" s="61">
        <f>SUM(AL21:AN21)</f>
        <v>13328.380386329867</v>
      </c>
    </row>
    <row r="43" spans="1:47" x14ac:dyDescent="0.35">
      <c r="A43" s="168" t="s">
        <v>198</v>
      </c>
      <c r="B43" s="72">
        <f>SUM(I21+J21+K21)</f>
        <v>0</v>
      </c>
      <c r="C43" s="61">
        <f>SUM(Y21:AA21)</f>
        <v>0</v>
      </c>
      <c r="D43" s="61">
        <f>SUM(AO21:AQ21)</f>
        <v>13328.380386329867</v>
      </c>
    </row>
    <row r="44" spans="1:47" ht="15" thickBot="1" x14ac:dyDescent="0.4">
      <c r="A44" s="169" t="s">
        <v>199</v>
      </c>
      <c r="B44" s="160">
        <f>SUM(L21:N21)</f>
        <v>0</v>
      </c>
      <c r="C44" s="61">
        <f>SUM(AB21:AD21)</f>
        <v>0</v>
      </c>
      <c r="D44" s="61">
        <f>SUM(AR21:AT21)</f>
        <v>13328.380386329867</v>
      </c>
    </row>
  </sheetData>
  <sheetProtection sheet="1" objects="1" scenarios="1" formatCells="1" formatColumns="0" formatRows="0" insertColumns="1" insertRows="1" insertHyperlinks="1" deleteColumns="1" deleteRows="1" selectLockedCells="0" selectUnlockedCells="0" sort="0" autoFilter="0" pivotTables="0"/>
  <mergeCells count="14">
    <mergeCell ref="N4:N5"/>
    <mergeCell ref="A1:B1"/>
    <mergeCell ref="B4:B5"/>
    <mergeCell ref="H4:H5"/>
    <mergeCell ref="I4:I5"/>
    <mergeCell ref="J4:J5"/>
    <mergeCell ref="D4:D5"/>
    <mergeCell ref="E4:E5"/>
    <mergeCell ref="F4:F5"/>
    <mergeCell ref="K4:K5"/>
    <mergeCell ref="L4:L5"/>
    <mergeCell ref="M4:M5"/>
    <mergeCell ref="C4:C5"/>
    <mergeCell ref="G4:G5"/>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282A-5C74-4695-8FC9-8D8309482B79}">
  <sheetPr>
    <pageSetUpPr fitToPage="1"/>
  </sheetPr>
  <dimension ref="A1:AU44"/>
  <sheetViews>
    <sheetView topLeftCell="E27" workbookViewId="0">
      <selection activeCell="O37" sqref="O37"/>
    </sheetView>
  </sheetViews>
  <sheetFormatPr baseColWidth="10" defaultRowHeight="14.5" x14ac:dyDescent="0.35"/>
  <cols>
    <col min="1" max="1" width="19.08984375" customWidth="1"/>
    <col min="3" max="3" width="12.90625" bestFit="1" customWidth="1"/>
    <col min="4" max="11" width="11.6328125" bestFit="1" customWidth="1"/>
    <col min="12" max="12" width="13.08984375" bestFit="1" customWidth="1"/>
    <col min="13" max="14" width="11.6328125" bestFit="1" customWidth="1"/>
    <col min="15" max="15" width="15.36328125" bestFit="1" customWidth="1"/>
    <col min="16" max="16" width="2.36328125" customWidth="1"/>
    <col min="17" max="17" width="17" customWidth="1"/>
    <col min="19" max="30" width="12.36328125" bestFit="1" customWidth="1"/>
    <col min="32" max="32" width="3" customWidth="1"/>
    <col min="33" max="33" width="17" customWidth="1"/>
    <col min="35" max="46" width="12.36328125" bestFit="1" customWidth="1"/>
  </cols>
  <sheetData>
    <row r="1" spans="1:47" x14ac:dyDescent="0.35">
      <c r="A1" s="722" t="s">
        <v>74</v>
      </c>
      <c r="B1" s="722"/>
      <c r="D1" s="18"/>
      <c r="E1" s="6"/>
      <c r="F1" s="6"/>
    </row>
    <row r="2" spans="1:47" x14ac:dyDescent="0.35">
      <c r="D2" s="18"/>
      <c r="E2" s="6"/>
      <c r="F2" s="6"/>
    </row>
    <row r="3" spans="1:47" x14ac:dyDescent="0.35">
      <c r="A3" s="19" t="s">
        <v>39</v>
      </c>
      <c r="Q3" s="19" t="s">
        <v>40</v>
      </c>
      <c r="AG3" s="19" t="s">
        <v>41</v>
      </c>
    </row>
    <row r="4" spans="1:47" ht="15" thickBot="1" x14ac:dyDescent="0.4">
      <c r="C4" s="20" t="s">
        <v>42</v>
      </c>
      <c r="D4" s="21"/>
      <c r="E4" s="22"/>
      <c r="F4" s="20" t="s">
        <v>43</v>
      </c>
      <c r="G4" s="21"/>
      <c r="H4" s="22"/>
      <c r="I4" s="20" t="s">
        <v>44</v>
      </c>
      <c r="J4" s="21"/>
      <c r="K4" s="22"/>
      <c r="L4" s="20" t="s">
        <v>45</v>
      </c>
      <c r="M4" s="21"/>
      <c r="N4" s="22"/>
      <c r="S4" s="20" t="s">
        <v>42</v>
      </c>
      <c r="T4" s="21"/>
      <c r="U4" s="22"/>
      <c r="V4" s="20" t="s">
        <v>43</v>
      </c>
      <c r="W4" s="21"/>
      <c r="X4" s="22"/>
      <c r="Y4" s="20" t="s">
        <v>44</v>
      </c>
      <c r="Z4" s="21"/>
      <c r="AA4" s="22"/>
      <c r="AB4" s="20" t="s">
        <v>45</v>
      </c>
      <c r="AC4" s="21"/>
      <c r="AD4" s="22"/>
      <c r="AI4" s="20" t="s">
        <v>42</v>
      </c>
      <c r="AJ4" s="21"/>
      <c r="AK4" s="22"/>
      <c r="AL4" s="20" t="s">
        <v>43</v>
      </c>
      <c r="AM4" s="21"/>
      <c r="AN4" s="22"/>
      <c r="AO4" s="20" t="s">
        <v>44</v>
      </c>
      <c r="AP4" s="21"/>
      <c r="AQ4" s="22"/>
      <c r="AR4" s="20" t="s">
        <v>45</v>
      </c>
      <c r="AS4" s="21"/>
      <c r="AT4" s="22"/>
    </row>
    <row r="5" spans="1:47" ht="15" thickBot="1" x14ac:dyDescent="0.4">
      <c r="A5" s="23"/>
      <c r="B5" s="24" t="s">
        <v>46</v>
      </c>
      <c r="C5" s="25"/>
      <c r="D5" s="26">
        <v>0.1</v>
      </c>
      <c r="E5" s="26">
        <v>0.15</v>
      </c>
      <c r="F5" s="26">
        <v>0.15</v>
      </c>
      <c r="G5" s="26">
        <v>0.15</v>
      </c>
      <c r="H5" s="26">
        <v>0.1</v>
      </c>
      <c r="I5" s="26">
        <v>0.1</v>
      </c>
      <c r="J5" s="26">
        <v>0.05</v>
      </c>
      <c r="K5" s="26">
        <v>0.05</v>
      </c>
      <c r="L5" s="26">
        <v>0.05</v>
      </c>
      <c r="M5" s="26">
        <v>0</v>
      </c>
      <c r="N5" s="26">
        <v>0</v>
      </c>
      <c r="O5" s="27"/>
      <c r="Q5" s="23"/>
      <c r="R5" s="24" t="s">
        <v>46</v>
      </c>
      <c r="S5" s="28">
        <v>0</v>
      </c>
      <c r="T5" s="28">
        <v>0</v>
      </c>
      <c r="U5" s="28">
        <v>0</v>
      </c>
      <c r="V5" s="28">
        <v>0</v>
      </c>
      <c r="W5" s="28">
        <v>0</v>
      </c>
      <c r="X5" s="28">
        <v>0</v>
      </c>
      <c r="Y5" s="28">
        <v>0</v>
      </c>
      <c r="Z5" s="28">
        <v>0</v>
      </c>
      <c r="AA5" s="28">
        <v>0</v>
      </c>
      <c r="AB5" s="28">
        <v>0</v>
      </c>
      <c r="AC5" s="28">
        <v>0</v>
      </c>
      <c r="AD5" s="28">
        <v>0</v>
      </c>
      <c r="AE5" s="27"/>
      <c r="AG5" s="23"/>
      <c r="AH5" s="24" t="s">
        <v>46</v>
      </c>
      <c r="AI5" s="28">
        <v>0</v>
      </c>
      <c r="AJ5" s="28">
        <v>0</v>
      </c>
      <c r="AK5" s="28">
        <v>0</v>
      </c>
      <c r="AL5" s="28">
        <v>0</v>
      </c>
      <c r="AM5" s="28">
        <v>0</v>
      </c>
      <c r="AN5" s="28">
        <v>0</v>
      </c>
      <c r="AO5" s="28">
        <v>0</v>
      </c>
      <c r="AP5" s="28">
        <v>0</v>
      </c>
      <c r="AQ5" s="28">
        <v>0</v>
      </c>
      <c r="AR5" s="28">
        <v>0</v>
      </c>
      <c r="AS5" s="28">
        <v>0</v>
      </c>
      <c r="AT5" s="28">
        <v>0</v>
      </c>
      <c r="AU5" s="27"/>
    </row>
    <row r="6" spans="1:47" x14ac:dyDescent="0.35">
      <c r="A6" s="29"/>
      <c r="C6" s="7" t="s">
        <v>47</v>
      </c>
      <c r="D6" s="7" t="s">
        <v>48</v>
      </c>
      <c r="E6" s="7" t="s">
        <v>49</v>
      </c>
      <c r="F6" s="7" t="s">
        <v>50</v>
      </c>
      <c r="G6" s="7" t="s">
        <v>51</v>
      </c>
      <c r="H6" s="7" t="s">
        <v>52</v>
      </c>
      <c r="I6" s="7" t="s">
        <v>53</v>
      </c>
      <c r="J6" s="7" t="s">
        <v>54</v>
      </c>
      <c r="K6" s="7" t="s">
        <v>55</v>
      </c>
      <c r="L6" s="7" t="s">
        <v>56</v>
      </c>
      <c r="M6" s="7" t="s">
        <v>57</v>
      </c>
      <c r="N6" s="7" t="s">
        <v>58</v>
      </c>
      <c r="O6" s="30" t="s">
        <v>59</v>
      </c>
      <c r="Q6" s="29"/>
      <c r="S6" s="7" t="s">
        <v>47</v>
      </c>
      <c r="T6" s="7" t="s">
        <v>48</v>
      </c>
      <c r="U6" s="7" t="s">
        <v>49</v>
      </c>
      <c r="V6" s="7" t="s">
        <v>50</v>
      </c>
      <c r="W6" s="7" t="s">
        <v>51</v>
      </c>
      <c r="X6" s="7" t="s">
        <v>52</v>
      </c>
      <c r="Y6" s="7" t="s">
        <v>53</v>
      </c>
      <c r="Z6" s="7" t="s">
        <v>54</v>
      </c>
      <c r="AA6" s="7" t="s">
        <v>55</v>
      </c>
      <c r="AB6" s="7" t="s">
        <v>56</v>
      </c>
      <c r="AC6" s="7" t="s">
        <v>57</v>
      </c>
      <c r="AD6" s="7" t="s">
        <v>58</v>
      </c>
      <c r="AE6" s="30" t="s">
        <v>60</v>
      </c>
      <c r="AG6" s="29"/>
      <c r="AI6" s="7" t="s">
        <v>47</v>
      </c>
      <c r="AJ6" s="7" t="s">
        <v>48</v>
      </c>
      <c r="AK6" s="7" t="s">
        <v>49</v>
      </c>
      <c r="AL6" s="7" t="s">
        <v>50</v>
      </c>
      <c r="AM6" s="7" t="s">
        <v>51</v>
      </c>
      <c r="AN6" s="7" t="s">
        <v>52</v>
      </c>
      <c r="AO6" s="7" t="s">
        <v>53</v>
      </c>
      <c r="AP6" s="7" t="s">
        <v>54</v>
      </c>
      <c r="AQ6" s="7" t="s">
        <v>55</v>
      </c>
      <c r="AR6" s="7" t="s">
        <v>56</v>
      </c>
      <c r="AS6" s="7" t="s">
        <v>57</v>
      </c>
      <c r="AT6" s="7" t="s">
        <v>58</v>
      </c>
      <c r="AU6" s="30" t="s">
        <v>61</v>
      </c>
    </row>
    <row r="7" spans="1:47" x14ac:dyDescent="0.35">
      <c r="A7" s="31" t="s">
        <v>62</v>
      </c>
      <c r="B7" s="19" t="s">
        <v>24</v>
      </c>
      <c r="D7" s="25"/>
      <c r="G7" s="19"/>
      <c r="O7" s="32"/>
      <c r="Q7" s="31" t="s">
        <v>62</v>
      </c>
      <c r="R7" s="19" t="s">
        <v>24</v>
      </c>
      <c r="W7" s="19"/>
      <c r="AE7" s="32"/>
      <c r="AG7" s="31" t="s">
        <v>62</v>
      </c>
      <c r="AH7" s="19" t="s">
        <v>24</v>
      </c>
      <c r="AM7" s="19"/>
      <c r="AU7" s="32"/>
    </row>
    <row r="8" spans="1:47" x14ac:dyDescent="0.35">
      <c r="A8" s="33"/>
      <c r="B8" s="7" t="s">
        <v>4</v>
      </c>
      <c r="C8" s="54">
        <f>Données!N6</f>
        <v>1555.7206537890045</v>
      </c>
      <c r="D8" s="34">
        <f>C8*(1+D$5)</f>
        <v>1711.292719167905</v>
      </c>
      <c r="E8" s="34">
        <f t="shared" ref="E8:N8" si="0">D8*(1+E$5)</f>
        <v>1967.9866270430907</v>
      </c>
      <c r="F8" s="34">
        <f t="shared" si="0"/>
        <v>2263.1846210995541</v>
      </c>
      <c r="G8" s="34">
        <f t="shared" si="0"/>
        <v>2602.6623142644871</v>
      </c>
      <c r="H8" s="34">
        <f t="shared" si="0"/>
        <v>2862.9285456909361</v>
      </c>
      <c r="I8" s="34">
        <f t="shared" si="0"/>
        <v>3149.2214002600299</v>
      </c>
      <c r="J8" s="34">
        <f t="shared" si="0"/>
        <v>3306.6824702730314</v>
      </c>
      <c r="K8" s="34">
        <f t="shared" si="0"/>
        <v>3472.0165937866832</v>
      </c>
      <c r="L8" s="34">
        <f t="shared" si="0"/>
        <v>3645.6174234760174</v>
      </c>
      <c r="M8" s="34">
        <f t="shared" si="0"/>
        <v>3645.6174234760174</v>
      </c>
      <c r="N8" s="34">
        <f t="shared" si="0"/>
        <v>3645.6174234760174</v>
      </c>
      <c r="O8" s="35">
        <f>SUM(C8:N8)</f>
        <v>33828.548215802773</v>
      </c>
      <c r="Q8" s="29"/>
      <c r="R8" s="7" t="s">
        <v>4</v>
      </c>
      <c r="S8" s="34">
        <f>$N8*(1+$T5)</f>
        <v>3645.6174234760174</v>
      </c>
      <c r="T8" s="34">
        <f t="shared" ref="T8:AD8" si="1">$N8*(1+$T5)</f>
        <v>3645.6174234760174</v>
      </c>
      <c r="U8" s="34">
        <f t="shared" si="1"/>
        <v>3645.6174234760174</v>
      </c>
      <c r="V8" s="34">
        <f t="shared" si="1"/>
        <v>3645.6174234760174</v>
      </c>
      <c r="W8" s="34">
        <f t="shared" si="1"/>
        <v>3645.6174234760174</v>
      </c>
      <c r="X8" s="34">
        <f t="shared" si="1"/>
        <v>3645.6174234760174</v>
      </c>
      <c r="Y8" s="34">
        <f t="shared" si="1"/>
        <v>3645.6174234760174</v>
      </c>
      <c r="Z8" s="34">
        <f t="shared" si="1"/>
        <v>3645.6174234760174</v>
      </c>
      <c r="AA8" s="34">
        <f t="shared" si="1"/>
        <v>3645.6174234760174</v>
      </c>
      <c r="AB8" s="34">
        <f t="shared" si="1"/>
        <v>3645.6174234760174</v>
      </c>
      <c r="AC8" s="34">
        <f t="shared" si="1"/>
        <v>3645.6174234760174</v>
      </c>
      <c r="AD8" s="34">
        <f t="shared" si="1"/>
        <v>3645.6174234760174</v>
      </c>
      <c r="AE8" s="35">
        <f>SUM(S8:AD8)</f>
        <v>43747.409081712212</v>
      </c>
      <c r="AG8" s="29"/>
      <c r="AH8" s="7" t="s">
        <v>4</v>
      </c>
      <c r="AI8" s="34">
        <f>$AD8*(1+AI$5)</f>
        <v>3645.6174234760174</v>
      </c>
      <c r="AJ8" s="34">
        <f t="shared" ref="AJ8:AT8" si="2">$AD8*1+(AJ$5)</f>
        <v>3645.6174234760174</v>
      </c>
      <c r="AK8" s="34">
        <f t="shared" si="2"/>
        <v>3645.6174234760174</v>
      </c>
      <c r="AL8" s="34">
        <f t="shared" si="2"/>
        <v>3645.6174234760174</v>
      </c>
      <c r="AM8" s="34">
        <f t="shared" si="2"/>
        <v>3645.6174234760174</v>
      </c>
      <c r="AN8" s="34">
        <f t="shared" si="2"/>
        <v>3645.6174234760174</v>
      </c>
      <c r="AO8" s="34">
        <f t="shared" si="2"/>
        <v>3645.6174234760174</v>
      </c>
      <c r="AP8" s="34">
        <f t="shared" si="2"/>
        <v>3645.6174234760174</v>
      </c>
      <c r="AQ8" s="34">
        <f t="shared" si="2"/>
        <v>3645.6174234760174</v>
      </c>
      <c r="AR8" s="34">
        <f t="shared" si="2"/>
        <v>3645.6174234760174</v>
      </c>
      <c r="AS8" s="34">
        <f t="shared" si="2"/>
        <v>3645.6174234760174</v>
      </c>
      <c r="AT8" s="34">
        <f t="shared" si="2"/>
        <v>3645.6174234760174</v>
      </c>
      <c r="AU8" s="35">
        <f>SUM(AI8:AT8)</f>
        <v>43747.409081712212</v>
      </c>
    </row>
    <row r="9" spans="1:47" x14ac:dyDescent="0.35">
      <c r="A9" s="33"/>
      <c r="B9" s="7" t="s">
        <v>6</v>
      </c>
      <c r="C9" s="54">
        <f>Données!N7</f>
        <v>1823.1797919762259</v>
      </c>
      <c r="D9" s="34">
        <f t="shared" ref="D9:D17" si="3">C9*(1+D$5)</f>
        <v>2005.4977711738486</v>
      </c>
      <c r="E9" s="34">
        <f t="shared" ref="E9:N9" si="4">D9*(1+E$5)</f>
        <v>2306.3224368499259</v>
      </c>
      <c r="F9" s="34">
        <f t="shared" si="4"/>
        <v>2652.2708023774144</v>
      </c>
      <c r="G9" s="34">
        <f t="shared" si="4"/>
        <v>3050.1114227340263</v>
      </c>
      <c r="H9" s="34">
        <f t="shared" si="4"/>
        <v>3355.1225650074293</v>
      </c>
      <c r="I9" s="34">
        <f t="shared" si="4"/>
        <v>3690.6348215081725</v>
      </c>
      <c r="J9" s="34">
        <f t="shared" si="4"/>
        <v>3875.1665625835813</v>
      </c>
      <c r="K9" s="34">
        <f t="shared" si="4"/>
        <v>4068.9248907127603</v>
      </c>
      <c r="L9" s="34">
        <f t="shared" si="4"/>
        <v>4272.3711352483988</v>
      </c>
      <c r="M9" s="34">
        <f t="shared" si="4"/>
        <v>4272.3711352483988</v>
      </c>
      <c r="N9" s="34">
        <f t="shared" si="4"/>
        <v>4272.3711352483988</v>
      </c>
      <c r="O9" s="35">
        <f t="shared" ref="O9:O20" si="5">SUM(C9:N9)</f>
        <v>39644.344470668584</v>
      </c>
      <c r="Q9" s="29"/>
      <c r="R9" s="7" t="s">
        <v>6</v>
      </c>
      <c r="S9" s="34">
        <f>$N9*(1+T$5)</f>
        <v>4272.3711352483988</v>
      </c>
      <c r="T9" s="34">
        <f t="shared" ref="T9:AD9" si="6">$N9*(1+U$5)</f>
        <v>4272.3711352483988</v>
      </c>
      <c r="U9" s="34">
        <f t="shared" si="6"/>
        <v>4272.3711352483988</v>
      </c>
      <c r="V9" s="34">
        <f t="shared" si="6"/>
        <v>4272.3711352483988</v>
      </c>
      <c r="W9" s="34">
        <f t="shared" si="6"/>
        <v>4272.3711352483988</v>
      </c>
      <c r="X9" s="34">
        <f t="shared" si="6"/>
        <v>4272.3711352483988</v>
      </c>
      <c r="Y9" s="34">
        <f t="shared" si="6"/>
        <v>4272.3711352483988</v>
      </c>
      <c r="Z9" s="34">
        <f t="shared" si="6"/>
        <v>4272.3711352483988</v>
      </c>
      <c r="AA9" s="34">
        <f t="shared" si="6"/>
        <v>4272.3711352483988</v>
      </c>
      <c r="AB9" s="34">
        <f t="shared" si="6"/>
        <v>4272.3711352483988</v>
      </c>
      <c r="AC9" s="34">
        <f t="shared" si="6"/>
        <v>4272.3711352483988</v>
      </c>
      <c r="AD9" s="34">
        <f t="shared" si="6"/>
        <v>4272.3711352483988</v>
      </c>
      <c r="AE9" s="35">
        <f t="shared" ref="AE9:AE20" si="7">SUM(S9:AD9)</f>
        <v>51268.453622980771</v>
      </c>
      <c r="AG9" s="29"/>
      <c r="AH9" s="7" t="s">
        <v>6</v>
      </c>
      <c r="AI9" s="34">
        <f>$N9*(1+AI$5)</f>
        <v>4272.3711352483988</v>
      </c>
      <c r="AJ9" s="34">
        <f t="shared" ref="AJ9:AT9" si="8">$N9*(1+AJ$5)</f>
        <v>4272.3711352483988</v>
      </c>
      <c r="AK9" s="34">
        <f t="shared" si="8"/>
        <v>4272.3711352483988</v>
      </c>
      <c r="AL9" s="34">
        <f t="shared" si="8"/>
        <v>4272.3711352483988</v>
      </c>
      <c r="AM9" s="34">
        <f t="shared" si="8"/>
        <v>4272.3711352483988</v>
      </c>
      <c r="AN9" s="34">
        <f t="shared" si="8"/>
        <v>4272.3711352483988</v>
      </c>
      <c r="AO9" s="34">
        <f t="shared" si="8"/>
        <v>4272.3711352483988</v>
      </c>
      <c r="AP9" s="34">
        <f t="shared" si="8"/>
        <v>4272.3711352483988</v>
      </c>
      <c r="AQ9" s="34">
        <f t="shared" si="8"/>
        <v>4272.3711352483988</v>
      </c>
      <c r="AR9" s="34">
        <f t="shared" si="8"/>
        <v>4272.3711352483988</v>
      </c>
      <c r="AS9" s="34">
        <f t="shared" si="8"/>
        <v>4272.3711352483988</v>
      </c>
      <c r="AT9" s="34">
        <f t="shared" si="8"/>
        <v>4272.3711352483988</v>
      </c>
      <c r="AU9" s="35">
        <f>SUM(AI9:AT9)</f>
        <v>51268.453622980771</v>
      </c>
    </row>
    <row r="10" spans="1:47" x14ac:dyDescent="0.35">
      <c r="A10" s="33" t="s">
        <v>63</v>
      </c>
      <c r="B10" s="7" t="s">
        <v>30</v>
      </c>
      <c r="C10" s="55">
        <f>Données!N8</f>
        <v>1077.2659732540862</v>
      </c>
      <c r="D10" s="56">
        <f t="shared" si="3"/>
        <v>1184.9925705794949</v>
      </c>
      <c r="E10" s="56">
        <f>D10*(1+E$5)</f>
        <v>1362.7414561664191</v>
      </c>
      <c r="F10" s="57"/>
      <c r="G10" s="57"/>
      <c r="H10" s="57"/>
      <c r="I10" s="57"/>
      <c r="J10" s="57"/>
      <c r="K10" s="57"/>
      <c r="L10" s="56">
        <f>E10*(1+F$5)</f>
        <v>1567.1526745913818</v>
      </c>
      <c r="M10" s="56">
        <f>L10*(1+G$5)</f>
        <v>1802.225575780089</v>
      </c>
      <c r="N10" s="56">
        <f>M10*(1+H$5)</f>
        <v>1982.4481333580982</v>
      </c>
      <c r="O10" s="35">
        <f t="shared" si="5"/>
        <v>8976.826383729569</v>
      </c>
      <c r="Q10" s="29"/>
      <c r="R10" s="7" t="s">
        <v>30</v>
      </c>
      <c r="S10" s="55">
        <f>1077.26597325409*1+(I$5)</f>
        <v>1077.36597325409</v>
      </c>
      <c r="T10" s="56">
        <f>1184.99257057949*1+(J$5)</f>
        <v>1185.0425705794898</v>
      </c>
      <c r="U10" s="56">
        <f>1362.74145616642*1+(L$5)</f>
        <v>1362.7914561664199</v>
      </c>
      <c r="AB10" s="56">
        <f>2524.42467241654*1+(T$5)</f>
        <v>2524.42467241654</v>
      </c>
      <c r="AC10" s="56">
        <f t="shared" ref="AC10:AD10" si="9">2524.42467241654*1+(U$5)</f>
        <v>2524.42467241654</v>
      </c>
      <c r="AD10" s="56">
        <f t="shared" si="9"/>
        <v>2524.42467241654</v>
      </c>
      <c r="AE10" s="35">
        <f t="shared" si="7"/>
        <v>11198.47401724962</v>
      </c>
      <c r="AG10" s="29"/>
      <c r="AH10" s="7" t="s">
        <v>30</v>
      </c>
      <c r="AI10" s="56">
        <f>1077.26597325409*1+(W$5)</f>
        <v>1077.2659732540901</v>
      </c>
      <c r="AJ10" s="56">
        <f>1077.26597325409*1+(X$5)</f>
        <v>1077.2659732540901</v>
      </c>
      <c r="AK10" s="56">
        <f t="shared" ref="AK10" si="10">1077.26597325409*1+(Y$5)</f>
        <v>1077.2659732540901</v>
      </c>
      <c r="AL10" s="34"/>
      <c r="AM10" s="34"/>
      <c r="AN10" s="34"/>
      <c r="AO10" s="34"/>
      <c r="AP10" s="34"/>
      <c r="AQ10" s="34"/>
      <c r="AR10" s="56">
        <f>2524.42467241654*1+(AC$5)</f>
        <v>2524.42467241654</v>
      </c>
      <c r="AS10" s="56">
        <f t="shared" ref="AS10:AT10" si="11">2524.42467241654*1+(AD$5)</f>
        <v>2524.42467241654</v>
      </c>
      <c r="AT10" s="56">
        <f t="shared" si="11"/>
        <v>2524.42467241654</v>
      </c>
      <c r="AU10" s="35">
        <f t="shared" ref="AU10:AU20" si="12">SUM(AI10:AT10)</f>
        <v>10805.071937011891</v>
      </c>
    </row>
    <row r="11" spans="1:47" x14ac:dyDescent="0.35">
      <c r="A11" s="33"/>
      <c r="B11" s="7" t="s">
        <v>9</v>
      </c>
      <c r="C11" s="54">
        <f>Données!N9</f>
        <v>849.92570579494804</v>
      </c>
      <c r="D11" s="34">
        <f t="shared" si="3"/>
        <v>934.91827637444294</v>
      </c>
      <c r="E11" s="34">
        <f t="shared" ref="E11:N11" si="13">D11*(1+E$5)</f>
        <v>1075.1560178306092</v>
      </c>
      <c r="F11" s="34">
        <f t="shared" si="13"/>
        <v>1236.4294205052006</v>
      </c>
      <c r="G11" s="34">
        <f t="shared" si="13"/>
        <v>1421.8938335809805</v>
      </c>
      <c r="H11" s="34">
        <f t="shared" si="13"/>
        <v>1564.0832169390787</v>
      </c>
      <c r="I11" s="34">
        <f t="shared" si="13"/>
        <v>1720.4915386329867</v>
      </c>
      <c r="J11" s="34">
        <f t="shared" si="13"/>
        <v>1806.516115564636</v>
      </c>
      <c r="K11" s="34">
        <f t="shared" si="13"/>
        <v>1896.8419213428679</v>
      </c>
      <c r="L11" s="34">
        <f t="shared" si="13"/>
        <v>1991.6840174100114</v>
      </c>
      <c r="M11" s="34">
        <f t="shared" si="13"/>
        <v>1991.6840174100114</v>
      </c>
      <c r="N11" s="34">
        <f t="shared" si="13"/>
        <v>1991.6840174100114</v>
      </c>
      <c r="O11" s="35">
        <f t="shared" si="5"/>
        <v>18481.308098795784</v>
      </c>
      <c r="Q11" s="29"/>
      <c r="R11" s="7" t="s">
        <v>9</v>
      </c>
      <c r="S11" s="34">
        <f>$N11*(1+T$5)</f>
        <v>1991.6840174100114</v>
      </c>
      <c r="T11" s="34">
        <f t="shared" ref="T11:AD11" si="14">$N11*(1+U$5)</f>
        <v>1991.6840174100114</v>
      </c>
      <c r="U11" s="34">
        <f t="shared" si="14"/>
        <v>1991.6840174100114</v>
      </c>
      <c r="V11" s="34">
        <f t="shared" si="14"/>
        <v>1991.6840174100114</v>
      </c>
      <c r="W11" s="34">
        <f t="shared" si="14"/>
        <v>1991.6840174100114</v>
      </c>
      <c r="X11" s="34">
        <f t="shared" si="14"/>
        <v>1991.6840174100114</v>
      </c>
      <c r="Y11" s="34">
        <f t="shared" si="14"/>
        <v>1991.6840174100114</v>
      </c>
      <c r="Z11" s="34">
        <f t="shared" si="14"/>
        <v>1991.6840174100114</v>
      </c>
      <c r="AA11" s="34">
        <f t="shared" si="14"/>
        <v>1991.6840174100114</v>
      </c>
      <c r="AB11" s="34">
        <f t="shared" si="14"/>
        <v>1991.6840174100114</v>
      </c>
      <c r="AC11" s="34">
        <f t="shared" si="14"/>
        <v>1991.6840174100114</v>
      </c>
      <c r="AD11" s="34">
        <f t="shared" si="14"/>
        <v>1991.6840174100114</v>
      </c>
      <c r="AE11" s="35">
        <f t="shared" si="7"/>
        <v>23900.208208920132</v>
      </c>
      <c r="AG11" s="29"/>
      <c r="AH11" s="7" t="s">
        <v>9</v>
      </c>
      <c r="AI11" s="34">
        <f>$N11*(1+AI$5)</f>
        <v>1991.6840174100114</v>
      </c>
      <c r="AJ11" s="34">
        <f t="shared" ref="AJ11:AT12" si="15">$N11*(1+AJ$5)</f>
        <v>1991.6840174100114</v>
      </c>
      <c r="AK11" s="34">
        <f t="shared" si="15"/>
        <v>1991.6840174100114</v>
      </c>
      <c r="AL11" s="34">
        <f t="shared" si="15"/>
        <v>1991.6840174100114</v>
      </c>
      <c r="AM11" s="34">
        <f t="shared" si="15"/>
        <v>1991.6840174100114</v>
      </c>
      <c r="AN11" s="34">
        <f t="shared" si="15"/>
        <v>1991.6840174100114</v>
      </c>
      <c r="AO11" s="34">
        <f t="shared" si="15"/>
        <v>1991.6840174100114</v>
      </c>
      <c r="AP11" s="34">
        <f t="shared" si="15"/>
        <v>1991.6840174100114</v>
      </c>
      <c r="AQ11" s="34">
        <f t="shared" si="15"/>
        <v>1991.6840174100114</v>
      </c>
      <c r="AR11" s="34">
        <f t="shared" si="15"/>
        <v>1991.6840174100114</v>
      </c>
      <c r="AS11" s="34">
        <f t="shared" si="15"/>
        <v>1991.6840174100114</v>
      </c>
      <c r="AT11" s="34">
        <f t="shared" si="15"/>
        <v>1991.6840174100114</v>
      </c>
      <c r="AU11" s="35">
        <f>SUM(AI11:AT11)</f>
        <v>23900.208208920132</v>
      </c>
    </row>
    <row r="12" spans="1:47" x14ac:dyDescent="0.35">
      <c r="A12" s="33"/>
      <c r="B12" s="7" t="s">
        <v>11</v>
      </c>
      <c r="C12" s="54">
        <f>Données!N10</f>
        <v>1411.5898959881129</v>
      </c>
      <c r="D12" s="34">
        <f t="shared" si="3"/>
        <v>1552.7488855869242</v>
      </c>
      <c r="E12" s="34">
        <f t="shared" ref="E12:N12" si="16">D12*(1+E$5)</f>
        <v>1785.6612184249627</v>
      </c>
      <c r="F12" s="34">
        <f t="shared" si="16"/>
        <v>2053.510401188707</v>
      </c>
      <c r="G12" s="34">
        <f t="shared" si="16"/>
        <v>2361.5369613670127</v>
      </c>
      <c r="H12" s="34">
        <f t="shared" si="16"/>
        <v>2597.6906575037142</v>
      </c>
      <c r="I12" s="34">
        <f t="shared" si="16"/>
        <v>2857.4597232540859</v>
      </c>
      <c r="J12" s="34">
        <f t="shared" si="16"/>
        <v>3000.3327094167903</v>
      </c>
      <c r="K12" s="34">
        <f t="shared" si="16"/>
        <v>3150.3493448876297</v>
      </c>
      <c r="L12" s="34">
        <f t="shared" si="16"/>
        <v>3307.8668121320115</v>
      </c>
      <c r="M12" s="34">
        <f t="shared" si="16"/>
        <v>3307.8668121320115</v>
      </c>
      <c r="N12" s="34">
        <f t="shared" si="16"/>
        <v>3307.8668121320115</v>
      </c>
      <c r="O12" s="35">
        <f t="shared" si="5"/>
        <v>30694.480234013972</v>
      </c>
      <c r="Q12" s="29"/>
      <c r="R12" s="7" t="s">
        <v>11</v>
      </c>
      <c r="S12" s="34">
        <f>$N12*(1+T$5)</f>
        <v>3307.8668121320115</v>
      </c>
      <c r="T12" s="34">
        <f t="shared" ref="T12:AD12" si="17">$N12*(1+U$5)</f>
        <v>3307.8668121320115</v>
      </c>
      <c r="U12" s="34">
        <f t="shared" si="17"/>
        <v>3307.8668121320115</v>
      </c>
      <c r="V12" s="34">
        <f t="shared" si="17"/>
        <v>3307.8668121320115</v>
      </c>
      <c r="W12" s="34">
        <f t="shared" si="17"/>
        <v>3307.8668121320115</v>
      </c>
      <c r="X12" s="34">
        <f t="shared" si="17"/>
        <v>3307.8668121320115</v>
      </c>
      <c r="Y12" s="34">
        <f t="shared" si="17"/>
        <v>3307.8668121320115</v>
      </c>
      <c r="Z12" s="34">
        <f t="shared" si="17"/>
        <v>3307.8668121320115</v>
      </c>
      <c r="AA12" s="34">
        <f t="shared" si="17"/>
        <v>3307.8668121320115</v>
      </c>
      <c r="AB12" s="34">
        <f t="shared" si="17"/>
        <v>3307.8668121320115</v>
      </c>
      <c r="AC12" s="34">
        <f t="shared" si="17"/>
        <v>3307.8668121320115</v>
      </c>
      <c r="AD12" s="34">
        <f t="shared" si="17"/>
        <v>3307.8668121320115</v>
      </c>
      <c r="AE12" s="35">
        <f t="shared" si="7"/>
        <v>39694.401745584139</v>
      </c>
      <c r="AG12" s="29"/>
      <c r="AH12" s="7" t="s">
        <v>11</v>
      </c>
      <c r="AI12" s="34">
        <f>$N12*(1+AI$5)</f>
        <v>3307.8668121320115</v>
      </c>
      <c r="AJ12" s="34">
        <f t="shared" si="15"/>
        <v>3307.8668121320115</v>
      </c>
      <c r="AK12" s="34">
        <f t="shared" si="15"/>
        <v>3307.8668121320115</v>
      </c>
      <c r="AL12" s="34">
        <f t="shared" si="15"/>
        <v>3307.8668121320115</v>
      </c>
      <c r="AM12" s="34">
        <f t="shared" si="15"/>
        <v>3307.8668121320115</v>
      </c>
      <c r="AN12" s="34">
        <f t="shared" si="15"/>
        <v>3307.8668121320115</v>
      </c>
      <c r="AO12" s="34">
        <f t="shared" si="15"/>
        <v>3307.8668121320115</v>
      </c>
      <c r="AP12" s="34">
        <f t="shared" si="15"/>
        <v>3307.8668121320115</v>
      </c>
      <c r="AQ12" s="34">
        <f t="shared" si="15"/>
        <v>3307.8668121320115</v>
      </c>
      <c r="AR12" s="34">
        <f t="shared" si="15"/>
        <v>3307.8668121320115</v>
      </c>
      <c r="AS12" s="34">
        <f t="shared" si="15"/>
        <v>3307.8668121320115</v>
      </c>
      <c r="AT12" s="34">
        <f t="shared" si="15"/>
        <v>3307.8668121320115</v>
      </c>
      <c r="AU12" s="35">
        <f t="shared" si="12"/>
        <v>39694.401745584139</v>
      </c>
    </row>
    <row r="13" spans="1:47" x14ac:dyDescent="0.35">
      <c r="A13" s="33" t="s">
        <v>64</v>
      </c>
      <c r="B13" s="7" t="s">
        <v>32</v>
      </c>
      <c r="C13" s="55">
        <f>Données!N11</f>
        <v>487.36998514115896</v>
      </c>
      <c r="D13" s="56">
        <f t="shared" si="3"/>
        <v>536.10698365527492</v>
      </c>
      <c r="E13" s="56">
        <f t="shared" ref="E13" si="18">D13*(1+E$5)</f>
        <v>616.52303120356612</v>
      </c>
      <c r="F13" s="57"/>
      <c r="G13" s="57"/>
      <c r="H13" s="57"/>
      <c r="I13" s="57"/>
      <c r="J13" s="57"/>
      <c r="K13" s="57"/>
      <c r="L13" s="56">
        <f>E13*(1+F$5)</f>
        <v>709.00148588410093</v>
      </c>
      <c r="M13" s="56">
        <f>L13*(1+G$5)</f>
        <v>815.351708766716</v>
      </c>
      <c r="N13" s="56">
        <f>M13*(1+H$5)</f>
        <v>896.88687964338772</v>
      </c>
      <c r="O13" s="35">
        <f t="shared" si="5"/>
        <v>4061.2400742942045</v>
      </c>
      <c r="Q13" s="29"/>
      <c r="R13" s="7" t="s">
        <v>32</v>
      </c>
      <c r="S13" s="55">
        <f>487.369985141159*1+(I$5)</f>
        <v>487.46998514115904</v>
      </c>
      <c r="T13" s="56">
        <f>536.106983655275*1+(J$5)</f>
        <v>536.15698365527498</v>
      </c>
      <c r="U13" s="56">
        <f>616.523031203566*1+(L$5)</f>
        <v>616.57303120356596</v>
      </c>
      <c r="AB13" s="56">
        <f>1142.08454145189*1+(T$5)</f>
        <v>1142.0845414518899</v>
      </c>
      <c r="AC13" s="56">
        <f t="shared" ref="AC13:AD13" si="19">1142.08454145189*1+(U$5)</f>
        <v>1142.0845414518899</v>
      </c>
      <c r="AD13" s="56">
        <f t="shared" si="19"/>
        <v>1142.0845414518899</v>
      </c>
      <c r="AE13" s="35">
        <f t="shared" si="7"/>
        <v>5066.4536243556695</v>
      </c>
      <c r="AG13" s="29"/>
      <c r="AH13" s="7" t="s">
        <v>32</v>
      </c>
      <c r="AI13" s="56">
        <f>487.369985141159*1+(W$5)</f>
        <v>487.36998514115902</v>
      </c>
      <c r="AJ13" s="56">
        <f t="shared" ref="AJ13:AK13" si="20">487.369985141159*1+(X$5)</f>
        <v>487.36998514115902</v>
      </c>
      <c r="AK13" s="56">
        <f t="shared" si="20"/>
        <v>487.36998514115902</v>
      </c>
      <c r="AL13" s="34"/>
      <c r="AM13" s="34"/>
      <c r="AN13" s="34"/>
      <c r="AO13" s="34"/>
      <c r="AP13" s="34"/>
      <c r="AQ13" s="34"/>
      <c r="AR13" s="56">
        <f>1142.08454145189*1+(AC$5)</f>
        <v>1142.0845414518899</v>
      </c>
      <c r="AS13" s="56">
        <f t="shared" ref="AS13:AT13" si="21">1142.08454145189*1+(AD$5)</f>
        <v>1142.0845414518899</v>
      </c>
      <c r="AT13" s="56">
        <f t="shared" si="21"/>
        <v>1142.0845414518899</v>
      </c>
      <c r="AU13" s="35">
        <f t="shared" si="12"/>
        <v>4888.3635797791467</v>
      </c>
    </row>
    <row r="14" spans="1:47" x14ac:dyDescent="0.35">
      <c r="A14" s="33"/>
      <c r="B14" s="7" t="s">
        <v>14</v>
      </c>
      <c r="C14" s="54">
        <f>Données!N12</f>
        <v>729.56909361069836</v>
      </c>
      <c r="D14" s="34">
        <f t="shared" si="3"/>
        <v>802.52600297176821</v>
      </c>
      <c r="E14" s="34">
        <f t="shared" ref="E14:N14" si="22">D14*(1+E$5)</f>
        <v>922.90490341753332</v>
      </c>
      <c r="F14" s="34">
        <f t="shared" si="22"/>
        <v>1061.3406389301633</v>
      </c>
      <c r="G14" s="34">
        <f t="shared" si="22"/>
        <v>1220.5417347696878</v>
      </c>
      <c r="H14" s="34">
        <f t="shared" si="22"/>
        <v>1342.5959082466566</v>
      </c>
      <c r="I14" s="34">
        <f t="shared" si="22"/>
        <v>1476.8554990713224</v>
      </c>
      <c r="J14" s="34">
        <f t="shared" si="22"/>
        <v>1550.6982740248886</v>
      </c>
      <c r="K14" s="34">
        <f t="shared" si="22"/>
        <v>1628.2331877261331</v>
      </c>
      <c r="L14" s="34">
        <f t="shared" si="22"/>
        <v>1709.6448471124399</v>
      </c>
      <c r="M14" s="34">
        <f t="shared" si="22"/>
        <v>1709.6448471124399</v>
      </c>
      <c r="N14" s="34">
        <f t="shared" si="22"/>
        <v>1709.6448471124399</v>
      </c>
      <c r="O14" s="35">
        <f t="shared" si="5"/>
        <v>15864.199784106171</v>
      </c>
      <c r="Q14" s="29"/>
      <c r="R14" s="7" t="s">
        <v>14</v>
      </c>
      <c r="S14" s="34">
        <f>$N14*(1+T$5)</f>
        <v>1709.6448471124399</v>
      </c>
      <c r="T14" s="34">
        <f t="shared" ref="T14:AD14" si="23">$N14*(1+U$5)</f>
        <v>1709.6448471124399</v>
      </c>
      <c r="U14" s="34">
        <f t="shared" si="23"/>
        <v>1709.6448471124399</v>
      </c>
      <c r="V14" s="34">
        <f t="shared" si="23"/>
        <v>1709.6448471124399</v>
      </c>
      <c r="W14" s="34">
        <f t="shared" si="23"/>
        <v>1709.6448471124399</v>
      </c>
      <c r="X14" s="34">
        <f t="shared" si="23"/>
        <v>1709.6448471124399</v>
      </c>
      <c r="Y14" s="34">
        <f t="shared" si="23"/>
        <v>1709.6448471124399</v>
      </c>
      <c r="Z14" s="34">
        <f t="shared" si="23"/>
        <v>1709.6448471124399</v>
      </c>
      <c r="AA14" s="34">
        <f t="shared" si="23"/>
        <v>1709.6448471124399</v>
      </c>
      <c r="AB14" s="34">
        <f t="shared" si="23"/>
        <v>1709.6448471124399</v>
      </c>
      <c r="AC14" s="34">
        <f t="shared" si="23"/>
        <v>1709.6448471124399</v>
      </c>
      <c r="AD14" s="34">
        <f t="shared" si="23"/>
        <v>1709.6448471124399</v>
      </c>
      <c r="AE14" s="35">
        <f t="shared" si="7"/>
        <v>20515.738165349278</v>
      </c>
      <c r="AG14" s="29"/>
      <c r="AH14" s="7" t="s">
        <v>14</v>
      </c>
      <c r="AI14" s="6">
        <f>$N14*(1+AI$5)</f>
        <v>1709.6448471124399</v>
      </c>
      <c r="AJ14" s="6">
        <f t="shared" ref="AJ14:AT15" si="24">$N14*(1+AJ$5)</f>
        <v>1709.6448471124399</v>
      </c>
      <c r="AK14" s="6">
        <f t="shared" si="24"/>
        <v>1709.6448471124399</v>
      </c>
      <c r="AL14" s="6">
        <f t="shared" si="24"/>
        <v>1709.6448471124399</v>
      </c>
      <c r="AM14" s="6">
        <f t="shared" si="24"/>
        <v>1709.6448471124399</v>
      </c>
      <c r="AN14" s="6">
        <f t="shared" si="24"/>
        <v>1709.6448471124399</v>
      </c>
      <c r="AO14" s="6">
        <f t="shared" si="24"/>
        <v>1709.6448471124399</v>
      </c>
      <c r="AP14" s="6">
        <f t="shared" si="24"/>
        <v>1709.6448471124399</v>
      </c>
      <c r="AQ14" s="6">
        <f t="shared" si="24"/>
        <v>1709.6448471124399</v>
      </c>
      <c r="AR14" s="6">
        <f t="shared" si="24"/>
        <v>1709.6448471124399</v>
      </c>
      <c r="AS14" s="6">
        <f t="shared" si="24"/>
        <v>1709.6448471124399</v>
      </c>
      <c r="AT14" s="6">
        <f t="shared" si="24"/>
        <v>1709.6448471124399</v>
      </c>
      <c r="AU14" s="35">
        <f>SUM(AI14:AT14)</f>
        <v>20515.738165349278</v>
      </c>
    </row>
    <row r="15" spans="1:47" x14ac:dyDescent="0.35">
      <c r="A15" s="33"/>
      <c r="B15" s="7" t="s">
        <v>16</v>
      </c>
      <c r="C15" s="54">
        <f>Données!N13</f>
        <v>2231.7979197622585</v>
      </c>
      <c r="D15" s="34">
        <f t="shared" si="3"/>
        <v>2454.9777117384847</v>
      </c>
      <c r="E15" s="34">
        <f t="shared" ref="E15:N15" si="25">D15*(1+E$5)</f>
        <v>2823.2243684992573</v>
      </c>
      <c r="F15" s="34">
        <f t="shared" si="25"/>
        <v>3246.7080237741457</v>
      </c>
      <c r="G15" s="34">
        <f t="shared" si="25"/>
        <v>3733.7142273402674</v>
      </c>
      <c r="H15" s="34">
        <f t="shared" si="25"/>
        <v>4107.0856500742948</v>
      </c>
      <c r="I15" s="34">
        <f t="shared" si="25"/>
        <v>4517.7942150817244</v>
      </c>
      <c r="J15" s="34">
        <f t="shared" si="25"/>
        <v>4743.6839258358104</v>
      </c>
      <c r="K15" s="34">
        <f t="shared" si="25"/>
        <v>4980.8681221276011</v>
      </c>
      <c r="L15" s="34">
        <f t="shared" si="25"/>
        <v>5229.9115282339817</v>
      </c>
      <c r="M15" s="34">
        <f t="shared" si="25"/>
        <v>5229.9115282339817</v>
      </c>
      <c r="N15" s="34">
        <f t="shared" si="25"/>
        <v>5229.9115282339817</v>
      </c>
      <c r="O15" s="35">
        <f t="shared" si="5"/>
        <v>48529.588748935799</v>
      </c>
      <c r="Q15" s="29"/>
      <c r="R15" s="7" t="s">
        <v>16</v>
      </c>
      <c r="S15" s="34">
        <f>$N15*(1+T$5)</f>
        <v>5229.9115282339817</v>
      </c>
      <c r="T15" s="34">
        <f t="shared" ref="T15:AD15" si="26">$N15*(1+U$5)</f>
        <v>5229.9115282339817</v>
      </c>
      <c r="U15" s="34">
        <f t="shared" si="26"/>
        <v>5229.9115282339817</v>
      </c>
      <c r="V15" s="34">
        <f t="shared" si="26"/>
        <v>5229.9115282339817</v>
      </c>
      <c r="W15" s="34">
        <f t="shared" si="26"/>
        <v>5229.9115282339817</v>
      </c>
      <c r="X15" s="34">
        <f t="shared" si="26"/>
        <v>5229.9115282339817</v>
      </c>
      <c r="Y15" s="34">
        <f t="shared" si="26"/>
        <v>5229.9115282339817</v>
      </c>
      <c r="Z15" s="34">
        <f t="shared" si="26"/>
        <v>5229.9115282339817</v>
      </c>
      <c r="AA15" s="34">
        <f t="shared" si="26"/>
        <v>5229.9115282339817</v>
      </c>
      <c r="AB15" s="34">
        <f t="shared" si="26"/>
        <v>5229.9115282339817</v>
      </c>
      <c r="AC15" s="34">
        <f t="shared" si="26"/>
        <v>5229.9115282339817</v>
      </c>
      <c r="AD15" s="34">
        <f t="shared" si="26"/>
        <v>5229.9115282339817</v>
      </c>
      <c r="AE15" s="35">
        <f t="shared" si="7"/>
        <v>62758.938338807791</v>
      </c>
      <c r="AG15" s="29"/>
      <c r="AH15" s="7" t="s">
        <v>16</v>
      </c>
      <c r="AI15" s="34">
        <f>$N15*(1+AI$5)</f>
        <v>5229.9115282339817</v>
      </c>
      <c r="AJ15" s="34">
        <f t="shared" si="24"/>
        <v>5229.9115282339817</v>
      </c>
      <c r="AK15" s="34">
        <f t="shared" si="24"/>
        <v>5229.9115282339817</v>
      </c>
      <c r="AL15" s="34">
        <f t="shared" si="24"/>
        <v>5229.9115282339817</v>
      </c>
      <c r="AM15" s="34">
        <f t="shared" si="24"/>
        <v>5229.9115282339817</v>
      </c>
      <c r="AN15" s="34">
        <f t="shared" si="24"/>
        <v>5229.9115282339817</v>
      </c>
      <c r="AO15" s="34">
        <f t="shared" si="24"/>
        <v>5229.9115282339817</v>
      </c>
      <c r="AP15" s="34">
        <f t="shared" si="24"/>
        <v>5229.9115282339817</v>
      </c>
      <c r="AQ15" s="34">
        <f t="shared" si="24"/>
        <v>5229.9115282339817</v>
      </c>
      <c r="AR15" s="34">
        <f t="shared" si="24"/>
        <v>5229.9115282339817</v>
      </c>
      <c r="AS15" s="34">
        <f t="shared" si="24"/>
        <v>5229.9115282339817</v>
      </c>
      <c r="AT15" s="34">
        <f t="shared" si="24"/>
        <v>5229.9115282339817</v>
      </c>
      <c r="AU15" s="35">
        <f t="shared" si="12"/>
        <v>62758.938338807791</v>
      </c>
    </row>
    <row r="16" spans="1:47" x14ac:dyDescent="0.35">
      <c r="A16" s="33" t="s">
        <v>63</v>
      </c>
      <c r="B16" s="7" t="s">
        <v>33</v>
      </c>
      <c r="C16" s="55">
        <f>Données!N14</f>
        <v>1270.4309063893015</v>
      </c>
      <c r="D16" s="56">
        <f t="shared" si="3"/>
        <v>1397.4739970282317</v>
      </c>
      <c r="E16" s="56">
        <f t="shared" ref="E16" si="27">D16*(1+E$5)</f>
        <v>1607.0950965824663</v>
      </c>
      <c r="F16" s="57"/>
      <c r="G16" s="57"/>
      <c r="H16" s="57"/>
      <c r="I16" s="57"/>
      <c r="J16" s="57"/>
      <c r="K16" s="57"/>
      <c r="L16" s="56">
        <f>E16*(1+F$5)</f>
        <v>1848.1593610698362</v>
      </c>
      <c r="M16" s="56">
        <f>L16*(1+G$5)</f>
        <v>2125.3832652303113</v>
      </c>
      <c r="N16" s="56">
        <f>M16*(1+H$5)</f>
        <v>2337.9215917533425</v>
      </c>
      <c r="O16" s="35">
        <f t="shared" si="5"/>
        <v>10586.46421805349</v>
      </c>
      <c r="Q16" s="29"/>
      <c r="R16" s="7" t="s">
        <v>33</v>
      </c>
      <c r="S16" s="55">
        <f>1270.4309063893*1+(I5)</f>
        <v>1270.5309063892998</v>
      </c>
      <c r="T16" s="56">
        <f>1397.47399702823*1+(J5)</f>
        <v>1397.52399702823</v>
      </c>
      <c r="U16" s="56">
        <f>1607.09509658247*1+(L5)</f>
        <v>1607.1450965824699</v>
      </c>
      <c r="AB16" s="56">
        <f>2977.08013091881*1+(T$5)</f>
        <v>2977.08013091881</v>
      </c>
      <c r="AC16" s="56">
        <f t="shared" ref="AC16:AD16" si="28">2977.08013091881*1+(U$5)</f>
        <v>2977.08013091881</v>
      </c>
      <c r="AD16" s="56">
        <f t="shared" si="28"/>
        <v>2977.08013091881</v>
      </c>
      <c r="AE16" s="35">
        <f t="shared" si="7"/>
        <v>13206.440392756431</v>
      </c>
      <c r="AG16" s="29"/>
      <c r="AH16" s="7" t="s">
        <v>33</v>
      </c>
      <c r="AI16" s="56">
        <f>1270.4309063893*1+(W$3)</f>
        <v>1270.4309063892999</v>
      </c>
      <c r="AJ16" s="56">
        <f t="shared" ref="AJ16:AK16" si="29">1270.4309063893*1+(X$3)</f>
        <v>1270.4309063892999</v>
      </c>
      <c r="AK16" s="56">
        <f t="shared" si="29"/>
        <v>1270.4309063892999</v>
      </c>
      <c r="AL16" s="34"/>
      <c r="AM16" s="34"/>
      <c r="AN16" s="34"/>
      <c r="AO16" s="34"/>
      <c r="AP16" s="34"/>
      <c r="AQ16" s="34"/>
      <c r="AR16" s="56">
        <f>2977.08013091881*1+(AC$5)</f>
        <v>2977.08013091881</v>
      </c>
      <c r="AS16" s="56">
        <f t="shared" ref="AS16:AT16" si="30">2977.08013091881*1+(AD$5)</f>
        <v>2977.08013091881</v>
      </c>
      <c r="AT16" s="56">
        <f t="shared" si="30"/>
        <v>2977.08013091881</v>
      </c>
      <c r="AU16" s="35">
        <f t="shared" si="12"/>
        <v>12742.533111924331</v>
      </c>
    </row>
    <row r="17" spans="1:47" x14ac:dyDescent="0.35">
      <c r="A17" s="33"/>
      <c r="B17" s="7" t="s">
        <v>19</v>
      </c>
      <c r="C17" s="54">
        <f>Données!N15</f>
        <v>334.32392273402672</v>
      </c>
      <c r="D17" s="34">
        <f t="shared" si="3"/>
        <v>367.75631500742941</v>
      </c>
      <c r="E17" s="34">
        <f t="shared" ref="E17:N17" si="31">D17*(1+E$5)</f>
        <v>422.91976225854381</v>
      </c>
      <c r="F17" s="34">
        <f t="shared" si="31"/>
        <v>486.35772659732532</v>
      </c>
      <c r="G17" s="34">
        <f t="shared" si="31"/>
        <v>559.31138558692408</v>
      </c>
      <c r="H17" s="34">
        <f t="shared" si="31"/>
        <v>615.24252414561658</v>
      </c>
      <c r="I17" s="34">
        <f t="shared" si="31"/>
        <v>676.7667765601783</v>
      </c>
      <c r="J17" s="34">
        <f t="shared" si="31"/>
        <v>710.6051153881873</v>
      </c>
      <c r="K17" s="34">
        <f t="shared" si="31"/>
        <v>746.13537115759675</v>
      </c>
      <c r="L17" s="34">
        <f t="shared" si="31"/>
        <v>783.44213971547663</v>
      </c>
      <c r="M17" s="34">
        <f t="shared" si="31"/>
        <v>783.44213971547663</v>
      </c>
      <c r="N17" s="34">
        <f t="shared" si="31"/>
        <v>783.44213971547663</v>
      </c>
      <c r="O17" s="35">
        <f t="shared" si="5"/>
        <v>7269.7453185822578</v>
      </c>
      <c r="Q17" s="29"/>
      <c r="R17" s="7" t="s">
        <v>19</v>
      </c>
      <c r="S17" s="34">
        <f>$N17*(1+T$5)</f>
        <v>783.44213971547663</v>
      </c>
      <c r="T17" s="34">
        <f t="shared" ref="T17:AD17" si="32">$N17*(1+U$5)</f>
        <v>783.44213971547663</v>
      </c>
      <c r="U17" s="34">
        <f t="shared" si="32"/>
        <v>783.44213971547663</v>
      </c>
      <c r="V17" s="34">
        <f t="shared" si="32"/>
        <v>783.44213971547663</v>
      </c>
      <c r="W17" s="34">
        <f t="shared" si="32"/>
        <v>783.44213971547663</v>
      </c>
      <c r="X17" s="34">
        <f t="shared" si="32"/>
        <v>783.44213971547663</v>
      </c>
      <c r="Y17" s="34">
        <f t="shared" si="32"/>
        <v>783.44213971547663</v>
      </c>
      <c r="Z17" s="34">
        <f t="shared" si="32"/>
        <v>783.44213971547663</v>
      </c>
      <c r="AA17" s="34">
        <f t="shared" si="32"/>
        <v>783.44213971547663</v>
      </c>
      <c r="AB17" s="34">
        <f t="shared" si="32"/>
        <v>783.44213971547663</v>
      </c>
      <c r="AC17" s="34">
        <f t="shared" si="32"/>
        <v>783.44213971547663</v>
      </c>
      <c r="AD17" s="34">
        <f t="shared" si="32"/>
        <v>783.44213971547663</v>
      </c>
      <c r="AE17" s="35">
        <f t="shared" si="7"/>
        <v>9401.30567658572</v>
      </c>
      <c r="AG17" s="29"/>
      <c r="AH17" s="7" t="s">
        <v>19</v>
      </c>
      <c r="AI17" s="34">
        <f>$N17*(1+AI$5)</f>
        <v>783.44213971547663</v>
      </c>
      <c r="AJ17" s="34">
        <f t="shared" ref="AJ17:AT17" si="33">$N17*(1+AJ$5)</f>
        <v>783.44213971547663</v>
      </c>
      <c r="AK17" s="34">
        <f t="shared" si="33"/>
        <v>783.44213971547663</v>
      </c>
      <c r="AL17" s="34">
        <f t="shared" si="33"/>
        <v>783.44213971547663</v>
      </c>
      <c r="AM17" s="34">
        <f t="shared" si="33"/>
        <v>783.44213971547663</v>
      </c>
      <c r="AN17" s="34">
        <f t="shared" si="33"/>
        <v>783.44213971547663</v>
      </c>
      <c r="AO17" s="34">
        <f t="shared" si="33"/>
        <v>783.44213971547663</v>
      </c>
      <c r="AP17" s="34">
        <f t="shared" si="33"/>
        <v>783.44213971547663</v>
      </c>
      <c r="AQ17" s="34">
        <f t="shared" si="33"/>
        <v>783.44213971547663</v>
      </c>
      <c r="AR17" s="34">
        <f t="shared" si="33"/>
        <v>783.44213971547663</v>
      </c>
      <c r="AS17" s="34">
        <f t="shared" si="33"/>
        <v>783.44213971547663</v>
      </c>
      <c r="AT17" s="34">
        <f t="shared" si="33"/>
        <v>783.44213971547663</v>
      </c>
      <c r="AU17" s="35">
        <f t="shared" si="12"/>
        <v>9401.30567658572</v>
      </c>
    </row>
    <row r="18" spans="1:47" x14ac:dyDescent="0.35">
      <c r="A18" s="33" t="s">
        <v>65</v>
      </c>
      <c r="B18" s="7" t="s">
        <v>34</v>
      </c>
      <c r="C18" s="54"/>
      <c r="D18" s="34"/>
      <c r="E18" s="34"/>
      <c r="F18" s="56">
        <f>Données!N16*(1+Données!F$26)</f>
        <v>335.37706792896898</v>
      </c>
      <c r="G18" s="56">
        <f>F18*(1+$D$5)</f>
        <v>368.91477472186591</v>
      </c>
      <c r="H18" s="56">
        <f>G18*(1+$E$5)</f>
        <v>424.25199093014578</v>
      </c>
      <c r="I18" s="34"/>
      <c r="J18" s="34"/>
      <c r="K18" s="34"/>
      <c r="L18" s="56">
        <f>H18*(1+F$5)</f>
        <v>487.88978956966758</v>
      </c>
      <c r="M18" s="56">
        <f>L18*(1+$G$5)</f>
        <v>561.07325800511762</v>
      </c>
      <c r="N18" s="56">
        <f>M18*(1+$H$5)</f>
        <v>617.18058380562945</v>
      </c>
      <c r="O18" s="35">
        <f t="shared" si="5"/>
        <v>2794.6874649613951</v>
      </c>
      <c r="Q18" s="29"/>
      <c r="R18" s="7" t="s">
        <v>34</v>
      </c>
      <c r="V18" s="56">
        <f>335.377067928969*1+($M5)</f>
        <v>335.37706792896898</v>
      </c>
      <c r="W18" s="56">
        <f>368.914774721866*1+(N$5)</f>
        <v>368.91477472186602</v>
      </c>
      <c r="X18" s="56">
        <f>424.251990930146*1+(S5)</f>
        <v>424.25199093014601</v>
      </c>
      <c r="AB18" s="56">
        <f>487.889789569668*1+(T$5)</f>
        <v>487.88978956966798</v>
      </c>
      <c r="AC18" s="56">
        <f t="shared" ref="AC18:AD18" si="34">487.889789569668*1+(U$5)</f>
        <v>487.88978956966798</v>
      </c>
      <c r="AD18" s="56">
        <f t="shared" si="34"/>
        <v>487.88978956966798</v>
      </c>
      <c r="AE18" s="35">
        <f t="shared" si="7"/>
        <v>2592.213202289985</v>
      </c>
      <c r="AG18" s="29"/>
      <c r="AH18" s="7" t="s">
        <v>34</v>
      </c>
      <c r="AI18" s="34"/>
      <c r="AJ18" s="34"/>
      <c r="AK18" s="34"/>
      <c r="AL18" s="56">
        <f>335.377067928969*1+(Z$5)</f>
        <v>335.37706792896898</v>
      </c>
      <c r="AM18" s="56">
        <f t="shared" ref="AM18" si="35">335.377067928969*1+(AA$5)</f>
        <v>335.37706792896898</v>
      </c>
      <c r="AN18" s="56">
        <f>335.377067928969*1+(AB$5)</f>
        <v>335.37706792896898</v>
      </c>
      <c r="AO18" s="34"/>
      <c r="AP18" s="34"/>
      <c r="AQ18" s="34"/>
      <c r="AR18" s="56">
        <f>487.889789569668*1+(AC$5)</f>
        <v>487.88978956966798</v>
      </c>
      <c r="AS18" s="56">
        <f t="shared" ref="AS18:AT18" si="36">487.889789569668*1+(AD$5)</f>
        <v>487.88978956966798</v>
      </c>
      <c r="AT18" s="56">
        <f t="shared" si="36"/>
        <v>487.88978956966798</v>
      </c>
      <c r="AU18" s="35">
        <f t="shared" si="12"/>
        <v>2469.8005724959112</v>
      </c>
    </row>
    <row r="19" spans="1:47" x14ac:dyDescent="0.35">
      <c r="A19" s="33" t="s">
        <v>65</v>
      </c>
      <c r="B19" s="7" t="s">
        <v>66</v>
      </c>
      <c r="C19" s="54"/>
      <c r="D19" s="34"/>
      <c r="E19" s="34"/>
      <c r="F19" s="56">
        <f>Données!N17*(1+Données!F$26)</f>
        <v>1000.3488405467524</v>
      </c>
      <c r="G19" s="56">
        <f>F19*(1+$D$5)</f>
        <v>1100.3837246014277</v>
      </c>
      <c r="H19" s="56">
        <f t="shared" ref="H19:H20" si="37">G19*(1+$E$5)</f>
        <v>1265.4412832916419</v>
      </c>
      <c r="I19" s="34"/>
      <c r="J19" s="34"/>
      <c r="K19" s="34"/>
      <c r="L19" s="56">
        <f t="shared" ref="L19:L20" si="38">H19*(1+F$5)</f>
        <v>1455.2574757853881</v>
      </c>
      <c r="M19" s="56">
        <f>L19*(1+$G$5)</f>
        <v>1673.5460971531961</v>
      </c>
      <c r="N19" s="56">
        <f t="shared" ref="N19:N20" si="39">M19*(1+$H$5)</f>
        <v>1840.900706868516</v>
      </c>
      <c r="O19" s="35">
        <f t="shared" si="5"/>
        <v>8335.8781282469208</v>
      </c>
      <c r="Q19" s="29"/>
      <c r="R19" s="7" t="s">
        <v>66</v>
      </c>
      <c r="V19" s="56">
        <f>1000.34884054675*1+(M5)</f>
        <v>1000.34884054675</v>
      </c>
      <c r="W19" s="56">
        <f>1100.38372460143*1+(N5)</f>
        <v>1100.38372460143</v>
      </c>
      <c r="X19" s="56">
        <f>1265.44128329164*1+(S5)</f>
        <v>1265.44128329164</v>
      </c>
      <c r="AB19" s="56">
        <f>1455.25747578539*1+(T$5)</f>
        <v>1455.2574757853899</v>
      </c>
      <c r="AC19" s="56">
        <f t="shared" ref="AC19:AD19" si="40">1455.25747578539*1+(U$5)</f>
        <v>1455.2574757853899</v>
      </c>
      <c r="AD19" s="56">
        <f t="shared" si="40"/>
        <v>1455.2574757853899</v>
      </c>
      <c r="AE19" s="35">
        <f t="shared" si="7"/>
        <v>7731.94627579599</v>
      </c>
      <c r="AG19" s="29"/>
      <c r="AH19" s="7" t="s">
        <v>66</v>
      </c>
      <c r="AI19" s="34"/>
      <c r="AJ19" s="34"/>
      <c r="AK19" s="34"/>
      <c r="AL19" s="56">
        <f>1000.34884054675*1+(Z$5)</f>
        <v>1000.34884054675</v>
      </c>
      <c r="AM19" s="56">
        <f t="shared" ref="AM19:AN19" si="41">1000.34884054675*1+(AA$5)</f>
        <v>1000.34884054675</v>
      </c>
      <c r="AN19" s="56">
        <f t="shared" si="41"/>
        <v>1000.34884054675</v>
      </c>
      <c r="AO19" s="34"/>
      <c r="AP19" s="34"/>
      <c r="AQ19" s="34"/>
      <c r="AR19" s="56">
        <f>1455.25747578539*1+(AC$5)</f>
        <v>1455.2574757853899</v>
      </c>
      <c r="AS19" s="56">
        <f t="shared" ref="AS19:AT19" si="42">1455.25747578539*1+(AD$5)</f>
        <v>1455.2574757853899</v>
      </c>
      <c r="AT19" s="56">
        <f t="shared" si="42"/>
        <v>1455.2574757853899</v>
      </c>
      <c r="AU19" s="35">
        <f t="shared" si="12"/>
        <v>7366.8189489964197</v>
      </c>
    </row>
    <row r="20" spans="1:47" ht="15" thickBot="1" x14ac:dyDescent="0.4">
      <c r="A20" s="33" t="s">
        <v>65</v>
      </c>
      <c r="B20" s="7" t="s">
        <v>67</v>
      </c>
      <c r="C20" s="54"/>
      <c r="D20" s="34"/>
      <c r="E20" s="34"/>
      <c r="F20" s="56">
        <f>Données!N18*(1+Données!F$26)</f>
        <v>404.76542681082464</v>
      </c>
      <c r="G20" s="56">
        <f>F20*(1+$D$5)</f>
        <v>445.24196949190713</v>
      </c>
      <c r="H20" s="56">
        <f t="shared" si="37"/>
        <v>512.02826491569317</v>
      </c>
      <c r="I20" s="34"/>
      <c r="J20" s="34"/>
      <c r="K20" s="34"/>
      <c r="L20" s="56">
        <f t="shared" si="38"/>
        <v>588.83250465304707</v>
      </c>
      <c r="M20" s="56">
        <f t="shared" ref="M20" si="43">L20*(1+$G$5)</f>
        <v>677.15738035100412</v>
      </c>
      <c r="N20" s="56">
        <f t="shared" si="39"/>
        <v>744.87311838610458</v>
      </c>
      <c r="O20" s="35">
        <f t="shared" si="5"/>
        <v>3372.8986646085809</v>
      </c>
      <c r="Q20" s="29"/>
      <c r="R20" s="7" t="s">
        <v>67</v>
      </c>
      <c r="V20" s="56">
        <f>404.765426810825*1+(M5)</f>
        <v>404.76542681082498</v>
      </c>
      <c r="W20" s="56">
        <f>445.241969491907*1+(N5)</f>
        <v>445.24196949190701</v>
      </c>
      <c r="X20" s="56">
        <f>512.028264915693*1+(S5)</f>
        <v>512.02826491569294</v>
      </c>
      <c r="AB20" s="56">
        <f>588.832504653047*1+(T$5)</f>
        <v>588.83250465304695</v>
      </c>
      <c r="AC20" s="56">
        <f t="shared" ref="AC20:AD20" si="44">588.832504653047*1+(U$5)</f>
        <v>588.83250465304695</v>
      </c>
      <c r="AD20" s="56">
        <f t="shared" si="44"/>
        <v>588.83250465304695</v>
      </c>
      <c r="AE20" s="35">
        <f t="shared" si="7"/>
        <v>3128.5331751775657</v>
      </c>
      <c r="AG20" s="29"/>
      <c r="AH20" s="7" t="s">
        <v>67</v>
      </c>
      <c r="AI20" s="34"/>
      <c r="AJ20" s="34"/>
      <c r="AK20" s="34"/>
      <c r="AL20" s="56">
        <f>404.765426810825*1+(Z$5)</f>
        <v>404.76542681082498</v>
      </c>
      <c r="AM20" s="56">
        <f t="shared" ref="AM20:AN20" si="45">404.765426810825*1+(AA$5)</f>
        <v>404.76542681082498</v>
      </c>
      <c r="AN20" s="56">
        <f t="shared" si="45"/>
        <v>404.76542681082498</v>
      </c>
      <c r="AO20" s="34"/>
      <c r="AP20" s="34"/>
      <c r="AQ20" s="34"/>
      <c r="AR20" s="56">
        <f>588.832504653047*1+(AC$5)</f>
        <v>588.83250465304695</v>
      </c>
      <c r="AS20" s="56">
        <f t="shared" ref="AS20:AT20" si="46">588.832504653047*1+(AD$5)</f>
        <v>588.83250465304695</v>
      </c>
      <c r="AT20" s="56">
        <f t="shared" si="46"/>
        <v>588.83250465304695</v>
      </c>
      <c r="AU20" s="35">
        <f t="shared" si="12"/>
        <v>2980.7937943916158</v>
      </c>
    </row>
    <row r="21" spans="1:47" ht="15" thickBot="1" x14ac:dyDescent="0.4">
      <c r="A21" s="36"/>
      <c r="B21" s="37" t="s">
        <v>68</v>
      </c>
      <c r="C21" s="38">
        <f>SUM(C8:C20)</f>
        <v>11771.173848439823</v>
      </c>
      <c r="D21" s="38">
        <f>SUM(D8:D20)</f>
        <v>12948.291233283804</v>
      </c>
      <c r="E21" s="38">
        <f t="shared" ref="E21:O21" si="47">SUM(E8:E20)</f>
        <v>14890.534918276375</v>
      </c>
      <c r="F21" s="38">
        <f t="shared" si="47"/>
        <v>14740.292969759057</v>
      </c>
      <c r="G21" s="38">
        <f t="shared" si="47"/>
        <v>16864.312348458589</v>
      </c>
      <c r="H21" s="38">
        <f t="shared" si="47"/>
        <v>18646.470606745206</v>
      </c>
      <c r="I21" s="38">
        <f t="shared" si="47"/>
        <v>18089.223974368502</v>
      </c>
      <c r="J21" s="38">
        <f t="shared" si="47"/>
        <v>18993.685173086928</v>
      </c>
      <c r="K21" s="38">
        <f>SUM(K8:K20)</f>
        <v>19943.36943174127</v>
      </c>
      <c r="L21" s="38">
        <f t="shared" si="47"/>
        <v>27596.831194881757</v>
      </c>
      <c r="M21" s="38">
        <f t="shared" si="47"/>
        <v>28595.275188614771</v>
      </c>
      <c r="N21" s="38">
        <f t="shared" si="47"/>
        <v>29360.748917143414</v>
      </c>
      <c r="O21" s="38">
        <f t="shared" si="47"/>
        <v>232440.2098047995</v>
      </c>
      <c r="Q21" s="36"/>
      <c r="R21" s="39"/>
      <c r="S21" s="38">
        <f>SUM(S8:S20)</f>
        <v>23775.904768112883</v>
      </c>
      <c r="T21" s="38">
        <f t="shared" ref="T21:AD21" si="48">SUM(T8:T20)</f>
        <v>24059.261454591331</v>
      </c>
      <c r="U21" s="38">
        <f t="shared" si="48"/>
        <v>24527.04748728079</v>
      </c>
      <c r="V21" s="38">
        <f t="shared" si="48"/>
        <v>22681.029238614883</v>
      </c>
      <c r="W21" s="38">
        <f t="shared" si="48"/>
        <v>22855.078372143544</v>
      </c>
      <c r="X21" s="38">
        <f t="shared" si="48"/>
        <v>23142.259442465816</v>
      </c>
      <c r="Y21" s="38">
        <f t="shared" si="48"/>
        <v>20940.537903328339</v>
      </c>
      <c r="Z21" s="38">
        <f t="shared" si="48"/>
        <v>20940.537903328339</v>
      </c>
      <c r="AA21" s="38">
        <f t="shared" si="48"/>
        <v>20940.537903328339</v>
      </c>
      <c r="AB21" s="38">
        <f t="shared" si="48"/>
        <v>30116.107018123683</v>
      </c>
      <c r="AC21" s="38">
        <f t="shared" si="48"/>
        <v>30116.107018123683</v>
      </c>
      <c r="AD21" s="38">
        <f t="shared" si="48"/>
        <v>30116.107018123683</v>
      </c>
      <c r="AE21" s="38">
        <f>SUM(AE8:AE20)</f>
        <v>294210.51552756532</v>
      </c>
      <c r="AG21" s="36"/>
      <c r="AH21" s="39"/>
      <c r="AI21" s="38">
        <f>SUM(AI8:AI20)</f>
        <v>23775.604768112884</v>
      </c>
      <c r="AJ21" s="38">
        <f t="shared" ref="AJ21:AT21" si="49">SUM(AJ8:AJ20)</f>
        <v>23775.604768112884</v>
      </c>
      <c r="AK21" s="38">
        <f t="shared" si="49"/>
        <v>23775.604768112884</v>
      </c>
      <c r="AL21" s="38">
        <f t="shared" si="49"/>
        <v>22681.029238614883</v>
      </c>
      <c r="AM21" s="38">
        <f t="shared" si="49"/>
        <v>22681.029238614883</v>
      </c>
      <c r="AN21" s="38">
        <f t="shared" si="49"/>
        <v>22681.029238614883</v>
      </c>
      <c r="AO21" s="38">
        <f t="shared" si="49"/>
        <v>20940.537903328339</v>
      </c>
      <c r="AP21" s="38">
        <f t="shared" si="49"/>
        <v>20940.537903328339</v>
      </c>
      <c r="AQ21" s="38">
        <f t="shared" si="49"/>
        <v>20940.537903328339</v>
      </c>
      <c r="AR21" s="38">
        <f t="shared" si="49"/>
        <v>30116.107018123683</v>
      </c>
      <c r="AS21" s="38">
        <f t="shared" si="49"/>
        <v>30116.107018123683</v>
      </c>
      <c r="AT21" s="38">
        <f t="shared" si="49"/>
        <v>30116.107018123683</v>
      </c>
      <c r="AU21" s="38">
        <f>SUM(AU8:AU20)</f>
        <v>292539.83678453928</v>
      </c>
    </row>
    <row r="22" spans="1:47" ht="15" thickBot="1" x14ac:dyDescent="0.4">
      <c r="B22" s="40"/>
      <c r="C22" s="41"/>
      <c r="D22" s="42"/>
      <c r="E22" s="42"/>
      <c r="F22" s="42"/>
      <c r="G22" s="42"/>
      <c r="H22" s="42"/>
      <c r="I22" s="42"/>
      <c r="J22" s="42"/>
      <c r="K22" s="42"/>
      <c r="L22" s="42"/>
      <c r="M22" s="42"/>
      <c r="N22" s="42"/>
      <c r="O22" s="42"/>
      <c r="R22" s="40"/>
      <c r="S22" s="41"/>
      <c r="T22" s="42"/>
      <c r="U22" s="42"/>
      <c r="V22" s="42"/>
      <c r="W22" s="42"/>
      <c r="X22" s="42"/>
      <c r="Y22" s="42"/>
      <c r="Z22" s="42"/>
      <c r="AA22" s="42"/>
      <c r="AB22" s="42"/>
      <c r="AC22" s="42"/>
      <c r="AD22" s="42"/>
      <c r="AE22" s="42"/>
      <c r="AH22" s="40"/>
      <c r="AI22" s="41"/>
      <c r="AJ22" s="42"/>
      <c r="AK22" s="42"/>
      <c r="AL22" s="42"/>
      <c r="AM22" s="42"/>
      <c r="AN22" s="42"/>
      <c r="AO22" s="42"/>
      <c r="AP22" s="42"/>
      <c r="AQ22" s="42"/>
      <c r="AR22" s="42"/>
      <c r="AS22" s="42"/>
      <c r="AT22" s="42"/>
      <c r="AU22" s="42"/>
    </row>
    <row r="23" spans="1:47" ht="26.4" customHeight="1" x14ac:dyDescent="0.35">
      <c r="A23" s="43" t="s">
        <v>2</v>
      </c>
      <c r="B23" s="24" t="s">
        <v>24</v>
      </c>
      <c r="C23" s="44" t="s">
        <v>47</v>
      </c>
      <c r="D23" s="44" t="s">
        <v>48</v>
      </c>
      <c r="E23" s="44" t="s">
        <v>49</v>
      </c>
      <c r="F23" s="44" t="s">
        <v>50</v>
      </c>
      <c r="G23" s="44" t="s">
        <v>51</v>
      </c>
      <c r="H23" s="44" t="s">
        <v>52</v>
      </c>
      <c r="I23" s="44" t="s">
        <v>53</v>
      </c>
      <c r="J23" s="44" t="s">
        <v>54</v>
      </c>
      <c r="K23" s="44" t="s">
        <v>55</v>
      </c>
      <c r="L23" s="44" t="s">
        <v>56</v>
      </c>
      <c r="M23" s="44" t="s">
        <v>57</v>
      </c>
      <c r="N23" s="44" t="s">
        <v>58</v>
      </c>
      <c r="O23" s="45" t="s">
        <v>59</v>
      </c>
      <c r="Q23" s="43" t="s">
        <v>2</v>
      </c>
      <c r="R23" s="24" t="s">
        <v>24</v>
      </c>
      <c r="S23" s="44" t="s">
        <v>47</v>
      </c>
      <c r="T23" s="44" t="s">
        <v>48</v>
      </c>
      <c r="U23" s="44" t="s">
        <v>49</v>
      </c>
      <c r="V23" s="44" t="s">
        <v>50</v>
      </c>
      <c r="W23" s="44" t="s">
        <v>51</v>
      </c>
      <c r="X23" s="44" t="s">
        <v>52</v>
      </c>
      <c r="Y23" s="44" t="s">
        <v>53</v>
      </c>
      <c r="Z23" s="44" t="s">
        <v>54</v>
      </c>
      <c r="AA23" s="44" t="s">
        <v>55</v>
      </c>
      <c r="AB23" s="44" t="s">
        <v>56</v>
      </c>
      <c r="AC23" s="44" t="s">
        <v>57</v>
      </c>
      <c r="AD23" s="44" t="s">
        <v>58</v>
      </c>
      <c r="AE23" s="45" t="s">
        <v>60</v>
      </c>
      <c r="AG23" s="43" t="s">
        <v>2</v>
      </c>
      <c r="AH23" s="24" t="s">
        <v>24</v>
      </c>
      <c r="AI23" s="44" t="s">
        <v>47</v>
      </c>
      <c r="AJ23" s="44" t="s">
        <v>48</v>
      </c>
      <c r="AK23" s="44" t="s">
        <v>49</v>
      </c>
      <c r="AL23" s="44" t="s">
        <v>50</v>
      </c>
      <c r="AM23" s="44" t="s">
        <v>51</v>
      </c>
      <c r="AN23" s="44" t="s">
        <v>52</v>
      </c>
      <c r="AO23" s="44" t="s">
        <v>53</v>
      </c>
      <c r="AP23" s="44" t="s">
        <v>54</v>
      </c>
      <c r="AQ23" s="44" t="s">
        <v>55</v>
      </c>
      <c r="AR23" s="44" t="s">
        <v>56</v>
      </c>
      <c r="AS23" s="44" t="s">
        <v>57</v>
      </c>
      <c r="AT23" s="44" t="s">
        <v>58</v>
      </c>
      <c r="AU23" s="45" t="s">
        <v>61</v>
      </c>
    </row>
    <row r="24" spans="1:47" x14ac:dyDescent="0.35">
      <c r="A24" s="46" cm="1">
        <f t="array" ref="A24:A36">Données!$I$6:$I$18</f>
        <v>10.87</v>
      </c>
      <c r="B24" s="7" t="s">
        <v>4</v>
      </c>
      <c r="C24" s="47">
        <f>C8*$A24</f>
        <v>16910.683506686477</v>
      </c>
      <c r="D24" s="47">
        <f>D8*$A24</f>
        <v>18601.751857355128</v>
      </c>
      <c r="E24" s="47">
        <f t="shared" ref="E24:N24" si="50">E8*$A24</f>
        <v>21392.014635958396</v>
      </c>
      <c r="F24" s="47">
        <f t="shared" si="50"/>
        <v>24600.816831352153</v>
      </c>
      <c r="G24" s="47">
        <f t="shared" si="50"/>
        <v>28290.939356054972</v>
      </c>
      <c r="H24" s="47">
        <f t="shared" si="50"/>
        <v>31120.033291660471</v>
      </c>
      <c r="I24" s="47">
        <f t="shared" si="50"/>
        <v>34232.036620826526</v>
      </c>
      <c r="J24" s="47">
        <f t="shared" si="50"/>
        <v>35943.638451867846</v>
      </c>
      <c r="K24" s="47">
        <f t="shared" si="50"/>
        <v>37740.82037446124</v>
      </c>
      <c r="L24" s="47">
        <f t="shared" si="50"/>
        <v>39627.861393184307</v>
      </c>
      <c r="M24" s="47">
        <f t="shared" si="50"/>
        <v>39627.861393184307</v>
      </c>
      <c r="N24" s="47">
        <f t="shared" si="50"/>
        <v>39627.861393184307</v>
      </c>
      <c r="O24" s="48">
        <f>SUM(C24:N24)</f>
        <v>367716.31910577609</v>
      </c>
      <c r="Q24" s="46">
        <f>A24</f>
        <v>10.87</v>
      </c>
      <c r="R24" s="7" t="s">
        <v>4</v>
      </c>
      <c r="S24" s="47">
        <f>$Q24*S8</f>
        <v>39627.861393184307</v>
      </c>
      <c r="T24" s="47">
        <f t="shared" ref="T24:AD24" si="51">$Q24*T8</f>
        <v>39627.861393184307</v>
      </c>
      <c r="U24" s="47">
        <f t="shared" si="51"/>
        <v>39627.861393184307</v>
      </c>
      <c r="V24" s="47">
        <f>$Q24*V8</f>
        <v>39627.861393184307</v>
      </c>
      <c r="W24" s="47">
        <f t="shared" si="51"/>
        <v>39627.861393184307</v>
      </c>
      <c r="X24" s="47">
        <f t="shared" si="51"/>
        <v>39627.861393184307</v>
      </c>
      <c r="Y24" s="47">
        <f t="shared" si="51"/>
        <v>39627.861393184307</v>
      </c>
      <c r="Z24" s="47">
        <f t="shared" si="51"/>
        <v>39627.861393184307</v>
      </c>
      <c r="AA24" s="47">
        <f t="shared" si="51"/>
        <v>39627.861393184307</v>
      </c>
      <c r="AB24" s="47">
        <f t="shared" si="51"/>
        <v>39627.861393184307</v>
      </c>
      <c r="AC24" s="47">
        <f t="shared" si="51"/>
        <v>39627.861393184307</v>
      </c>
      <c r="AD24" s="47">
        <f t="shared" si="51"/>
        <v>39627.861393184307</v>
      </c>
      <c r="AE24" s="48">
        <f>SUM(S24:AD24)</f>
        <v>475534.33671821159</v>
      </c>
      <c r="AG24" s="46">
        <f>Q24</f>
        <v>10.87</v>
      </c>
      <c r="AH24" s="7" t="s">
        <v>4</v>
      </c>
      <c r="AI24" s="47">
        <f t="shared" ref="AI24:AT24" si="52">AI8*$AG24</f>
        <v>39627.861393184307</v>
      </c>
      <c r="AJ24" s="47">
        <f t="shared" si="52"/>
        <v>39627.861393184307</v>
      </c>
      <c r="AK24" s="47">
        <f t="shared" si="52"/>
        <v>39627.861393184307</v>
      </c>
      <c r="AL24" s="47">
        <f t="shared" si="52"/>
        <v>39627.861393184307</v>
      </c>
      <c r="AM24" s="47">
        <f t="shared" si="52"/>
        <v>39627.861393184307</v>
      </c>
      <c r="AN24" s="47">
        <f t="shared" si="52"/>
        <v>39627.861393184307</v>
      </c>
      <c r="AO24" s="47">
        <f t="shared" si="52"/>
        <v>39627.861393184307</v>
      </c>
      <c r="AP24" s="47">
        <f t="shared" si="52"/>
        <v>39627.861393184307</v>
      </c>
      <c r="AQ24" s="47">
        <f t="shared" si="52"/>
        <v>39627.861393184307</v>
      </c>
      <c r="AR24" s="47">
        <f t="shared" si="52"/>
        <v>39627.861393184307</v>
      </c>
      <c r="AS24" s="47">
        <f t="shared" si="52"/>
        <v>39627.861393184307</v>
      </c>
      <c r="AT24" s="47">
        <f t="shared" si="52"/>
        <v>39627.861393184307</v>
      </c>
      <c r="AU24" s="48">
        <f>SUM(AI24:AT24)</f>
        <v>475534.33671821159</v>
      </c>
    </row>
    <row r="25" spans="1:47" x14ac:dyDescent="0.35">
      <c r="A25" s="46">
        <v>21.74</v>
      </c>
      <c r="B25" s="7" t="s">
        <v>6</v>
      </c>
      <c r="C25" s="47">
        <f t="shared" ref="C25:D36" si="53">C9*$A25</f>
        <v>39635.928677563148</v>
      </c>
      <c r="D25" s="47">
        <f t="shared" si="53"/>
        <v>43599.521545319469</v>
      </c>
      <c r="E25" s="47">
        <f t="shared" ref="E25:N25" si="54">E9*$A25</f>
        <v>50139.449777117385</v>
      </c>
      <c r="F25" s="47">
        <f t="shared" si="54"/>
        <v>57660.367243684981</v>
      </c>
      <c r="G25" s="47">
        <f t="shared" si="54"/>
        <v>66309.422330237721</v>
      </c>
      <c r="H25" s="47">
        <f t="shared" si="54"/>
        <v>72940.364563261508</v>
      </c>
      <c r="I25" s="47">
        <f t="shared" si="54"/>
        <v>80234.401019587662</v>
      </c>
      <c r="J25" s="47">
        <f t="shared" si="54"/>
        <v>84246.121070567053</v>
      </c>
      <c r="K25" s="47">
        <f t="shared" si="54"/>
        <v>88458.427124095397</v>
      </c>
      <c r="L25" s="47">
        <f t="shared" si="54"/>
        <v>92881.348480300177</v>
      </c>
      <c r="M25" s="47">
        <f t="shared" si="54"/>
        <v>92881.348480300177</v>
      </c>
      <c r="N25" s="47">
        <f t="shared" si="54"/>
        <v>92881.348480300177</v>
      </c>
      <c r="O25" s="48">
        <f t="shared" ref="O25:O36" si="55">SUM(C25:N25)</f>
        <v>861868.04879233474</v>
      </c>
      <c r="Q25" s="46">
        <f t="shared" ref="Q25:Q36" si="56">A25</f>
        <v>21.74</v>
      </c>
      <c r="R25" s="7" t="s">
        <v>6</v>
      </c>
      <c r="S25" s="47">
        <f>$Q25*S9</f>
        <v>92881.348480300177</v>
      </c>
      <c r="T25" s="47">
        <f t="shared" ref="S25:AD36" si="57">$Q25*T9</f>
        <v>92881.348480300177</v>
      </c>
      <c r="U25" s="47">
        <f t="shared" si="57"/>
        <v>92881.348480300177</v>
      </c>
      <c r="V25" s="47">
        <f t="shared" si="57"/>
        <v>92881.348480300177</v>
      </c>
      <c r="W25" s="47">
        <f t="shared" si="57"/>
        <v>92881.348480300177</v>
      </c>
      <c r="X25" s="47">
        <f t="shared" si="57"/>
        <v>92881.348480300177</v>
      </c>
      <c r="Y25" s="47">
        <f t="shared" si="57"/>
        <v>92881.348480300177</v>
      </c>
      <c r="Z25" s="47">
        <f t="shared" si="57"/>
        <v>92881.348480300177</v>
      </c>
      <c r="AA25" s="47">
        <f t="shared" si="57"/>
        <v>92881.348480300177</v>
      </c>
      <c r="AB25" s="47">
        <f t="shared" si="57"/>
        <v>92881.348480300177</v>
      </c>
      <c r="AC25" s="47">
        <f t="shared" si="57"/>
        <v>92881.348480300177</v>
      </c>
      <c r="AD25" s="47">
        <f t="shared" si="57"/>
        <v>92881.348480300177</v>
      </c>
      <c r="AE25" s="48">
        <f t="shared" ref="AE25:AE36" si="58">SUM(S25:AD25)</f>
        <v>1114576.1817636022</v>
      </c>
      <c r="AG25" s="46">
        <f t="shared" ref="AG25:AG36" si="59">Q25</f>
        <v>21.74</v>
      </c>
      <c r="AH25" s="7" t="s">
        <v>6</v>
      </c>
      <c r="AI25" s="47">
        <f>AI9*$AG25</f>
        <v>92881.348480300177</v>
      </c>
      <c r="AJ25" s="47">
        <f>AJ9*$AG25</f>
        <v>92881.348480300177</v>
      </c>
      <c r="AK25" s="47">
        <f>AK9*$AG25</f>
        <v>92881.348480300177</v>
      </c>
      <c r="AL25" s="47">
        <f t="shared" ref="AL25:AT36" si="60">AL9*$AG25</f>
        <v>92881.348480300177</v>
      </c>
      <c r="AM25" s="47">
        <f t="shared" si="60"/>
        <v>92881.348480300177</v>
      </c>
      <c r="AN25" s="47">
        <f t="shared" si="60"/>
        <v>92881.348480300177</v>
      </c>
      <c r="AO25" s="47">
        <f t="shared" si="60"/>
        <v>92881.348480300177</v>
      </c>
      <c r="AP25" s="47">
        <f t="shared" si="60"/>
        <v>92881.348480300177</v>
      </c>
      <c r="AQ25" s="47">
        <f t="shared" si="60"/>
        <v>92881.348480300177</v>
      </c>
      <c r="AR25" s="47">
        <f t="shared" si="60"/>
        <v>92881.348480300177</v>
      </c>
      <c r="AS25" s="47">
        <f t="shared" si="60"/>
        <v>92881.348480300177</v>
      </c>
      <c r="AT25" s="47">
        <f t="shared" si="60"/>
        <v>92881.348480300177</v>
      </c>
      <c r="AU25" s="48">
        <f t="shared" ref="AU25:AU36" si="61">SUM(AI25:AT25)</f>
        <v>1114576.1817636022</v>
      </c>
    </row>
    <row r="26" spans="1:47" x14ac:dyDescent="0.35">
      <c r="A26" s="46">
        <v>35.020000000000003</v>
      </c>
      <c r="B26" s="7" t="s">
        <v>30</v>
      </c>
      <c r="C26" s="47">
        <f t="shared" si="53"/>
        <v>37725.854383358106</v>
      </c>
      <c r="D26" s="47">
        <f t="shared" si="53"/>
        <v>41498.439821693915</v>
      </c>
      <c r="E26" s="47">
        <f t="shared" ref="E26:N26" si="62">E10*$A26</f>
        <v>47723.205794948</v>
      </c>
      <c r="F26" s="47">
        <f t="shared" si="62"/>
        <v>0</v>
      </c>
      <c r="G26" s="47">
        <f t="shared" si="62"/>
        <v>0</v>
      </c>
      <c r="H26" s="47">
        <f t="shared" si="62"/>
        <v>0</v>
      </c>
      <c r="I26" s="47">
        <f t="shared" si="62"/>
        <v>0</v>
      </c>
      <c r="J26" s="47">
        <f t="shared" si="62"/>
        <v>0</v>
      </c>
      <c r="K26" s="47">
        <f t="shared" si="62"/>
        <v>0</v>
      </c>
      <c r="L26" s="47">
        <f t="shared" si="62"/>
        <v>54881.686664190194</v>
      </c>
      <c r="M26" s="47">
        <f t="shared" si="62"/>
        <v>63113.939663818725</v>
      </c>
      <c r="N26" s="47">
        <f t="shared" si="62"/>
        <v>69425.333630200606</v>
      </c>
      <c r="O26" s="48">
        <f t="shared" si="55"/>
        <v>314368.45995820954</v>
      </c>
      <c r="Q26" s="46">
        <f t="shared" si="56"/>
        <v>35.020000000000003</v>
      </c>
      <c r="R26" s="7" t="s">
        <v>30</v>
      </c>
      <c r="S26" s="47">
        <f t="shared" si="57"/>
        <v>37729.356383358238</v>
      </c>
      <c r="T26" s="47">
        <f t="shared" si="57"/>
        <v>41500.190821693737</v>
      </c>
      <c r="U26" s="47">
        <f t="shared" si="57"/>
        <v>47724.956794948033</v>
      </c>
      <c r="V26" s="47">
        <f t="shared" si="57"/>
        <v>0</v>
      </c>
      <c r="W26" s="47">
        <f t="shared" si="57"/>
        <v>0</v>
      </c>
      <c r="X26" s="47">
        <f t="shared" si="57"/>
        <v>0</v>
      </c>
      <c r="Y26" s="47">
        <f t="shared" si="57"/>
        <v>0</v>
      </c>
      <c r="Z26" s="47">
        <f t="shared" si="57"/>
        <v>0</v>
      </c>
      <c r="AA26" s="47">
        <f t="shared" si="57"/>
        <v>0</v>
      </c>
      <c r="AB26" s="47">
        <f t="shared" si="57"/>
        <v>88405.352028027235</v>
      </c>
      <c r="AC26" s="47">
        <f t="shared" si="57"/>
        <v>88405.352028027235</v>
      </c>
      <c r="AD26" s="47">
        <f t="shared" si="57"/>
        <v>88405.352028027235</v>
      </c>
      <c r="AE26" s="48">
        <f t="shared" si="58"/>
        <v>392170.56008408172</v>
      </c>
      <c r="AG26" s="46">
        <f t="shared" si="59"/>
        <v>35.020000000000003</v>
      </c>
      <c r="AH26" s="7" t="s">
        <v>30</v>
      </c>
      <c r="AI26" s="47">
        <f>AI10*$AG26</f>
        <v>37725.854383358237</v>
      </c>
      <c r="AJ26" s="47">
        <f t="shared" ref="AJ26:AJ36" si="63">AJ10*$AG26</f>
        <v>37725.854383358237</v>
      </c>
      <c r="AK26" s="47">
        <f t="shared" ref="AK26:AK36" si="64">AK10*$AG26</f>
        <v>37725.854383358237</v>
      </c>
      <c r="AL26" s="47">
        <f t="shared" si="60"/>
        <v>0</v>
      </c>
      <c r="AM26" s="47">
        <f t="shared" si="60"/>
        <v>0</v>
      </c>
      <c r="AN26" s="47">
        <f t="shared" si="60"/>
        <v>0</v>
      </c>
      <c r="AO26" s="47">
        <f t="shared" si="60"/>
        <v>0</v>
      </c>
      <c r="AP26" s="47">
        <f t="shared" si="60"/>
        <v>0</v>
      </c>
      <c r="AQ26" s="47">
        <f t="shared" si="60"/>
        <v>0</v>
      </c>
      <c r="AR26" s="47">
        <f t="shared" si="60"/>
        <v>88405.352028027235</v>
      </c>
      <c r="AS26" s="47">
        <f t="shared" si="60"/>
        <v>88405.352028027235</v>
      </c>
      <c r="AT26" s="47">
        <f t="shared" si="60"/>
        <v>88405.352028027235</v>
      </c>
      <c r="AU26" s="48">
        <f t="shared" si="61"/>
        <v>378393.61923415639</v>
      </c>
    </row>
    <row r="27" spans="1:47" x14ac:dyDescent="0.35">
      <c r="A27" s="46">
        <v>42.26</v>
      </c>
      <c r="B27" s="7" t="s">
        <v>9</v>
      </c>
      <c r="C27" s="47">
        <f t="shared" si="53"/>
        <v>35917.860326894501</v>
      </c>
      <c r="D27" s="47">
        <f t="shared" si="53"/>
        <v>39509.64635958396</v>
      </c>
      <c r="E27" s="47">
        <f t="shared" ref="E27:N27" si="65">E11*$A27</f>
        <v>45436.093313521545</v>
      </c>
      <c r="F27" s="47">
        <f t="shared" si="65"/>
        <v>52251.507310549772</v>
      </c>
      <c r="G27" s="47">
        <f t="shared" si="65"/>
        <v>60089.233407132233</v>
      </c>
      <c r="H27" s="47">
        <f t="shared" si="65"/>
        <v>66098.156747845467</v>
      </c>
      <c r="I27" s="47">
        <f t="shared" si="65"/>
        <v>72707.972422630017</v>
      </c>
      <c r="J27" s="47">
        <f t="shared" si="65"/>
        <v>76343.371043761508</v>
      </c>
      <c r="K27" s="47">
        <f t="shared" si="65"/>
        <v>80160.539595949595</v>
      </c>
      <c r="L27" s="47">
        <f t="shared" si="65"/>
        <v>84168.566575747071</v>
      </c>
      <c r="M27" s="47">
        <f t="shared" si="65"/>
        <v>84168.566575747071</v>
      </c>
      <c r="N27" s="47">
        <f t="shared" si="65"/>
        <v>84168.566575747071</v>
      </c>
      <c r="O27" s="48">
        <f t="shared" si="55"/>
        <v>781020.08025510993</v>
      </c>
      <c r="Q27" s="46">
        <f t="shared" si="56"/>
        <v>42.26</v>
      </c>
      <c r="R27" s="7" t="s">
        <v>9</v>
      </c>
      <c r="S27" s="47">
        <f>$Q27*S11</f>
        <v>84168.566575747071</v>
      </c>
      <c r="T27" s="47">
        <f t="shared" ref="T27:AD27" si="66">$Q27*T11</f>
        <v>84168.566575747071</v>
      </c>
      <c r="U27" s="47">
        <f t="shared" si="66"/>
        <v>84168.566575747071</v>
      </c>
      <c r="V27" s="47">
        <f t="shared" si="66"/>
        <v>84168.566575747071</v>
      </c>
      <c r="W27" s="47">
        <f t="shared" si="66"/>
        <v>84168.566575747071</v>
      </c>
      <c r="X27" s="47">
        <f t="shared" si="66"/>
        <v>84168.566575747071</v>
      </c>
      <c r="Y27" s="47">
        <f t="shared" si="66"/>
        <v>84168.566575747071</v>
      </c>
      <c r="Z27" s="47">
        <f t="shared" si="66"/>
        <v>84168.566575747071</v>
      </c>
      <c r="AA27" s="47">
        <f t="shared" si="66"/>
        <v>84168.566575747071</v>
      </c>
      <c r="AB27" s="47">
        <f t="shared" si="66"/>
        <v>84168.566575747071</v>
      </c>
      <c r="AC27" s="47">
        <f t="shared" si="66"/>
        <v>84168.566575747071</v>
      </c>
      <c r="AD27" s="47">
        <f t="shared" si="66"/>
        <v>84168.566575747071</v>
      </c>
      <c r="AE27" s="48">
        <f t="shared" si="58"/>
        <v>1010022.7989089651</v>
      </c>
      <c r="AG27" s="46">
        <f t="shared" si="59"/>
        <v>42.26</v>
      </c>
      <c r="AH27" s="7" t="s">
        <v>9</v>
      </c>
      <c r="AI27" s="47">
        <f t="shared" ref="AI27:AI36" si="67">AI11*$AG27</f>
        <v>84168.566575747071</v>
      </c>
      <c r="AJ27" s="47">
        <f t="shared" si="63"/>
        <v>84168.566575747071</v>
      </c>
      <c r="AK27" s="47">
        <f>AK11*$AG27</f>
        <v>84168.566575747071</v>
      </c>
      <c r="AL27" s="47">
        <f t="shared" si="60"/>
        <v>84168.566575747071</v>
      </c>
      <c r="AM27" s="47">
        <f t="shared" si="60"/>
        <v>84168.566575747071</v>
      </c>
      <c r="AN27" s="47">
        <f t="shared" si="60"/>
        <v>84168.566575747071</v>
      </c>
      <c r="AO27" s="47">
        <f t="shared" si="60"/>
        <v>84168.566575747071</v>
      </c>
      <c r="AP27" s="47">
        <f t="shared" si="60"/>
        <v>84168.566575747071</v>
      </c>
      <c r="AQ27" s="47">
        <f t="shared" si="60"/>
        <v>84168.566575747071</v>
      </c>
      <c r="AR27" s="47">
        <f t="shared" si="60"/>
        <v>84168.566575747071</v>
      </c>
      <c r="AS27" s="47">
        <f t="shared" si="60"/>
        <v>84168.566575747071</v>
      </c>
      <c r="AT27" s="47">
        <f t="shared" si="60"/>
        <v>84168.566575747071</v>
      </c>
      <c r="AU27" s="48">
        <f t="shared" si="61"/>
        <v>1010022.7989089651</v>
      </c>
    </row>
    <row r="28" spans="1:47" x14ac:dyDescent="0.35">
      <c r="A28" s="46">
        <v>59.17</v>
      </c>
      <c r="B28" s="7" t="s">
        <v>11</v>
      </c>
      <c r="C28" s="47">
        <f t="shared" si="53"/>
        <v>83523.77414561664</v>
      </c>
      <c r="D28" s="47">
        <f t="shared" si="53"/>
        <v>91876.151560178303</v>
      </c>
      <c r="E28" s="47">
        <f t="shared" ref="E28:N28" si="68">E12*$A28</f>
        <v>105657.57429420504</v>
      </c>
      <c r="F28" s="47">
        <f t="shared" si="68"/>
        <v>121506.21043833579</v>
      </c>
      <c r="G28" s="47">
        <f t="shared" si="68"/>
        <v>139732.14200408614</v>
      </c>
      <c r="H28" s="47">
        <f t="shared" si="68"/>
        <v>153705.35620449478</v>
      </c>
      <c r="I28" s="47">
        <f t="shared" si="68"/>
        <v>169075.89182494426</v>
      </c>
      <c r="J28" s="47">
        <f t="shared" si="68"/>
        <v>177529.68641619149</v>
      </c>
      <c r="K28" s="47">
        <f t="shared" si="68"/>
        <v>186406.17073700106</v>
      </c>
      <c r="L28" s="47">
        <f t="shared" si="68"/>
        <v>195726.47927385112</v>
      </c>
      <c r="M28" s="47">
        <f t="shared" si="68"/>
        <v>195726.47927385112</v>
      </c>
      <c r="N28" s="47">
        <f t="shared" si="68"/>
        <v>195726.47927385112</v>
      </c>
      <c r="O28" s="48">
        <f t="shared" si="55"/>
        <v>1816192.3954466067</v>
      </c>
      <c r="Q28" s="46">
        <f t="shared" si="56"/>
        <v>59.17</v>
      </c>
      <c r="R28" s="7" t="s">
        <v>11</v>
      </c>
      <c r="S28" s="47">
        <f t="shared" si="57"/>
        <v>195726.47927385112</v>
      </c>
      <c r="T28" s="47">
        <f t="shared" si="57"/>
        <v>195726.47927385112</v>
      </c>
      <c r="U28" s="47">
        <f t="shared" si="57"/>
        <v>195726.47927385112</v>
      </c>
      <c r="V28" s="47">
        <f t="shared" si="57"/>
        <v>195726.47927385112</v>
      </c>
      <c r="W28" s="47">
        <f t="shared" si="57"/>
        <v>195726.47927385112</v>
      </c>
      <c r="X28" s="47">
        <f t="shared" si="57"/>
        <v>195726.47927385112</v>
      </c>
      <c r="Y28" s="47">
        <f t="shared" si="57"/>
        <v>195726.47927385112</v>
      </c>
      <c r="Z28" s="47">
        <f t="shared" si="57"/>
        <v>195726.47927385112</v>
      </c>
      <c r="AA28" s="47">
        <f t="shared" si="57"/>
        <v>195726.47927385112</v>
      </c>
      <c r="AB28" s="47">
        <f t="shared" si="57"/>
        <v>195726.47927385112</v>
      </c>
      <c r="AC28" s="47">
        <f t="shared" si="57"/>
        <v>195726.47927385112</v>
      </c>
      <c r="AD28" s="47">
        <f t="shared" si="57"/>
        <v>195726.47927385112</v>
      </c>
      <c r="AE28" s="48">
        <f t="shared" si="58"/>
        <v>2348717.7512862128</v>
      </c>
      <c r="AG28" s="46">
        <f t="shared" si="59"/>
        <v>59.17</v>
      </c>
      <c r="AH28" s="7" t="s">
        <v>11</v>
      </c>
      <c r="AI28" s="47">
        <f t="shared" si="67"/>
        <v>195726.47927385112</v>
      </c>
      <c r="AJ28" s="47">
        <f t="shared" si="63"/>
        <v>195726.47927385112</v>
      </c>
      <c r="AK28" s="47">
        <f t="shared" si="64"/>
        <v>195726.47927385112</v>
      </c>
      <c r="AL28" s="47">
        <f t="shared" si="60"/>
        <v>195726.47927385112</v>
      </c>
      <c r="AM28" s="47">
        <f t="shared" si="60"/>
        <v>195726.47927385112</v>
      </c>
      <c r="AN28" s="47">
        <f t="shared" si="60"/>
        <v>195726.47927385112</v>
      </c>
      <c r="AO28" s="47">
        <f t="shared" si="60"/>
        <v>195726.47927385112</v>
      </c>
      <c r="AP28" s="47">
        <f t="shared" si="60"/>
        <v>195726.47927385112</v>
      </c>
      <c r="AQ28" s="47">
        <f t="shared" si="60"/>
        <v>195726.47927385112</v>
      </c>
      <c r="AR28" s="47">
        <f t="shared" si="60"/>
        <v>195726.47927385112</v>
      </c>
      <c r="AS28" s="47">
        <f t="shared" si="60"/>
        <v>195726.47927385112</v>
      </c>
      <c r="AT28" s="47">
        <f t="shared" si="60"/>
        <v>195726.47927385112</v>
      </c>
      <c r="AU28" s="48">
        <f t="shared" si="61"/>
        <v>2348717.7512862128</v>
      </c>
    </row>
    <row r="29" spans="1:47" x14ac:dyDescent="0.35">
      <c r="A29" s="46">
        <v>64</v>
      </c>
      <c r="B29" s="7" t="s">
        <v>32</v>
      </c>
      <c r="C29" s="47">
        <f t="shared" si="53"/>
        <v>31191.679049034174</v>
      </c>
      <c r="D29" s="47">
        <f t="shared" si="53"/>
        <v>34310.846953937595</v>
      </c>
      <c r="E29" s="47">
        <f t="shared" ref="E29:N29" si="69">E13*$A29</f>
        <v>39457.473997028232</v>
      </c>
      <c r="F29" s="47">
        <f t="shared" si="69"/>
        <v>0</v>
      </c>
      <c r="G29" s="47">
        <f t="shared" si="69"/>
        <v>0</v>
      </c>
      <c r="H29" s="47">
        <f t="shared" si="69"/>
        <v>0</v>
      </c>
      <c r="I29" s="47">
        <f t="shared" si="69"/>
        <v>0</v>
      </c>
      <c r="J29" s="47">
        <f t="shared" si="69"/>
        <v>0</v>
      </c>
      <c r="K29" s="47">
        <f t="shared" si="69"/>
        <v>0</v>
      </c>
      <c r="L29" s="47">
        <f t="shared" si="69"/>
        <v>45376.09509658246</v>
      </c>
      <c r="M29" s="47">
        <f t="shared" si="69"/>
        <v>52182.509361069824</v>
      </c>
      <c r="N29" s="47">
        <f t="shared" si="69"/>
        <v>57400.760297176814</v>
      </c>
      <c r="O29" s="48">
        <f t="shared" si="55"/>
        <v>259919.36475482909</v>
      </c>
      <c r="Q29" s="46">
        <f t="shared" si="56"/>
        <v>64</v>
      </c>
      <c r="R29" s="7" t="s">
        <v>32</v>
      </c>
      <c r="S29" s="47">
        <f t="shared" si="57"/>
        <v>31198.079049034179</v>
      </c>
      <c r="T29" s="47">
        <f t="shared" si="57"/>
        <v>34314.046953937599</v>
      </c>
      <c r="U29" s="47">
        <f t="shared" si="57"/>
        <v>39460.673997028221</v>
      </c>
      <c r="V29" s="47">
        <f t="shared" si="57"/>
        <v>0</v>
      </c>
      <c r="W29" s="47">
        <f t="shared" si="57"/>
        <v>0</v>
      </c>
      <c r="X29" s="47">
        <f t="shared" si="57"/>
        <v>0</v>
      </c>
      <c r="Y29" s="47">
        <f t="shared" si="57"/>
        <v>0</v>
      </c>
      <c r="Z29" s="47">
        <f t="shared" si="57"/>
        <v>0</v>
      </c>
      <c r="AA29" s="47">
        <f t="shared" si="57"/>
        <v>0</v>
      </c>
      <c r="AB29" s="47">
        <f t="shared" si="57"/>
        <v>73093.410652920953</v>
      </c>
      <c r="AC29" s="47">
        <f t="shared" si="57"/>
        <v>73093.410652920953</v>
      </c>
      <c r="AD29" s="47">
        <f t="shared" si="57"/>
        <v>73093.410652920953</v>
      </c>
      <c r="AE29" s="48">
        <f t="shared" si="58"/>
        <v>324253.03195876285</v>
      </c>
      <c r="AG29" s="46">
        <f t="shared" si="59"/>
        <v>64</v>
      </c>
      <c r="AH29" s="7" t="s">
        <v>32</v>
      </c>
      <c r="AI29" s="47">
        <f t="shared" si="67"/>
        <v>31191.679049034177</v>
      </c>
      <c r="AJ29" s="47">
        <f t="shared" si="63"/>
        <v>31191.679049034177</v>
      </c>
      <c r="AK29" s="47">
        <f t="shared" si="64"/>
        <v>31191.679049034177</v>
      </c>
      <c r="AL29" s="47">
        <f t="shared" si="60"/>
        <v>0</v>
      </c>
      <c r="AM29" s="47">
        <f t="shared" si="60"/>
        <v>0</v>
      </c>
      <c r="AN29" s="47">
        <f t="shared" si="60"/>
        <v>0</v>
      </c>
      <c r="AO29" s="47">
        <f t="shared" si="60"/>
        <v>0</v>
      </c>
      <c r="AP29" s="47">
        <f t="shared" si="60"/>
        <v>0</v>
      </c>
      <c r="AQ29" s="47">
        <f t="shared" si="60"/>
        <v>0</v>
      </c>
      <c r="AR29" s="47">
        <f t="shared" si="60"/>
        <v>73093.410652920953</v>
      </c>
      <c r="AS29" s="47">
        <f t="shared" si="60"/>
        <v>73093.410652920953</v>
      </c>
      <c r="AT29" s="47">
        <f t="shared" si="60"/>
        <v>73093.410652920953</v>
      </c>
      <c r="AU29" s="48">
        <f t="shared" si="61"/>
        <v>312855.26910586539</v>
      </c>
    </row>
    <row r="30" spans="1:47" x14ac:dyDescent="0.35">
      <c r="A30" s="46">
        <v>82.11</v>
      </c>
      <c r="B30" s="7" t="s">
        <v>14</v>
      </c>
      <c r="C30" s="47">
        <f t="shared" si="53"/>
        <v>59904.918276374439</v>
      </c>
      <c r="D30" s="47">
        <f t="shared" si="53"/>
        <v>65895.410104011884</v>
      </c>
      <c r="E30" s="47">
        <f t="shared" ref="E30:N30" si="70">E14*$A30</f>
        <v>75779.721619613658</v>
      </c>
      <c r="F30" s="47">
        <f t="shared" si="70"/>
        <v>87146.679862555713</v>
      </c>
      <c r="G30" s="47">
        <f t="shared" si="70"/>
        <v>100218.68184193906</v>
      </c>
      <c r="H30" s="47">
        <f t="shared" si="70"/>
        <v>110240.55002613297</v>
      </c>
      <c r="I30" s="47">
        <f t="shared" si="70"/>
        <v>121264.60502874627</v>
      </c>
      <c r="J30" s="47">
        <f t="shared" si="70"/>
        <v>127327.8352801836</v>
      </c>
      <c r="K30" s="47">
        <f t="shared" si="70"/>
        <v>133694.22704419278</v>
      </c>
      <c r="L30" s="47">
        <f t="shared" si="70"/>
        <v>140378.93839640243</v>
      </c>
      <c r="M30" s="47">
        <f t="shared" si="70"/>
        <v>140378.93839640243</v>
      </c>
      <c r="N30" s="47">
        <f t="shared" si="70"/>
        <v>140378.93839640243</v>
      </c>
      <c r="O30" s="48">
        <f t="shared" si="55"/>
        <v>1302609.4442729575</v>
      </c>
      <c r="Q30" s="46">
        <f t="shared" si="56"/>
        <v>82.11</v>
      </c>
      <c r="R30" s="7" t="s">
        <v>14</v>
      </c>
      <c r="S30" s="47">
        <f t="shared" si="57"/>
        <v>140378.93839640243</v>
      </c>
      <c r="T30" s="47">
        <f t="shared" si="57"/>
        <v>140378.93839640243</v>
      </c>
      <c r="U30" s="47">
        <f t="shared" si="57"/>
        <v>140378.93839640243</v>
      </c>
      <c r="V30" s="47">
        <f t="shared" si="57"/>
        <v>140378.93839640243</v>
      </c>
      <c r="W30" s="47">
        <f t="shared" si="57"/>
        <v>140378.93839640243</v>
      </c>
      <c r="X30" s="47">
        <f t="shared" si="57"/>
        <v>140378.93839640243</v>
      </c>
      <c r="Y30" s="47">
        <f t="shared" si="57"/>
        <v>140378.93839640243</v>
      </c>
      <c r="Z30" s="47">
        <f t="shared" si="57"/>
        <v>140378.93839640243</v>
      </c>
      <c r="AA30" s="47">
        <f t="shared" si="57"/>
        <v>140378.93839640243</v>
      </c>
      <c r="AB30" s="47">
        <f t="shared" si="57"/>
        <v>140378.93839640243</v>
      </c>
      <c r="AC30" s="47">
        <f t="shared" si="57"/>
        <v>140378.93839640243</v>
      </c>
      <c r="AD30" s="47">
        <f t="shared" si="57"/>
        <v>140378.93839640243</v>
      </c>
      <c r="AE30" s="48">
        <f t="shared" si="58"/>
        <v>1684547.2607568291</v>
      </c>
      <c r="AG30" s="46">
        <f t="shared" si="59"/>
        <v>82.11</v>
      </c>
      <c r="AH30" s="7" t="s">
        <v>14</v>
      </c>
      <c r="AI30" s="47">
        <f t="shared" si="67"/>
        <v>140378.93839640243</v>
      </c>
      <c r="AJ30" s="47">
        <f t="shared" si="63"/>
        <v>140378.93839640243</v>
      </c>
      <c r="AK30" s="47">
        <f t="shared" si="64"/>
        <v>140378.93839640243</v>
      </c>
      <c r="AL30" s="47">
        <f t="shared" si="60"/>
        <v>140378.93839640243</v>
      </c>
      <c r="AM30" s="47">
        <f t="shared" si="60"/>
        <v>140378.93839640243</v>
      </c>
      <c r="AN30" s="47">
        <f t="shared" si="60"/>
        <v>140378.93839640243</v>
      </c>
      <c r="AO30" s="47">
        <f t="shared" si="60"/>
        <v>140378.93839640243</v>
      </c>
      <c r="AP30" s="47">
        <f t="shared" si="60"/>
        <v>140378.93839640243</v>
      </c>
      <c r="AQ30" s="47">
        <f t="shared" si="60"/>
        <v>140378.93839640243</v>
      </c>
      <c r="AR30" s="47">
        <f t="shared" si="60"/>
        <v>140378.93839640243</v>
      </c>
      <c r="AS30" s="47">
        <f t="shared" si="60"/>
        <v>140378.93839640243</v>
      </c>
      <c r="AT30" s="47">
        <f t="shared" si="60"/>
        <v>140378.93839640243</v>
      </c>
      <c r="AU30" s="48">
        <f t="shared" si="61"/>
        <v>1684547.2607568291</v>
      </c>
    </row>
    <row r="31" spans="1:47" x14ac:dyDescent="0.35">
      <c r="A31" s="46">
        <v>85.73</v>
      </c>
      <c r="B31" s="7" t="s">
        <v>16</v>
      </c>
      <c r="C31" s="47">
        <f t="shared" si="53"/>
        <v>191332.03566121843</v>
      </c>
      <c r="D31" s="47">
        <f t="shared" si="53"/>
        <v>210465.23922734029</v>
      </c>
      <c r="E31" s="47">
        <f t="shared" ref="E31:N31" si="71">E15*$A31</f>
        <v>242035.02511144133</v>
      </c>
      <c r="F31" s="47">
        <f t="shared" si="71"/>
        <v>278340.27887815749</v>
      </c>
      <c r="G31" s="47">
        <f t="shared" si="71"/>
        <v>320091.32070988114</v>
      </c>
      <c r="H31" s="47">
        <f t="shared" si="71"/>
        <v>352100.45278086932</v>
      </c>
      <c r="I31" s="47">
        <f t="shared" si="71"/>
        <v>387310.49805895623</v>
      </c>
      <c r="J31" s="47">
        <f t="shared" si="71"/>
        <v>406676.02296190406</v>
      </c>
      <c r="K31" s="47">
        <f t="shared" si="71"/>
        <v>427009.82410999923</v>
      </c>
      <c r="L31" s="47">
        <f t="shared" si="71"/>
        <v>448360.31531549926</v>
      </c>
      <c r="M31" s="47">
        <f t="shared" si="71"/>
        <v>448360.31531549926</v>
      </c>
      <c r="N31" s="47">
        <f t="shared" si="71"/>
        <v>448360.31531549926</v>
      </c>
      <c r="O31" s="48">
        <f t="shared" si="55"/>
        <v>4160441.6434462662</v>
      </c>
      <c r="Q31" s="46">
        <f t="shared" si="56"/>
        <v>85.73</v>
      </c>
      <c r="R31" s="7" t="s">
        <v>16</v>
      </c>
      <c r="S31" s="47">
        <f t="shared" si="57"/>
        <v>448360.31531549926</v>
      </c>
      <c r="T31" s="47">
        <f t="shared" si="57"/>
        <v>448360.31531549926</v>
      </c>
      <c r="U31" s="47">
        <f t="shared" si="57"/>
        <v>448360.31531549926</v>
      </c>
      <c r="V31" s="47">
        <f t="shared" si="57"/>
        <v>448360.31531549926</v>
      </c>
      <c r="W31" s="47">
        <f t="shared" si="57"/>
        <v>448360.31531549926</v>
      </c>
      <c r="X31" s="47">
        <f t="shared" si="57"/>
        <v>448360.31531549926</v>
      </c>
      <c r="Y31" s="47">
        <f t="shared" si="57"/>
        <v>448360.31531549926</v>
      </c>
      <c r="Z31" s="47">
        <f t="shared" si="57"/>
        <v>448360.31531549926</v>
      </c>
      <c r="AA31" s="47">
        <f t="shared" si="57"/>
        <v>448360.31531549926</v>
      </c>
      <c r="AB31" s="47">
        <f t="shared" si="57"/>
        <v>448360.31531549926</v>
      </c>
      <c r="AC31" s="47">
        <f t="shared" si="57"/>
        <v>448360.31531549926</v>
      </c>
      <c r="AD31" s="47">
        <f t="shared" si="57"/>
        <v>448360.31531549926</v>
      </c>
      <c r="AE31" s="48">
        <f t="shared" si="58"/>
        <v>5380323.7837859914</v>
      </c>
      <c r="AG31" s="46">
        <f t="shared" si="59"/>
        <v>85.73</v>
      </c>
      <c r="AH31" s="7" t="s">
        <v>16</v>
      </c>
      <c r="AI31" s="47">
        <f t="shared" si="67"/>
        <v>448360.31531549926</v>
      </c>
      <c r="AJ31" s="47">
        <f t="shared" si="63"/>
        <v>448360.31531549926</v>
      </c>
      <c r="AK31" s="47">
        <f t="shared" si="64"/>
        <v>448360.31531549926</v>
      </c>
      <c r="AL31" s="47">
        <f t="shared" si="60"/>
        <v>448360.31531549926</v>
      </c>
      <c r="AM31" s="47">
        <f t="shared" si="60"/>
        <v>448360.31531549926</v>
      </c>
      <c r="AN31" s="47">
        <f t="shared" si="60"/>
        <v>448360.31531549926</v>
      </c>
      <c r="AO31" s="47">
        <f t="shared" si="60"/>
        <v>448360.31531549926</v>
      </c>
      <c r="AP31" s="47">
        <f t="shared" si="60"/>
        <v>448360.31531549926</v>
      </c>
      <c r="AQ31" s="47">
        <f t="shared" si="60"/>
        <v>448360.31531549926</v>
      </c>
      <c r="AR31" s="47">
        <f t="shared" si="60"/>
        <v>448360.31531549926</v>
      </c>
      <c r="AS31" s="47">
        <f t="shared" si="60"/>
        <v>448360.31531549926</v>
      </c>
      <c r="AT31" s="47">
        <f t="shared" si="60"/>
        <v>448360.31531549926</v>
      </c>
      <c r="AU31" s="48">
        <f t="shared" si="61"/>
        <v>5380323.7837859914</v>
      </c>
    </row>
    <row r="32" spans="1:47" x14ac:dyDescent="0.35">
      <c r="A32" s="46">
        <v>108.68</v>
      </c>
      <c r="B32" s="7" t="s">
        <v>33</v>
      </c>
      <c r="C32" s="47">
        <f t="shared" si="53"/>
        <v>138070.43090638929</v>
      </c>
      <c r="D32" s="47">
        <f t="shared" si="53"/>
        <v>151877.47399702822</v>
      </c>
      <c r="E32" s="47">
        <f t="shared" ref="E32:N32" si="72">E16*$A32</f>
        <v>174659.09509658246</v>
      </c>
      <c r="F32" s="47">
        <f t="shared" si="72"/>
        <v>0</v>
      </c>
      <c r="G32" s="47">
        <f t="shared" si="72"/>
        <v>0</v>
      </c>
      <c r="H32" s="47">
        <f t="shared" si="72"/>
        <v>0</v>
      </c>
      <c r="I32" s="47">
        <f t="shared" si="72"/>
        <v>0</v>
      </c>
      <c r="J32" s="47">
        <f t="shared" si="72"/>
        <v>0</v>
      </c>
      <c r="K32" s="47">
        <f t="shared" si="72"/>
        <v>0</v>
      </c>
      <c r="L32" s="47">
        <f t="shared" si="72"/>
        <v>200857.95936106981</v>
      </c>
      <c r="M32" s="47">
        <f t="shared" si="72"/>
        <v>230986.65326523024</v>
      </c>
      <c r="N32" s="47">
        <f t="shared" si="72"/>
        <v>254085.31859175328</v>
      </c>
      <c r="O32" s="48">
        <f t="shared" si="55"/>
        <v>1150536.9312180534</v>
      </c>
      <c r="Q32" s="46">
        <f t="shared" si="56"/>
        <v>108.68</v>
      </c>
      <c r="R32" s="7" t="s">
        <v>33</v>
      </c>
      <c r="S32" s="47">
        <f t="shared" si="57"/>
        <v>138081.29890638913</v>
      </c>
      <c r="T32" s="47">
        <f t="shared" si="57"/>
        <v>151882.90799702806</v>
      </c>
      <c r="U32" s="47">
        <f t="shared" si="57"/>
        <v>174664.52909658285</v>
      </c>
      <c r="V32" s="47">
        <f t="shared" si="57"/>
        <v>0</v>
      </c>
      <c r="W32" s="47">
        <f t="shared" si="57"/>
        <v>0</v>
      </c>
      <c r="X32" s="47">
        <f t="shared" si="57"/>
        <v>0</v>
      </c>
      <c r="Y32" s="47">
        <f t="shared" si="57"/>
        <v>0</v>
      </c>
      <c r="Z32" s="47">
        <f t="shared" si="57"/>
        <v>0</v>
      </c>
      <c r="AA32" s="47">
        <f t="shared" si="57"/>
        <v>0</v>
      </c>
      <c r="AB32" s="47">
        <f t="shared" si="57"/>
        <v>323549.06862825627</v>
      </c>
      <c r="AC32" s="47">
        <f t="shared" si="57"/>
        <v>323549.06862825627</v>
      </c>
      <c r="AD32" s="47">
        <f t="shared" si="57"/>
        <v>323549.06862825627</v>
      </c>
      <c r="AE32" s="48">
        <f t="shared" si="58"/>
        <v>1435275.9418847687</v>
      </c>
      <c r="AG32" s="46">
        <f t="shared" si="59"/>
        <v>108.68</v>
      </c>
      <c r="AH32" s="7" t="s">
        <v>33</v>
      </c>
      <c r="AI32" s="47">
        <f t="shared" si="67"/>
        <v>138070.43090638911</v>
      </c>
      <c r="AJ32" s="47">
        <f t="shared" si="63"/>
        <v>138070.43090638911</v>
      </c>
      <c r="AK32" s="47">
        <f t="shared" si="64"/>
        <v>138070.43090638911</v>
      </c>
      <c r="AL32" s="47">
        <f t="shared" si="60"/>
        <v>0</v>
      </c>
      <c r="AM32" s="47">
        <f t="shared" si="60"/>
        <v>0</v>
      </c>
      <c r="AN32" s="47">
        <f t="shared" si="60"/>
        <v>0</v>
      </c>
      <c r="AO32" s="47">
        <f t="shared" si="60"/>
        <v>0</v>
      </c>
      <c r="AP32" s="47">
        <f t="shared" si="60"/>
        <v>0</v>
      </c>
      <c r="AQ32" s="47">
        <f t="shared" si="60"/>
        <v>0</v>
      </c>
      <c r="AR32" s="47">
        <f t="shared" si="60"/>
        <v>323549.06862825627</v>
      </c>
      <c r="AS32" s="47">
        <f t="shared" si="60"/>
        <v>323549.06862825627</v>
      </c>
      <c r="AT32" s="47">
        <f t="shared" si="60"/>
        <v>323549.06862825627</v>
      </c>
      <c r="AU32" s="48">
        <f t="shared" si="61"/>
        <v>1384858.4986039361</v>
      </c>
    </row>
    <row r="33" spans="1:47" x14ac:dyDescent="0.35">
      <c r="A33" s="46">
        <v>107.47</v>
      </c>
      <c r="B33" s="7" t="s">
        <v>19</v>
      </c>
      <c r="C33" s="47">
        <f>C17*$A33</f>
        <v>35929.791976225853</v>
      </c>
      <c r="D33" s="47">
        <f>D17*$A33</f>
        <v>39522.771173848436</v>
      </c>
      <c r="E33" s="47">
        <f t="shared" ref="E33:N33" si="73">E17*$A33</f>
        <v>45451.186849925703</v>
      </c>
      <c r="F33" s="47">
        <f t="shared" si="73"/>
        <v>52268.864877414555</v>
      </c>
      <c r="G33" s="47">
        <f t="shared" si="73"/>
        <v>60109.19460902673</v>
      </c>
      <c r="H33" s="47">
        <f t="shared" si="73"/>
        <v>66120.114069929419</v>
      </c>
      <c r="I33" s="47">
        <f t="shared" si="73"/>
        <v>72732.12547692236</v>
      </c>
      <c r="J33" s="47">
        <f t="shared" si="73"/>
        <v>76368.731750768493</v>
      </c>
      <c r="K33" s="47">
        <f t="shared" si="73"/>
        <v>80187.168338306918</v>
      </c>
      <c r="L33" s="47">
        <f t="shared" si="73"/>
        <v>84196.526755222279</v>
      </c>
      <c r="M33" s="47">
        <f t="shared" si="73"/>
        <v>84196.526755222279</v>
      </c>
      <c r="N33" s="47">
        <f t="shared" si="73"/>
        <v>84196.526755222279</v>
      </c>
      <c r="O33" s="48">
        <f t="shared" si="55"/>
        <v>781279.52938803518</v>
      </c>
      <c r="Q33" s="46">
        <f t="shared" si="56"/>
        <v>107.47</v>
      </c>
      <c r="R33" s="7" t="s">
        <v>19</v>
      </c>
      <c r="S33" s="47">
        <f>$Q33*S17</f>
        <v>84196.526755222279</v>
      </c>
      <c r="T33" s="47">
        <f t="shared" si="57"/>
        <v>84196.526755222279</v>
      </c>
      <c r="U33" s="47">
        <f t="shared" si="57"/>
        <v>84196.526755222279</v>
      </c>
      <c r="V33" s="47">
        <f t="shared" si="57"/>
        <v>84196.526755222279</v>
      </c>
      <c r="W33" s="47">
        <f t="shared" si="57"/>
        <v>84196.526755222279</v>
      </c>
      <c r="X33" s="47">
        <f t="shared" si="57"/>
        <v>84196.526755222279</v>
      </c>
      <c r="Y33" s="47">
        <f t="shared" si="57"/>
        <v>84196.526755222279</v>
      </c>
      <c r="Z33" s="47">
        <f t="shared" si="57"/>
        <v>84196.526755222279</v>
      </c>
      <c r="AA33" s="47">
        <f t="shared" si="57"/>
        <v>84196.526755222279</v>
      </c>
      <c r="AB33" s="47">
        <f t="shared" si="57"/>
        <v>84196.526755222279</v>
      </c>
      <c r="AC33" s="47">
        <f t="shared" si="57"/>
        <v>84196.526755222279</v>
      </c>
      <c r="AD33" s="47">
        <f t="shared" si="57"/>
        <v>84196.526755222279</v>
      </c>
      <c r="AE33" s="48">
        <f t="shared" si="58"/>
        <v>1010358.3210626672</v>
      </c>
      <c r="AG33" s="46">
        <f t="shared" si="59"/>
        <v>107.47</v>
      </c>
      <c r="AH33" s="7" t="s">
        <v>19</v>
      </c>
      <c r="AI33" s="47">
        <f t="shared" si="67"/>
        <v>84196.526755222279</v>
      </c>
      <c r="AJ33" s="47">
        <f t="shared" si="63"/>
        <v>84196.526755222279</v>
      </c>
      <c r="AK33" s="47">
        <f t="shared" si="64"/>
        <v>84196.526755222279</v>
      </c>
      <c r="AL33" s="47">
        <f t="shared" si="60"/>
        <v>84196.526755222279</v>
      </c>
      <c r="AM33" s="47">
        <f t="shared" si="60"/>
        <v>84196.526755222279</v>
      </c>
      <c r="AN33" s="47">
        <f t="shared" si="60"/>
        <v>84196.526755222279</v>
      </c>
      <c r="AO33" s="47">
        <f t="shared" si="60"/>
        <v>84196.526755222279</v>
      </c>
      <c r="AP33" s="47">
        <f t="shared" si="60"/>
        <v>84196.526755222279</v>
      </c>
      <c r="AQ33" s="47">
        <f t="shared" si="60"/>
        <v>84196.526755222279</v>
      </c>
      <c r="AR33" s="47">
        <f t="shared" si="60"/>
        <v>84196.526755222279</v>
      </c>
      <c r="AS33" s="47">
        <f t="shared" si="60"/>
        <v>84196.526755222279</v>
      </c>
      <c r="AT33" s="47">
        <f t="shared" si="60"/>
        <v>84196.526755222279</v>
      </c>
      <c r="AU33" s="48">
        <f t="shared" si="61"/>
        <v>1010358.3210626672</v>
      </c>
    </row>
    <row r="34" spans="1:47" x14ac:dyDescent="0.35">
      <c r="A34" s="46">
        <v>36.229999999999997</v>
      </c>
      <c r="B34" s="7" t="s">
        <v>34</v>
      </c>
      <c r="C34" s="47">
        <f t="shared" si="53"/>
        <v>0</v>
      </c>
      <c r="D34" s="47">
        <f t="shared" si="53"/>
        <v>0</v>
      </c>
      <c r="E34" s="47">
        <f t="shared" ref="E34:N34" si="74">E18*$A34</f>
        <v>0</v>
      </c>
      <c r="F34" s="47">
        <f t="shared" si="74"/>
        <v>12150.711171066545</v>
      </c>
      <c r="G34" s="47">
        <f t="shared" si="74"/>
        <v>13365.782288173201</v>
      </c>
      <c r="H34" s="47">
        <f t="shared" si="74"/>
        <v>15370.649631399181</v>
      </c>
      <c r="I34" s="47">
        <f t="shared" si="74"/>
        <v>0</v>
      </c>
      <c r="J34" s="47">
        <f t="shared" si="74"/>
        <v>0</v>
      </c>
      <c r="K34" s="47">
        <f t="shared" si="74"/>
        <v>0</v>
      </c>
      <c r="L34" s="47">
        <f t="shared" si="74"/>
        <v>17676.247076109055</v>
      </c>
      <c r="M34" s="47">
        <f t="shared" si="74"/>
        <v>20327.684137525408</v>
      </c>
      <c r="N34" s="47">
        <f t="shared" si="74"/>
        <v>22360.452551277955</v>
      </c>
      <c r="O34" s="48">
        <f t="shared" si="55"/>
        <v>101251.52685555133</v>
      </c>
      <c r="Q34" s="46">
        <f t="shared" si="56"/>
        <v>36.229999999999997</v>
      </c>
      <c r="R34" s="7" t="s">
        <v>34</v>
      </c>
      <c r="S34" s="47">
        <f>$Q34*S18</f>
        <v>0</v>
      </c>
      <c r="T34" s="47">
        <f t="shared" si="57"/>
        <v>0</v>
      </c>
      <c r="U34" s="47">
        <f t="shared" si="57"/>
        <v>0</v>
      </c>
      <c r="V34" s="47">
        <f t="shared" si="57"/>
        <v>12150.711171066545</v>
      </c>
      <c r="W34" s="47">
        <f t="shared" si="57"/>
        <v>13365.782288173205</v>
      </c>
      <c r="X34" s="47">
        <f t="shared" si="57"/>
        <v>15370.649631399188</v>
      </c>
      <c r="Y34" s="47">
        <f t="shared" si="57"/>
        <v>0</v>
      </c>
      <c r="Z34" s="47">
        <f t="shared" si="57"/>
        <v>0</v>
      </c>
      <c r="AA34" s="47">
        <f t="shared" si="57"/>
        <v>0</v>
      </c>
      <c r="AB34" s="47">
        <f t="shared" si="57"/>
        <v>17676.24707610907</v>
      </c>
      <c r="AC34" s="47">
        <f t="shared" si="57"/>
        <v>17676.24707610907</v>
      </c>
      <c r="AD34" s="47">
        <f t="shared" si="57"/>
        <v>17676.24707610907</v>
      </c>
      <c r="AE34" s="48">
        <f t="shared" si="58"/>
        <v>93915.884318966142</v>
      </c>
      <c r="AG34" s="46">
        <f t="shared" si="59"/>
        <v>36.229999999999997</v>
      </c>
      <c r="AH34" s="7" t="s">
        <v>34</v>
      </c>
      <c r="AI34" s="47">
        <f t="shared" si="67"/>
        <v>0</v>
      </c>
      <c r="AJ34" s="47">
        <f t="shared" si="63"/>
        <v>0</v>
      </c>
      <c r="AK34" s="47">
        <f t="shared" si="64"/>
        <v>0</v>
      </c>
      <c r="AL34" s="47">
        <f t="shared" si="60"/>
        <v>12150.711171066545</v>
      </c>
      <c r="AM34" s="47">
        <f t="shared" si="60"/>
        <v>12150.711171066545</v>
      </c>
      <c r="AN34" s="47">
        <f t="shared" si="60"/>
        <v>12150.711171066545</v>
      </c>
      <c r="AO34" s="47">
        <f t="shared" si="60"/>
        <v>0</v>
      </c>
      <c r="AP34" s="47">
        <f t="shared" si="60"/>
        <v>0</v>
      </c>
      <c r="AQ34" s="47">
        <f t="shared" si="60"/>
        <v>0</v>
      </c>
      <c r="AR34" s="47">
        <f t="shared" si="60"/>
        <v>17676.24707610907</v>
      </c>
      <c r="AS34" s="47">
        <f t="shared" si="60"/>
        <v>17676.24707610907</v>
      </c>
      <c r="AT34" s="47">
        <f t="shared" si="60"/>
        <v>17676.24707610907</v>
      </c>
      <c r="AU34" s="48">
        <f t="shared" si="61"/>
        <v>89480.87474152683</v>
      </c>
    </row>
    <row r="35" spans="1:47" x14ac:dyDescent="0.35">
      <c r="A35" s="46">
        <v>63.4</v>
      </c>
      <c r="B35" s="7" t="s">
        <v>66</v>
      </c>
      <c r="C35" s="47">
        <f t="shared" si="53"/>
        <v>0</v>
      </c>
      <c r="D35" s="47">
        <f t="shared" si="53"/>
        <v>0</v>
      </c>
      <c r="E35" s="47">
        <f t="shared" ref="E35:N35" si="75">E19*$A35</f>
        <v>0</v>
      </c>
      <c r="F35" s="47">
        <f t="shared" si="75"/>
        <v>63422.116490664099</v>
      </c>
      <c r="G35" s="47">
        <f t="shared" si="75"/>
        <v>69764.328139730511</v>
      </c>
      <c r="H35" s="47">
        <f t="shared" si="75"/>
        <v>80228.977360690085</v>
      </c>
      <c r="I35" s="47">
        <f t="shared" si="75"/>
        <v>0</v>
      </c>
      <c r="J35" s="47">
        <f t="shared" si="75"/>
        <v>0</v>
      </c>
      <c r="K35" s="47">
        <f t="shared" si="75"/>
        <v>0</v>
      </c>
      <c r="L35" s="47">
        <f t="shared" si="75"/>
        <v>92263.323964793599</v>
      </c>
      <c r="M35" s="47">
        <f t="shared" si="75"/>
        <v>106102.82255951263</v>
      </c>
      <c r="N35" s="47">
        <f t="shared" si="75"/>
        <v>116713.10481546391</v>
      </c>
      <c r="O35" s="48">
        <f t="shared" si="55"/>
        <v>528494.67333085486</v>
      </c>
      <c r="Q35" s="46">
        <f t="shared" si="56"/>
        <v>63.4</v>
      </c>
      <c r="R35" s="7" t="s">
        <v>66</v>
      </c>
      <c r="S35" s="47">
        <f t="shared" si="57"/>
        <v>0</v>
      </c>
      <c r="T35" s="47">
        <f t="shared" si="57"/>
        <v>0</v>
      </c>
      <c r="U35" s="47">
        <f t="shared" si="57"/>
        <v>0</v>
      </c>
      <c r="V35" s="47">
        <f t="shared" si="57"/>
        <v>63422.116490663946</v>
      </c>
      <c r="W35" s="47">
        <f t="shared" si="57"/>
        <v>69764.328139730656</v>
      </c>
      <c r="X35" s="47">
        <f t="shared" si="57"/>
        <v>80228.977360689983</v>
      </c>
      <c r="Y35" s="47">
        <f t="shared" si="57"/>
        <v>0</v>
      </c>
      <c r="Z35" s="47">
        <f t="shared" si="57"/>
        <v>0</v>
      </c>
      <c r="AA35" s="47">
        <f t="shared" si="57"/>
        <v>0</v>
      </c>
      <c r="AB35" s="47">
        <f t="shared" si="57"/>
        <v>92263.323964793715</v>
      </c>
      <c r="AC35" s="47">
        <f t="shared" si="57"/>
        <v>92263.323964793715</v>
      </c>
      <c r="AD35" s="47">
        <f t="shared" si="57"/>
        <v>92263.323964793715</v>
      </c>
      <c r="AE35" s="48">
        <f t="shared" si="58"/>
        <v>490205.39388546569</v>
      </c>
      <c r="AG35" s="46">
        <f t="shared" si="59"/>
        <v>63.4</v>
      </c>
      <c r="AH35" s="7" t="s">
        <v>66</v>
      </c>
      <c r="AI35" s="47">
        <f t="shared" si="67"/>
        <v>0</v>
      </c>
      <c r="AJ35" s="47">
        <f t="shared" si="63"/>
        <v>0</v>
      </c>
      <c r="AK35" s="47">
        <f t="shared" si="64"/>
        <v>0</v>
      </c>
      <c r="AL35" s="47">
        <f t="shared" si="60"/>
        <v>63422.116490663946</v>
      </c>
      <c r="AM35" s="47">
        <f t="shared" si="60"/>
        <v>63422.116490663946</v>
      </c>
      <c r="AN35" s="47">
        <f t="shared" si="60"/>
        <v>63422.116490663946</v>
      </c>
      <c r="AO35" s="47">
        <f t="shared" si="60"/>
        <v>0</v>
      </c>
      <c r="AP35" s="47">
        <f t="shared" si="60"/>
        <v>0</v>
      </c>
      <c r="AQ35" s="47">
        <f t="shared" si="60"/>
        <v>0</v>
      </c>
      <c r="AR35" s="47">
        <f t="shared" si="60"/>
        <v>92263.323964793715</v>
      </c>
      <c r="AS35" s="47">
        <f t="shared" si="60"/>
        <v>92263.323964793715</v>
      </c>
      <c r="AT35" s="47">
        <f t="shared" si="60"/>
        <v>92263.323964793715</v>
      </c>
      <c r="AU35" s="48">
        <f t="shared" si="61"/>
        <v>467056.32136637293</v>
      </c>
    </row>
    <row r="36" spans="1:47" ht="15" thickBot="1" x14ac:dyDescent="0.4">
      <c r="A36" s="46">
        <v>99.62</v>
      </c>
      <c r="B36" s="7" t="s">
        <v>67</v>
      </c>
      <c r="C36" s="47">
        <f t="shared" si="53"/>
        <v>0</v>
      </c>
      <c r="D36" s="47">
        <f t="shared" si="53"/>
        <v>0</v>
      </c>
      <c r="E36" s="47">
        <f t="shared" ref="E36:N36" si="76">E20*$A36</f>
        <v>0</v>
      </c>
      <c r="F36" s="47">
        <f t="shared" si="76"/>
        <v>40322.731818894354</v>
      </c>
      <c r="G36" s="47">
        <f t="shared" si="76"/>
        <v>44355.005000783793</v>
      </c>
      <c r="H36" s="47">
        <f t="shared" si="76"/>
        <v>51008.255750901357</v>
      </c>
      <c r="I36" s="47">
        <f t="shared" si="76"/>
        <v>0</v>
      </c>
      <c r="J36" s="47">
        <f t="shared" si="76"/>
        <v>0</v>
      </c>
      <c r="K36" s="47">
        <f t="shared" si="76"/>
        <v>0</v>
      </c>
      <c r="L36" s="47">
        <f t="shared" si="76"/>
        <v>58659.494113536552</v>
      </c>
      <c r="M36" s="47">
        <f t="shared" si="76"/>
        <v>67458.41823056704</v>
      </c>
      <c r="N36" s="47">
        <f t="shared" si="76"/>
        <v>74204.260053623744</v>
      </c>
      <c r="O36" s="48">
        <f t="shared" si="55"/>
        <v>336008.16496830684</v>
      </c>
      <c r="Q36" s="46">
        <f t="shared" si="56"/>
        <v>99.62</v>
      </c>
      <c r="R36" s="7" t="s">
        <v>67</v>
      </c>
      <c r="S36" s="47">
        <f t="shared" si="57"/>
        <v>0</v>
      </c>
      <c r="T36" s="47">
        <f t="shared" si="57"/>
        <v>0</v>
      </c>
      <c r="U36" s="47">
        <f t="shared" si="57"/>
        <v>0</v>
      </c>
      <c r="V36" s="47">
        <f t="shared" si="57"/>
        <v>40322.731818894383</v>
      </c>
      <c r="W36" s="47">
        <f t="shared" si="57"/>
        <v>44355.005000783778</v>
      </c>
      <c r="X36" s="47">
        <f t="shared" si="57"/>
        <v>51008.255750901335</v>
      </c>
      <c r="Y36" s="47">
        <f t="shared" si="57"/>
        <v>0</v>
      </c>
      <c r="Z36" s="47">
        <f t="shared" si="57"/>
        <v>0</v>
      </c>
      <c r="AA36" s="47">
        <f t="shared" si="57"/>
        <v>0</v>
      </c>
      <c r="AB36" s="47">
        <f t="shared" si="57"/>
        <v>58659.494113536537</v>
      </c>
      <c r="AC36" s="47">
        <f t="shared" si="57"/>
        <v>58659.494113536537</v>
      </c>
      <c r="AD36" s="47">
        <f t="shared" si="57"/>
        <v>58659.494113536537</v>
      </c>
      <c r="AE36" s="48">
        <f t="shared" si="58"/>
        <v>311664.47491118911</v>
      </c>
      <c r="AG36" s="46">
        <f t="shared" si="59"/>
        <v>99.62</v>
      </c>
      <c r="AH36" s="7" t="s">
        <v>67</v>
      </c>
      <c r="AI36" s="47">
        <f t="shared" si="67"/>
        <v>0</v>
      </c>
      <c r="AJ36" s="47">
        <f t="shared" si="63"/>
        <v>0</v>
      </c>
      <c r="AK36" s="47">
        <f t="shared" si="64"/>
        <v>0</v>
      </c>
      <c r="AL36" s="47">
        <f t="shared" si="60"/>
        <v>40322.731818894383</v>
      </c>
      <c r="AM36" s="47">
        <f t="shared" si="60"/>
        <v>40322.731818894383</v>
      </c>
      <c r="AN36" s="47">
        <f t="shared" si="60"/>
        <v>40322.731818894383</v>
      </c>
      <c r="AO36" s="47">
        <f t="shared" si="60"/>
        <v>0</v>
      </c>
      <c r="AP36" s="47">
        <f t="shared" si="60"/>
        <v>0</v>
      </c>
      <c r="AQ36" s="47">
        <f t="shared" si="60"/>
        <v>0</v>
      </c>
      <c r="AR36" s="47">
        <f t="shared" si="60"/>
        <v>58659.494113536537</v>
      </c>
      <c r="AS36" s="47">
        <f t="shared" si="60"/>
        <v>58659.494113536537</v>
      </c>
      <c r="AT36" s="47">
        <f t="shared" si="60"/>
        <v>58659.494113536537</v>
      </c>
      <c r="AU36" s="48">
        <f t="shared" si="61"/>
        <v>296946.67779729277</v>
      </c>
    </row>
    <row r="37" spans="1:47" ht="15" thickBot="1" x14ac:dyDescent="0.4">
      <c r="A37" s="36"/>
      <c r="B37" s="39"/>
      <c r="C37" s="49">
        <f>SUM(C24:C36)</f>
        <v>670142.95690936106</v>
      </c>
      <c r="D37" s="49">
        <f t="shared" ref="D37:N37" si="77">SUM(D24:D36)</f>
        <v>737157.25260029722</v>
      </c>
      <c r="E37" s="49">
        <f t="shared" si="77"/>
        <v>847730.84049034177</v>
      </c>
      <c r="F37" s="49">
        <f t="shared" si="77"/>
        <v>789670.28492267535</v>
      </c>
      <c r="G37" s="49">
        <f t="shared" si="77"/>
        <v>902326.04968704551</v>
      </c>
      <c r="H37" s="49">
        <f t="shared" si="77"/>
        <v>998932.91042718454</v>
      </c>
      <c r="I37" s="49">
        <f t="shared" si="77"/>
        <v>937557.53045261337</v>
      </c>
      <c r="J37" s="49">
        <f t="shared" si="77"/>
        <v>984435.40697524406</v>
      </c>
      <c r="K37" s="49">
        <f t="shared" si="77"/>
        <v>1033657.1773240063</v>
      </c>
      <c r="L37" s="49">
        <f t="shared" si="77"/>
        <v>1555054.8424664885</v>
      </c>
      <c r="M37" s="49">
        <f t="shared" si="77"/>
        <v>1625512.0634079308</v>
      </c>
      <c r="N37" s="49">
        <f t="shared" si="77"/>
        <v>1679529.266129703</v>
      </c>
      <c r="O37" s="49">
        <f>SUM(O24:O36)</f>
        <v>12761706.581792891</v>
      </c>
      <c r="Q37" s="36"/>
      <c r="R37" s="39"/>
      <c r="S37" s="49">
        <f>SUM(S24:S36)</f>
        <v>1292348.7705289882</v>
      </c>
      <c r="T37" s="49">
        <f t="shared" ref="T37:AE37" si="78">SUM(T24:T36)</f>
        <v>1313037.1819628661</v>
      </c>
      <c r="U37" s="49">
        <f t="shared" si="78"/>
        <v>1347190.1960787659</v>
      </c>
      <c r="V37" s="49">
        <f t="shared" si="78"/>
        <v>1201235.5956708316</v>
      </c>
      <c r="W37" s="49">
        <f t="shared" si="78"/>
        <v>1212825.1516188944</v>
      </c>
      <c r="X37" s="49">
        <f t="shared" si="78"/>
        <v>1231947.9189331972</v>
      </c>
      <c r="Y37" s="49">
        <f t="shared" si="78"/>
        <v>1085340.0361902067</v>
      </c>
      <c r="Z37" s="49">
        <f t="shared" si="78"/>
        <v>1085340.0361902067</v>
      </c>
      <c r="AA37" s="49">
        <f t="shared" si="78"/>
        <v>1085340.0361902067</v>
      </c>
      <c r="AB37" s="49">
        <f t="shared" si="78"/>
        <v>1738986.9326538504</v>
      </c>
      <c r="AC37" s="49">
        <f t="shared" si="78"/>
        <v>1738986.9326538504</v>
      </c>
      <c r="AD37" s="49">
        <f t="shared" si="78"/>
        <v>1738986.9326538504</v>
      </c>
      <c r="AE37" s="49">
        <f t="shared" si="78"/>
        <v>16071565.721325714</v>
      </c>
      <c r="AG37" s="36"/>
      <c r="AH37" s="39"/>
      <c r="AI37" s="49">
        <f>SUM(AI24:AI36)</f>
        <v>1292328.0005289882</v>
      </c>
      <c r="AJ37" s="49">
        <f t="shared" ref="AJ37:AU37" si="79">SUM(AJ24:AJ36)</f>
        <v>1292328.0005289882</v>
      </c>
      <c r="AK37" s="49">
        <f t="shared" si="79"/>
        <v>1292328.0005289882</v>
      </c>
      <c r="AL37" s="49">
        <f t="shared" si="79"/>
        <v>1201235.5956708316</v>
      </c>
      <c r="AM37" s="49">
        <f t="shared" si="79"/>
        <v>1201235.5956708316</v>
      </c>
      <c r="AN37" s="49">
        <f t="shared" si="79"/>
        <v>1201235.5956708316</v>
      </c>
      <c r="AO37" s="49">
        <f t="shared" si="79"/>
        <v>1085340.0361902067</v>
      </c>
      <c r="AP37" s="49">
        <f t="shared" si="79"/>
        <v>1085340.0361902067</v>
      </c>
      <c r="AQ37" s="49">
        <f t="shared" si="79"/>
        <v>1085340.0361902067</v>
      </c>
      <c r="AR37" s="49">
        <f t="shared" si="79"/>
        <v>1738986.9326538504</v>
      </c>
      <c r="AS37" s="49">
        <f t="shared" si="79"/>
        <v>1738986.9326538504</v>
      </c>
      <c r="AT37" s="49">
        <f t="shared" si="79"/>
        <v>1738986.9326538504</v>
      </c>
      <c r="AU37" s="49">
        <f t="shared" si="79"/>
        <v>15953671.695131632</v>
      </c>
    </row>
    <row r="39" spans="1:47" ht="15" thickBot="1" x14ac:dyDescent="0.4"/>
    <row r="40" spans="1:47" ht="15" thickBot="1" x14ac:dyDescent="0.4">
      <c r="A40" s="162"/>
      <c r="B40" s="170" t="s">
        <v>59</v>
      </c>
      <c r="C40" s="171" t="s">
        <v>60</v>
      </c>
      <c r="D40" s="172" t="s">
        <v>61</v>
      </c>
    </row>
    <row r="41" spans="1:47" x14ac:dyDescent="0.35">
      <c r="A41" s="167" t="s">
        <v>196</v>
      </c>
      <c r="B41" s="163">
        <f>SUM(C21+D21+E21)</f>
        <v>39610</v>
      </c>
      <c r="C41" s="164">
        <f>SUM(S21:U21)</f>
        <v>72362.213709984993</v>
      </c>
      <c r="D41" s="164">
        <f>SUM(AI21:AK21)</f>
        <v>71326.814304338652</v>
      </c>
    </row>
    <row r="42" spans="1:47" x14ac:dyDescent="0.35">
      <c r="A42" s="168" t="s">
        <v>197</v>
      </c>
      <c r="B42" s="160">
        <f>SUM(E21+F21+G21)</f>
        <v>46495.140236494022</v>
      </c>
      <c r="C42" s="17">
        <f>SUM(V21:X21)</f>
        <v>68678.367053224239</v>
      </c>
      <c r="D42" s="17">
        <f>SUM(AL21:AN21)</f>
        <v>68043.087715844653</v>
      </c>
    </row>
    <row r="43" spans="1:47" x14ac:dyDescent="0.35">
      <c r="A43" s="168" t="s">
        <v>198</v>
      </c>
      <c r="B43" s="160">
        <f>SUM(I21+J21+K21)</f>
        <v>57026.278579196704</v>
      </c>
      <c r="C43" s="17">
        <f>SUM(Y21:AA21)</f>
        <v>62821.613709985017</v>
      </c>
      <c r="D43" s="17">
        <f>SUM(AO21:AQ21)</f>
        <v>62821.613709985017</v>
      </c>
    </row>
    <row r="44" spans="1:47" ht="15" thickBot="1" x14ac:dyDescent="0.4">
      <c r="A44" s="169" t="s">
        <v>199</v>
      </c>
      <c r="B44" s="160">
        <f>SUM(L21:N21)</f>
        <v>85552.855300639945</v>
      </c>
      <c r="C44" s="173">
        <f>SUM(AB21:AD21)</f>
        <v>90348.321054371045</v>
      </c>
      <c r="D44" s="173">
        <f>SUM(AR21:AT21)</f>
        <v>90348.321054371045</v>
      </c>
    </row>
  </sheetData>
  <sheetProtection sheet="1" objects="1" scenarios="1" formatCells="1" formatColumns="0" formatRows="0" insertColumns="1" insertRows="1" insertHyperlinks="1" deleteColumns="1" deleteRows="1" selectLockedCells="0" selectUnlockedCells="0" sort="0" autoFilter="0" pivotTables="0"/>
  <mergeCells count="1">
    <mergeCell ref="A1:B1"/>
  </mergeCells>
  <phoneticPr fontId="14" type="noConversion"/>
  <pageMargins left="0.70866141732283472" right="0.70866141732283472" top="0.74803149606299213" bottom="0.74803149606299213" header="0.31496062992125984" footer="0.31496062992125984"/>
  <pageSetup scale="64" fitToWidth="3"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78E4-07E5-4065-B058-E5CCC0252859}">
  <sheetPr>
    <pageSetUpPr fitToPage="1"/>
  </sheetPr>
  <dimension ref="A1:Q35"/>
  <sheetViews>
    <sheetView topLeftCell="F1" zoomScale="90" zoomScaleNormal="90" workbookViewId="0">
      <selection activeCell="O4" sqref="O4"/>
    </sheetView>
  </sheetViews>
  <sheetFormatPr baseColWidth="10" defaultRowHeight="14.5" x14ac:dyDescent="0.35"/>
  <cols>
    <col min="1" max="1" width="2.54296875" customWidth="1"/>
    <col min="3" max="3" width="13.453125" customWidth="1"/>
    <col min="5" max="5" width="19.81640625" customWidth="1"/>
    <col min="7" max="7" width="14.1796875" bestFit="1" customWidth="1"/>
    <col min="10" max="10" width="22.1796875" customWidth="1"/>
  </cols>
  <sheetData>
    <row r="1" spans="1:17" x14ac:dyDescent="0.35">
      <c r="A1" s="19" t="s">
        <v>75</v>
      </c>
      <c r="H1" s="58" t="s">
        <v>76</v>
      </c>
      <c r="I1" s="59"/>
      <c r="J1" s="59"/>
      <c r="K1" s="59"/>
    </row>
    <row r="2" spans="1:17" x14ac:dyDescent="0.35">
      <c r="E2" s="60" t="s">
        <v>77</v>
      </c>
      <c r="K2" s="722" t="s">
        <v>78</v>
      </c>
      <c r="L2" s="722"/>
      <c r="M2" s="722"/>
      <c r="N2" s="722"/>
      <c r="O2" s="722"/>
      <c r="P2" s="722"/>
      <c r="Q2" s="735"/>
    </row>
    <row r="3" spans="1:17" ht="43.75" customHeight="1" thickBot="1" x14ac:dyDescent="0.4">
      <c r="B3" s="61"/>
      <c r="C3" s="61" t="s">
        <v>79</v>
      </c>
      <c r="D3" s="62" t="s">
        <v>80</v>
      </c>
      <c r="E3" s="61" t="s">
        <v>81</v>
      </c>
      <c r="F3" s="61" t="s">
        <v>82</v>
      </c>
      <c r="G3" s="62" t="s">
        <v>83</v>
      </c>
      <c r="H3" s="63" t="s">
        <v>84</v>
      </c>
      <c r="I3" s="63" t="s">
        <v>85</v>
      </c>
      <c r="J3" s="64"/>
      <c r="L3" s="61"/>
      <c r="M3" s="62" t="s">
        <v>86</v>
      </c>
      <c r="N3" s="62" t="s">
        <v>87</v>
      </c>
      <c r="O3" s="63" t="s">
        <v>88</v>
      </c>
      <c r="P3" s="61" t="s">
        <v>83</v>
      </c>
      <c r="Q3" s="61"/>
    </row>
    <row r="4" spans="1:17" ht="15.65" customHeight="1" thickBot="1" x14ac:dyDescent="0.4">
      <c r="B4" s="62" t="s">
        <v>4</v>
      </c>
      <c r="C4" s="65">
        <f>'S1 - projections'!C8+'S1 - projections'!D8+'S1 - projections'!E8</f>
        <v>5235</v>
      </c>
      <c r="D4" s="66">
        <f>Données!J6</f>
        <v>50</v>
      </c>
      <c r="E4" s="62">
        <f>CEILING(C4,D4)</f>
        <v>5250</v>
      </c>
      <c r="F4" s="67">
        <f>Données!H6</f>
        <v>6.75</v>
      </c>
      <c r="G4" s="68">
        <f>E4*F4</f>
        <v>35437.5</v>
      </c>
      <c r="H4" s="69">
        <f>Données!G6</f>
        <v>0.18000000000000002</v>
      </c>
      <c r="I4" s="70">
        <f>E4*H4</f>
        <v>945.00000000000011</v>
      </c>
      <c r="K4" s="71" t="s">
        <v>89</v>
      </c>
      <c r="L4" s="72" t="s">
        <v>90</v>
      </c>
      <c r="M4" s="62">
        <v>150</v>
      </c>
      <c r="N4" s="73">
        <v>925</v>
      </c>
      <c r="O4" s="70">
        <f>I23</f>
        <v>32</v>
      </c>
      <c r="P4" s="74">
        <f>O4*N4</f>
        <v>29600</v>
      </c>
      <c r="Q4" s="75">
        <f>P4+P5</f>
        <v>30250</v>
      </c>
    </row>
    <row r="5" spans="1:17" ht="15" thickBot="1" x14ac:dyDescent="0.4">
      <c r="B5" s="62" t="s">
        <v>6</v>
      </c>
      <c r="C5" s="65">
        <f>'S1 - projections'!C9+'S1 - projections'!D9+'S1 - projections'!E9</f>
        <v>6135</v>
      </c>
      <c r="D5" s="66">
        <f>Données!J7</f>
        <v>100</v>
      </c>
      <c r="E5" s="62">
        <f t="shared" ref="E5:E16" si="0">CEILING(C5,D5)</f>
        <v>6200</v>
      </c>
      <c r="F5" s="67">
        <f>Données!H7</f>
        <v>13.5</v>
      </c>
      <c r="G5" s="68">
        <f t="shared" ref="G5:G16" si="1">E5*F5</f>
        <v>83700</v>
      </c>
      <c r="H5" s="69">
        <f>Données!G7</f>
        <v>0.22500000000000001</v>
      </c>
      <c r="I5" s="70">
        <f t="shared" ref="I5:I16" si="2">E5*H5</f>
        <v>1395</v>
      </c>
      <c r="K5" s="7"/>
      <c r="L5" s="61"/>
      <c r="M5" s="62">
        <v>100</v>
      </c>
      <c r="N5" s="73">
        <v>650</v>
      </c>
      <c r="O5" s="76">
        <f>ROUNDUP(I26,0)</f>
        <v>1</v>
      </c>
      <c r="P5" s="74">
        <f t="shared" ref="P5:P7" si="3">O5*N5</f>
        <v>650</v>
      </c>
      <c r="Q5" s="62"/>
    </row>
    <row r="6" spans="1:17" ht="15" thickBot="1" x14ac:dyDescent="0.4">
      <c r="B6" s="62" t="s">
        <v>103</v>
      </c>
      <c r="C6" s="65">
        <f>'S1 - projections'!C10+'S1 - projections'!D10+'S1 - projections'!E10</f>
        <v>3625</v>
      </c>
      <c r="D6" s="66">
        <f>Données!J8</f>
        <v>100</v>
      </c>
      <c r="E6" s="62">
        <f t="shared" si="0"/>
        <v>3700</v>
      </c>
      <c r="F6" s="67">
        <f>Données!H8</f>
        <v>20</v>
      </c>
      <c r="G6" s="68">
        <f t="shared" si="1"/>
        <v>74000</v>
      </c>
      <c r="H6" s="69">
        <f>Données!G8</f>
        <v>0.67500000000000004</v>
      </c>
      <c r="I6" s="70">
        <f t="shared" si="2"/>
        <v>2497.5</v>
      </c>
      <c r="K6" s="71" t="s">
        <v>91</v>
      </c>
      <c r="L6" s="77" t="s">
        <v>92</v>
      </c>
      <c r="M6" s="62">
        <v>150</v>
      </c>
      <c r="N6" s="73">
        <v>865</v>
      </c>
      <c r="O6" s="70">
        <f>I23</f>
        <v>32</v>
      </c>
      <c r="P6" s="74">
        <f t="shared" si="3"/>
        <v>27680</v>
      </c>
      <c r="Q6" s="75">
        <f>P6+P7</f>
        <v>27959.375</v>
      </c>
    </row>
    <row r="7" spans="1:17" x14ac:dyDescent="0.35">
      <c r="B7" s="62" t="s">
        <v>9</v>
      </c>
      <c r="C7" s="65">
        <f>'S1 - projections'!C11+'S1 - projections'!D11+'S1 - projections'!E11</f>
        <v>2860</v>
      </c>
      <c r="D7" s="66">
        <f>Données!J9</f>
        <v>100</v>
      </c>
      <c r="E7" s="62">
        <f t="shared" si="0"/>
        <v>2900</v>
      </c>
      <c r="F7" s="67">
        <f>Données!H9</f>
        <v>29</v>
      </c>
      <c r="G7" s="68">
        <f t="shared" si="1"/>
        <v>84100</v>
      </c>
      <c r="H7" s="69">
        <f>Données!G9</f>
        <v>0.5</v>
      </c>
      <c r="I7" s="70">
        <f t="shared" si="2"/>
        <v>1450</v>
      </c>
      <c r="L7" s="61"/>
      <c r="M7" s="62">
        <v>100</v>
      </c>
      <c r="N7" s="73">
        <v>745</v>
      </c>
      <c r="O7" s="76">
        <f>I26</f>
        <v>0.375</v>
      </c>
      <c r="P7" s="74">
        <f t="shared" si="3"/>
        <v>279.375</v>
      </c>
      <c r="Q7" s="62"/>
    </row>
    <row r="8" spans="1:17" x14ac:dyDescent="0.35">
      <c r="B8" s="62" t="s">
        <v>11</v>
      </c>
      <c r="C8" s="65">
        <f>'S1 - projections'!C12+'S1 - projections'!D12+'S1 - projections'!E12</f>
        <v>4750</v>
      </c>
      <c r="D8" s="66">
        <f>Données!J10</f>
        <v>50</v>
      </c>
      <c r="E8" s="62">
        <f t="shared" si="0"/>
        <v>4750</v>
      </c>
      <c r="F8" s="67">
        <f>Données!H10</f>
        <v>35</v>
      </c>
      <c r="G8" s="68">
        <f t="shared" si="1"/>
        <v>166250</v>
      </c>
      <c r="H8" s="69">
        <f>Données!G10</f>
        <v>0.75</v>
      </c>
      <c r="I8" s="70">
        <f t="shared" si="2"/>
        <v>3562.5</v>
      </c>
    </row>
    <row r="9" spans="1:17" x14ac:dyDescent="0.35">
      <c r="B9" s="62" t="s">
        <v>104</v>
      </c>
      <c r="C9" s="65">
        <f>'S1 - projections'!C13+'S1 - projections'!D13+'S1 - projections'!E13</f>
        <v>1640</v>
      </c>
      <c r="D9" s="66">
        <f>Données!J11</f>
        <v>100</v>
      </c>
      <c r="E9" s="62">
        <f t="shared" si="0"/>
        <v>1700</v>
      </c>
      <c r="F9" s="67">
        <f>Données!H11</f>
        <v>42</v>
      </c>
      <c r="G9" s="68">
        <f t="shared" si="1"/>
        <v>71400</v>
      </c>
      <c r="H9" s="69">
        <f>Données!G11</f>
        <v>0.9</v>
      </c>
      <c r="I9" s="70">
        <f t="shared" si="2"/>
        <v>1530</v>
      </c>
    </row>
    <row r="10" spans="1:17" x14ac:dyDescent="0.35">
      <c r="B10" s="62" t="s">
        <v>14</v>
      </c>
      <c r="C10" s="65">
        <f>'S1 - projections'!C14+'S1 - projections'!D14+'S1 - projections'!E14</f>
        <v>2455</v>
      </c>
      <c r="D10" s="66">
        <f>Données!J12</f>
        <v>50</v>
      </c>
      <c r="E10" s="62">
        <f t="shared" si="0"/>
        <v>2500</v>
      </c>
      <c r="F10" s="67">
        <f>Données!H12</f>
        <v>54</v>
      </c>
      <c r="G10" s="68">
        <f t="shared" si="1"/>
        <v>135000</v>
      </c>
      <c r="H10" s="69">
        <f>Données!G12</f>
        <v>0.875</v>
      </c>
      <c r="I10" s="70">
        <f t="shared" si="2"/>
        <v>2187.5</v>
      </c>
      <c r="N10" s="85"/>
    </row>
    <row r="11" spans="1:17" x14ac:dyDescent="0.35">
      <c r="B11" s="62" t="s">
        <v>16</v>
      </c>
      <c r="C11" s="65">
        <f>'S1 - projections'!C15+'S1 - projections'!D15+'S1 - projections'!E15</f>
        <v>7510</v>
      </c>
      <c r="D11" s="66">
        <f>Données!J13</f>
        <v>10</v>
      </c>
      <c r="E11" s="62">
        <f t="shared" si="0"/>
        <v>7510</v>
      </c>
      <c r="F11" s="67">
        <f>Données!H13</f>
        <v>59</v>
      </c>
      <c r="G11" s="68">
        <f t="shared" si="1"/>
        <v>443090</v>
      </c>
      <c r="H11" s="69">
        <f>Données!G13</f>
        <v>1.8</v>
      </c>
      <c r="I11" s="70">
        <f t="shared" si="2"/>
        <v>13518</v>
      </c>
    </row>
    <row r="12" spans="1:17" x14ac:dyDescent="0.35">
      <c r="B12" s="62" t="s">
        <v>105</v>
      </c>
      <c r="C12" s="65">
        <f>'S1 - projections'!C16+'S1 - projections'!D16+'S1 - projections'!E16</f>
        <v>4275</v>
      </c>
      <c r="D12" s="66">
        <f>Données!J14</f>
        <v>10</v>
      </c>
      <c r="E12" s="62">
        <f t="shared" si="0"/>
        <v>4280</v>
      </c>
      <c r="F12" s="67">
        <f>Données!H14</f>
        <v>66</v>
      </c>
      <c r="G12" s="68">
        <f t="shared" si="1"/>
        <v>282480</v>
      </c>
      <c r="H12" s="69">
        <f>Données!G14</f>
        <v>0.5625</v>
      </c>
      <c r="I12" s="70">
        <f t="shared" si="2"/>
        <v>2407.5</v>
      </c>
    </row>
    <row r="13" spans="1:17" x14ac:dyDescent="0.35">
      <c r="B13" s="62" t="s">
        <v>19</v>
      </c>
      <c r="C13" s="65">
        <f>'S1 - projections'!C17+'S1 - projections'!D17+'S1 - projections'!E17</f>
        <v>1125</v>
      </c>
      <c r="D13" s="66">
        <f>Données!J15</f>
        <v>10</v>
      </c>
      <c r="E13" s="62">
        <f t="shared" si="0"/>
        <v>1130</v>
      </c>
      <c r="F13" s="67">
        <f>Données!H15</f>
        <v>69</v>
      </c>
      <c r="G13" s="68">
        <f t="shared" si="1"/>
        <v>77970</v>
      </c>
      <c r="H13" s="69">
        <f>Données!G15</f>
        <v>0.75</v>
      </c>
      <c r="I13" s="70">
        <f t="shared" si="2"/>
        <v>847.5</v>
      </c>
    </row>
    <row r="14" spans="1:17" x14ac:dyDescent="0.35">
      <c r="B14" s="62" t="s">
        <v>34</v>
      </c>
      <c r="C14" s="65">
        <f>'S1 - projections'!C18+'S1 - projections'!D18+'S1 - projections'!E18</f>
        <v>0</v>
      </c>
      <c r="D14" s="66">
        <f>Données!J16</f>
        <v>100</v>
      </c>
      <c r="E14" s="62">
        <f t="shared" si="0"/>
        <v>0</v>
      </c>
      <c r="F14" s="67">
        <f>Données!H16</f>
        <v>22</v>
      </c>
      <c r="G14" s="68">
        <f t="shared" si="1"/>
        <v>0</v>
      </c>
      <c r="H14" s="69">
        <f>Données!G16</f>
        <v>0.67500000000000004</v>
      </c>
      <c r="I14" s="70">
        <f t="shared" si="2"/>
        <v>0</v>
      </c>
    </row>
    <row r="15" spans="1:17" x14ac:dyDescent="0.35">
      <c r="B15" s="62" t="s">
        <v>66</v>
      </c>
      <c r="C15" s="65">
        <f>'S1 - projections'!C19+'S1 - projections'!D19+'S1 - projections'!E19</f>
        <v>0</v>
      </c>
      <c r="D15" s="66">
        <f>Données!J17</f>
        <v>10</v>
      </c>
      <c r="E15" s="62">
        <f t="shared" si="0"/>
        <v>0</v>
      </c>
      <c r="F15" s="67">
        <f>Données!H17</f>
        <v>43</v>
      </c>
      <c r="G15" s="68">
        <f t="shared" si="1"/>
        <v>0</v>
      </c>
      <c r="H15" s="69">
        <f>Données!G17</f>
        <v>1.75</v>
      </c>
      <c r="I15" s="70">
        <f t="shared" si="2"/>
        <v>0</v>
      </c>
    </row>
    <row r="16" spans="1:17" x14ac:dyDescent="0.35">
      <c r="B16" s="62" t="s">
        <v>67</v>
      </c>
      <c r="C16" s="65">
        <f>'S1 - projections'!C20+'S1 - projections'!D20+'S1 - projections'!E20</f>
        <v>0</v>
      </c>
      <c r="D16" s="66">
        <f>Données!J18</f>
        <v>10</v>
      </c>
      <c r="E16" s="62">
        <f t="shared" si="0"/>
        <v>0</v>
      </c>
      <c r="F16" s="67">
        <f>Données!H18</f>
        <v>65</v>
      </c>
      <c r="G16" s="68">
        <f t="shared" si="1"/>
        <v>0</v>
      </c>
      <c r="H16" s="69">
        <f>Données!G18</f>
        <v>1.25</v>
      </c>
      <c r="I16" s="70">
        <f t="shared" si="2"/>
        <v>0</v>
      </c>
    </row>
    <row r="17" spans="2:17" x14ac:dyDescent="0.35">
      <c r="B17" s="41"/>
      <c r="C17" s="34"/>
    </row>
    <row r="18" spans="2:17" x14ac:dyDescent="0.35">
      <c r="B18" s="41"/>
      <c r="C18" s="34"/>
    </row>
    <row r="19" spans="2:17" x14ac:dyDescent="0.35">
      <c r="B19" s="41"/>
      <c r="C19" s="34"/>
      <c r="D19" s="41"/>
      <c r="E19" s="41"/>
      <c r="F19" s="78"/>
      <c r="G19" s="79"/>
      <c r="H19" s="80"/>
      <c r="I19" s="34"/>
      <c r="K19" s="6"/>
    </row>
    <row r="20" spans="2:17" ht="15" thickBot="1" x14ac:dyDescent="0.4">
      <c r="B20" s="41"/>
      <c r="C20" s="34"/>
      <c r="D20" s="41"/>
      <c r="E20" s="41"/>
      <c r="F20" s="78"/>
      <c r="G20" s="79"/>
      <c r="H20" s="80"/>
      <c r="I20" s="34"/>
    </row>
    <row r="21" spans="2:17" ht="15" thickBot="1" x14ac:dyDescent="0.4">
      <c r="B21" s="41"/>
      <c r="C21" s="34"/>
      <c r="D21" s="41"/>
      <c r="E21" s="41"/>
      <c r="F21" s="78"/>
      <c r="G21" s="81"/>
      <c r="H21" s="80"/>
      <c r="I21" s="82"/>
      <c r="J21" s="39"/>
      <c r="K21" s="39"/>
      <c r="L21" s="39"/>
      <c r="M21" s="39"/>
      <c r="N21" s="39"/>
      <c r="O21" s="39"/>
      <c r="P21" s="39"/>
      <c r="Q21" s="97"/>
    </row>
    <row r="22" spans="2:17" ht="15" thickBot="1" x14ac:dyDescent="0.4">
      <c r="B22" s="41"/>
      <c r="E22" s="6"/>
      <c r="G22" s="83">
        <f>SUM(G4:G16)</f>
        <v>1453427.5</v>
      </c>
      <c r="I22" s="84">
        <f>SUM(I4:I6)</f>
        <v>4837.5</v>
      </c>
      <c r="J22" s="19" t="s">
        <v>93</v>
      </c>
    </row>
    <row r="23" spans="2:17" ht="15" thickBot="1" x14ac:dyDescent="0.4">
      <c r="B23" s="41"/>
      <c r="I23" s="86">
        <f>ROUNDDOWN(I22/M4,0)</f>
        <v>32</v>
      </c>
      <c r="J23" t="s">
        <v>94</v>
      </c>
    </row>
    <row r="24" spans="2:17" x14ac:dyDescent="0.35">
      <c r="B24" s="41"/>
      <c r="E24" s="87"/>
      <c r="H24" s="88" t="s">
        <v>95</v>
      </c>
      <c r="I24" s="89">
        <f>I23*M4</f>
        <v>4800</v>
      </c>
    </row>
    <row r="25" spans="2:17" x14ac:dyDescent="0.35">
      <c r="B25" s="41"/>
      <c r="H25" s="90" t="s">
        <v>96</v>
      </c>
      <c r="I25" s="91">
        <f>I22-I24</f>
        <v>37.5</v>
      </c>
      <c r="J25" s="92" t="s">
        <v>97</v>
      </c>
    </row>
    <row r="26" spans="2:17" x14ac:dyDescent="0.35">
      <c r="B26" s="41"/>
      <c r="H26" s="88" t="s">
        <v>98</v>
      </c>
      <c r="I26" s="93">
        <f>I25/M7</f>
        <v>0.375</v>
      </c>
    </row>
    <row r="27" spans="2:17" x14ac:dyDescent="0.35">
      <c r="B27" s="41"/>
      <c r="E27" s="79"/>
    </row>
    <row r="28" spans="2:17" x14ac:dyDescent="0.35">
      <c r="B28" t="s">
        <v>99</v>
      </c>
      <c r="G28" s="83">
        <f>G22</f>
        <v>1453427.5</v>
      </c>
    </row>
    <row r="29" spans="2:17" x14ac:dyDescent="0.35">
      <c r="B29" s="51" t="s">
        <v>100</v>
      </c>
      <c r="G29" s="94">
        <f>MIN(Q4,Q6)</f>
        <v>27959.375</v>
      </c>
    </row>
    <row r="30" spans="2:17" x14ac:dyDescent="0.35">
      <c r="B30" t="s">
        <v>101</v>
      </c>
      <c r="G30" s="95">
        <f>SUM(G28:G29)</f>
        <v>1481386.875</v>
      </c>
    </row>
    <row r="32" spans="2:17" ht="15" thickBot="1" x14ac:dyDescent="0.4"/>
    <row r="33" spans="2:9" ht="15" thickBot="1" x14ac:dyDescent="0.4">
      <c r="B33" s="96" t="s">
        <v>102</v>
      </c>
      <c r="C33" s="39"/>
      <c r="D33" s="39"/>
      <c r="E33" s="39"/>
      <c r="F33" s="39"/>
      <c r="G33" s="39"/>
      <c r="H33" s="39"/>
      <c r="I33" s="39"/>
    </row>
    <row r="35" spans="2:9" x14ac:dyDescent="0.35">
      <c r="H35" s="95"/>
    </row>
  </sheetData>
  <sheetProtection sheet="1" objects="1" scenarios="1" formatCells="1" formatColumns="0" formatRows="0" insertColumns="1" insertRows="1" insertHyperlinks="1" deleteColumns="1" deleteRows="1" selectLockedCells="0" selectUnlockedCells="0" sort="0" autoFilter="0" pivotTables="0"/>
  <mergeCells count="1">
    <mergeCell ref="K2:Q2"/>
  </mergeCells>
  <phoneticPr fontId="14" type="noConversion"/>
  <pageMargins left="0.70866141732283472" right="0.70866141732283472" top="0.74803149606299213" bottom="0.74803149606299213" header="0.31496062992125984" footer="0.31496062992125984"/>
  <pageSetup scale="62" orientation="landscape" cellComments="asDisplayed"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A8E2-57B2-4A64-A52E-6450EBEB895C}">
  <sheetPr>
    <pageSetUpPr fitToPage="1"/>
  </sheetPr>
  <dimension ref="A1:AB51"/>
  <sheetViews>
    <sheetView zoomScale="103" workbookViewId="0">
      <selection activeCell="E5" sqref="E5"/>
    </sheetView>
  </sheetViews>
  <sheetFormatPr baseColWidth="10" defaultRowHeight="14.5" x14ac:dyDescent="0.35"/>
  <cols>
    <col min="1" max="1" width="30.54296875" customWidth="1"/>
    <col min="2" max="2" width="14.1796875" customWidth="1"/>
    <col min="3" max="3" width="12.90625" bestFit="1" customWidth="1"/>
    <col min="4" max="4" width="10.81640625" bestFit="1" customWidth="1"/>
    <col min="5" max="5" width="14.7265625" customWidth="1"/>
    <col min="7" max="7" width="1.7265625" customWidth="1"/>
    <col min="12" max="12" width="8.1796875" customWidth="1"/>
    <col min="13" max="13" width="4.7265625" customWidth="1"/>
    <col min="20" max="20" width="5.81640625" customWidth="1"/>
    <col min="25" max="25" width="13" customWidth="1"/>
    <col min="27" max="27" width="11.7265625" bestFit="1" customWidth="1"/>
  </cols>
  <sheetData>
    <row r="1" spans="1:24" x14ac:dyDescent="0.35">
      <c r="A1" s="98" t="s">
        <v>106</v>
      </c>
      <c r="C1" s="99" t="s">
        <v>107</v>
      </c>
      <c r="D1" s="100" t="s">
        <v>108</v>
      </c>
      <c r="E1" s="100" t="s">
        <v>109</v>
      </c>
    </row>
    <row r="2" spans="1:24" ht="15" thickBot="1" x14ac:dyDescent="0.4">
      <c r="H2" s="98" t="s">
        <v>110</v>
      </c>
      <c r="N2" s="98" t="s">
        <v>111</v>
      </c>
      <c r="V2" s="98" t="s">
        <v>112</v>
      </c>
    </row>
    <row r="3" spans="1:24" ht="44" thickBot="1" x14ac:dyDescent="0.4">
      <c r="A3" t="s">
        <v>113</v>
      </c>
      <c r="D3" s="41"/>
      <c r="E3" s="174">
        <f>K23</f>
        <v>22717.048146943114</v>
      </c>
      <c r="H3" s="41" t="s">
        <v>24</v>
      </c>
      <c r="I3" s="101" t="s">
        <v>114</v>
      </c>
      <c r="J3" s="64" t="s">
        <v>84</v>
      </c>
      <c r="K3" s="64" t="s">
        <v>85</v>
      </c>
      <c r="N3" s="102">
        <f>'S1 - projections'!D44</f>
        <v>90348.321054371045</v>
      </c>
      <c r="O3" t="s">
        <v>115</v>
      </c>
      <c r="V3" s="103"/>
      <c r="W3" s="41" t="s">
        <v>116</v>
      </c>
    </row>
    <row r="4" spans="1:24" ht="15" thickBot="1" x14ac:dyDescent="0.4">
      <c r="A4" t="s">
        <v>117</v>
      </c>
      <c r="D4" s="41"/>
      <c r="E4" s="104">
        <f>N9</f>
        <v>175</v>
      </c>
      <c r="H4" s="41" t="s">
        <v>4</v>
      </c>
      <c r="I4" s="57">
        <f>'S1 - projections'!AR8+'S1 - projections'!AS8+'S1 - projections'!AT8</f>
        <v>10936.852270428051</v>
      </c>
      <c r="J4" s="105">
        <f>Données!G6</f>
        <v>0.18000000000000002</v>
      </c>
      <c r="K4" s="57">
        <f>I4*J4</f>
        <v>1968.6334086770494</v>
      </c>
      <c r="N4" s="103">
        <f>1000*13</f>
        <v>13000</v>
      </c>
      <c r="O4" t="s">
        <v>118</v>
      </c>
    </row>
    <row r="5" spans="1:24" ht="15" thickBot="1" x14ac:dyDescent="0.4">
      <c r="A5" t="s">
        <v>119</v>
      </c>
      <c r="D5" s="41"/>
      <c r="E5" s="178">
        <f>V14</f>
        <v>185.75907382081354</v>
      </c>
      <c r="H5" s="41" t="s">
        <v>6</v>
      </c>
      <c r="I5" s="57">
        <f>'S1 - projections'!AR9+'S1 - projections'!AS9+'S1 - projections'!AT9</f>
        <v>12817.113405745196</v>
      </c>
      <c r="J5" s="105">
        <f>Données!G7</f>
        <v>0.22500000000000001</v>
      </c>
      <c r="K5" s="57">
        <f t="shared" ref="K5:K16" si="0">I5*J5</f>
        <v>2883.8505162926695</v>
      </c>
      <c r="N5" s="105">
        <f>CEILING(N3/N4,1)</f>
        <v>7</v>
      </c>
      <c r="O5" t="s">
        <v>120</v>
      </c>
      <c r="U5" s="40" t="s">
        <v>121</v>
      </c>
      <c r="V5" s="103">
        <v>1</v>
      </c>
    </row>
    <row r="6" spans="1:24" ht="15" thickBot="1" x14ac:dyDescent="0.4">
      <c r="A6" t="s">
        <v>122</v>
      </c>
      <c r="D6" s="41"/>
      <c r="E6" s="106">
        <f>W39</f>
        <v>192</v>
      </c>
      <c r="H6" s="41" t="s">
        <v>103</v>
      </c>
      <c r="I6" s="57">
        <f>'S1 - projections'!AR10+'S1 - projections'!AS10+'S1 - projections'!AT10</f>
        <v>7573.2740172496196</v>
      </c>
      <c r="J6" s="105">
        <f>Données!G8</f>
        <v>0.67500000000000004</v>
      </c>
      <c r="K6" s="57">
        <f t="shared" si="0"/>
        <v>5111.9599616434934</v>
      </c>
      <c r="N6" s="103">
        <v>5</v>
      </c>
      <c r="O6" t="s">
        <v>123</v>
      </c>
      <c r="U6" s="40" t="s">
        <v>124</v>
      </c>
      <c r="V6" s="34">
        <v>7</v>
      </c>
      <c r="X6" t="s">
        <v>125</v>
      </c>
    </row>
    <row r="7" spans="1:24" ht="15" thickBot="1" x14ac:dyDescent="0.4">
      <c r="A7" s="108"/>
      <c r="D7" s="50"/>
      <c r="E7" s="34"/>
      <c r="H7" s="41" t="s">
        <v>9</v>
      </c>
      <c r="I7" s="57">
        <f>'S1 - projections'!AR11+'S1 - projections'!AS11+'S1 - projections'!AT11</f>
        <v>5975.052052230034</v>
      </c>
      <c r="J7" s="105">
        <f>Données!G9</f>
        <v>0.5</v>
      </c>
      <c r="K7" s="57">
        <f t="shared" si="0"/>
        <v>2987.526026115017</v>
      </c>
      <c r="N7" s="109">
        <f>N5*N6</f>
        <v>35</v>
      </c>
      <c r="O7" t="s">
        <v>126</v>
      </c>
      <c r="U7" s="40" t="s">
        <v>127</v>
      </c>
      <c r="V7" s="107">
        <f>N3/(W7*K18)</f>
        <v>2.5740262408652721</v>
      </c>
      <c r="W7" s="59">
        <v>2700</v>
      </c>
      <c r="X7" t="s">
        <v>128</v>
      </c>
    </row>
    <row r="8" spans="1:24" ht="15" thickBot="1" x14ac:dyDescent="0.4">
      <c r="A8" s="110" t="s">
        <v>129</v>
      </c>
      <c r="B8" s="39"/>
      <c r="C8" s="39"/>
      <c r="D8" s="39"/>
      <c r="E8" s="111">
        <f>SUM(E3:E6)</f>
        <v>23269.807220763927</v>
      </c>
      <c r="F8" s="97" t="s">
        <v>97</v>
      </c>
      <c r="H8" s="41" t="s">
        <v>11</v>
      </c>
      <c r="I8" s="57">
        <f>'S1 - projections'!AR12+'S1 - projections'!AS12+'S1 - projections'!AT12</f>
        <v>9923.6004363960346</v>
      </c>
      <c r="J8" s="105">
        <f>Données!G10</f>
        <v>0.75</v>
      </c>
      <c r="K8" s="57">
        <f t="shared" si="0"/>
        <v>7442.700327297026</v>
      </c>
      <c r="M8" s="112"/>
      <c r="N8" s="103">
        <v>5</v>
      </c>
      <c r="O8" t="s">
        <v>116</v>
      </c>
      <c r="U8" s="40" t="s">
        <v>130</v>
      </c>
      <c r="V8" s="107">
        <f>N3/(W8*K18)</f>
        <v>6.9498708503362341</v>
      </c>
      <c r="W8" s="59">
        <v>1000</v>
      </c>
      <c r="X8" t="s">
        <v>128</v>
      </c>
    </row>
    <row r="9" spans="1:24" ht="15" thickBot="1" x14ac:dyDescent="0.4">
      <c r="H9" s="41" t="s">
        <v>104</v>
      </c>
      <c r="I9" s="57">
        <f>'S1 - projections'!AR13+'S1 - projections'!AS13+'S1 - projections'!AT13</f>
        <v>3426.2536243556697</v>
      </c>
      <c r="J9" s="105">
        <f>Données!G11</f>
        <v>0.9</v>
      </c>
      <c r="K9" s="57">
        <f t="shared" si="0"/>
        <v>3083.6282619201029</v>
      </c>
      <c r="N9" s="113">
        <f>N7*N8</f>
        <v>175</v>
      </c>
      <c r="O9" t="s">
        <v>131</v>
      </c>
      <c r="U9" s="40" t="s">
        <v>132</v>
      </c>
      <c r="V9" s="208">
        <f>3+(3000-2652)/3000</f>
        <v>3.1160000000000001</v>
      </c>
      <c r="X9" t="s">
        <v>133</v>
      </c>
    </row>
    <row r="10" spans="1:24" x14ac:dyDescent="0.35">
      <c r="H10" s="41" t="s">
        <v>14</v>
      </c>
      <c r="I10" s="57">
        <f>'S1 - projections'!AR14+'S1 - projections'!AS14+'S1 - projections'!AT14</f>
        <v>5128.9345413373194</v>
      </c>
      <c r="J10" s="105">
        <f>Données!G12</f>
        <v>0.875</v>
      </c>
      <c r="K10" s="57">
        <f t="shared" si="0"/>
        <v>4487.817723670154</v>
      </c>
      <c r="U10" s="40" t="s">
        <v>134</v>
      </c>
      <c r="V10" s="107"/>
      <c r="W10" s="175">
        <f>E8</f>
        <v>23269.807220763927</v>
      </c>
      <c r="X10" t="s">
        <v>200</v>
      </c>
    </row>
    <row r="11" spans="1:24" x14ac:dyDescent="0.35">
      <c r="H11" s="41" t="s">
        <v>16</v>
      </c>
      <c r="I11" s="57">
        <f>'S1 - projections'!AR15+'S1 - projections'!AS15+'S1 - projections'!AT15</f>
        <v>15689.734584701946</v>
      </c>
      <c r="J11" s="105">
        <f>Données!G13</f>
        <v>1.8</v>
      </c>
      <c r="K11" s="57">
        <f t="shared" si="0"/>
        <v>28241.522252463503</v>
      </c>
      <c r="U11" s="88" t="s">
        <v>135</v>
      </c>
      <c r="V11" s="176">
        <f>SUM(V5:V9)</f>
        <v>20.639897091201505</v>
      </c>
      <c r="W11" s="114" t="s">
        <v>136</v>
      </c>
    </row>
    <row r="12" spans="1:24" x14ac:dyDescent="0.35">
      <c r="H12" s="41" t="s">
        <v>105</v>
      </c>
      <c r="I12" s="57">
        <f>'S1 - projections'!AR16+'S1 - projections'!AS16+'S1 - projections'!AT16</f>
        <v>8931.2403927564301</v>
      </c>
      <c r="J12" s="105">
        <f>Données!G14</f>
        <v>0.5625</v>
      </c>
      <c r="K12" s="57">
        <f t="shared" si="0"/>
        <v>5023.8227209254919</v>
      </c>
      <c r="N12" s="85"/>
      <c r="U12" s="26">
        <v>0.6</v>
      </c>
      <c r="V12" s="176">
        <f>V11*U12</f>
        <v>12.383938254720903</v>
      </c>
      <c r="W12" t="s">
        <v>137</v>
      </c>
    </row>
    <row r="13" spans="1:24" ht="15" thickBot="1" x14ac:dyDescent="0.4">
      <c r="H13" s="41" t="s">
        <v>19</v>
      </c>
      <c r="I13" s="57">
        <f>'S1 - projections'!AR17+'S1 - projections'!AS17+'S1 - projections'!AT17</f>
        <v>2350.32641914643</v>
      </c>
      <c r="J13" s="105">
        <f>Données!G15</f>
        <v>0.75</v>
      </c>
      <c r="K13" s="57">
        <f t="shared" si="0"/>
        <v>1762.7448143598226</v>
      </c>
      <c r="N13" s="115"/>
      <c r="T13" s="88" t="s">
        <v>138</v>
      </c>
      <c r="U13" s="103">
        <v>5</v>
      </c>
      <c r="V13" s="176">
        <f>V12*U13</f>
        <v>61.919691273604514</v>
      </c>
      <c r="W13" t="s">
        <v>139</v>
      </c>
    </row>
    <row r="14" spans="1:24" ht="15" thickBot="1" x14ac:dyDescent="0.4">
      <c r="H14" s="41" t="s">
        <v>34</v>
      </c>
      <c r="I14" s="57">
        <f>'S1 - projections'!AR18+'S1 - projections'!AS18+'S1 - projections'!AT18</f>
        <v>1463.6693687090039</v>
      </c>
      <c r="J14" s="105">
        <f>Données!G16</f>
        <v>0.67500000000000004</v>
      </c>
      <c r="K14" s="57">
        <f t="shared" si="0"/>
        <v>987.97682387857776</v>
      </c>
      <c r="T14" s="88" t="s">
        <v>140</v>
      </c>
      <c r="U14" s="103">
        <v>3</v>
      </c>
      <c r="V14" s="116">
        <f>V13*U14</f>
        <v>185.75907382081354</v>
      </c>
      <c r="W14" t="s">
        <v>141</v>
      </c>
    </row>
    <row r="15" spans="1:24" x14ac:dyDescent="0.35">
      <c r="A15" s="41"/>
      <c r="B15" s="41"/>
      <c r="C15" s="41"/>
      <c r="D15" s="41"/>
      <c r="H15" s="41" t="s">
        <v>66</v>
      </c>
      <c r="I15" s="57">
        <f>'S1 - projections'!AR19+'S1 - projections'!AS19+'S1 - projections'!AT19</f>
        <v>4365.7724273561698</v>
      </c>
      <c r="J15" s="105">
        <f>Données!G17</f>
        <v>1.75</v>
      </c>
      <c r="K15" s="57">
        <f t="shared" si="0"/>
        <v>7640.1017478732974</v>
      </c>
    </row>
    <row r="16" spans="1:24" x14ac:dyDescent="0.35">
      <c r="B16" s="117"/>
      <c r="C16" s="51"/>
      <c r="D16" s="85"/>
      <c r="E16" s="51"/>
      <c r="H16" s="41" t="s">
        <v>67</v>
      </c>
      <c r="I16" s="57">
        <f>'S1 - projections'!AR20+'S1 - projections'!AS20+'S1 - projections'!AT20</f>
        <v>1766.4975139591409</v>
      </c>
      <c r="J16" s="105">
        <f>Données!G18</f>
        <v>1.25</v>
      </c>
      <c r="K16" s="57">
        <f t="shared" si="0"/>
        <v>2208.1218924489262</v>
      </c>
    </row>
    <row r="17" spans="1:28" ht="15" thickBot="1" x14ac:dyDescent="0.4">
      <c r="A17" s="118" t="s">
        <v>142</v>
      </c>
      <c r="J17" s="40" t="s">
        <v>143</v>
      </c>
      <c r="K17" s="119">
        <f>SUM(K4:K16)</f>
        <v>73830.40647756512</v>
      </c>
      <c r="L17" s="41" t="s">
        <v>86</v>
      </c>
      <c r="U17" s="88" t="s">
        <v>144</v>
      </c>
      <c r="V17" s="120">
        <f>N3</f>
        <v>90348.321054371045</v>
      </c>
      <c r="W17" t="s">
        <v>145</v>
      </c>
      <c r="Y17" s="121"/>
      <c r="Z17" s="108" t="s">
        <v>146</v>
      </c>
    </row>
    <row r="18" spans="1:28" ht="49" thickBot="1" x14ac:dyDescent="0.4">
      <c r="A18" s="41"/>
      <c r="B18" s="41" t="s">
        <v>147</v>
      </c>
      <c r="C18" s="41"/>
      <c r="D18" s="41" t="s">
        <v>148</v>
      </c>
      <c r="K18" s="122">
        <v>13</v>
      </c>
      <c r="L18" t="s">
        <v>149</v>
      </c>
      <c r="U18" s="62" t="s">
        <v>150</v>
      </c>
      <c r="V18" s="62" t="s">
        <v>87</v>
      </c>
      <c r="W18" s="123" t="s">
        <v>151</v>
      </c>
      <c r="X18" s="123" t="s">
        <v>152</v>
      </c>
      <c r="Y18" s="63" t="s">
        <v>153</v>
      </c>
      <c r="Z18" s="63" t="s">
        <v>154</v>
      </c>
      <c r="AA18" s="62" t="s">
        <v>155</v>
      </c>
    </row>
    <row r="19" spans="1:28" x14ac:dyDescent="0.35">
      <c r="A19" s="41" t="s">
        <v>147</v>
      </c>
      <c r="B19" s="124">
        <v>1.35</v>
      </c>
      <c r="C19" s="51" t="s">
        <v>156</v>
      </c>
      <c r="D19" s="125">
        <v>75</v>
      </c>
      <c r="E19" s="51" t="s">
        <v>156</v>
      </c>
      <c r="K19" s="57">
        <f>K17/K18</f>
        <v>5679.2620367357786</v>
      </c>
      <c r="L19" t="s">
        <v>157</v>
      </c>
      <c r="U19" s="126" t="s">
        <v>158</v>
      </c>
      <c r="V19" s="127">
        <v>200</v>
      </c>
      <c r="W19" s="62">
        <v>1000</v>
      </c>
      <c r="X19" s="62">
        <f>W19*3</f>
        <v>3000</v>
      </c>
      <c r="Y19" s="62">
        <v>1</v>
      </c>
      <c r="Z19" s="62">
        <f>X19*Y19</f>
        <v>3000</v>
      </c>
      <c r="AA19" s="128">
        <f>V19*Y19</f>
        <v>200</v>
      </c>
      <c r="AB19" s="108" t="s">
        <v>159</v>
      </c>
    </row>
    <row r="20" spans="1:28" x14ac:dyDescent="0.35">
      <c r="A20" s="41" t="s">
        <v>160</v>
      </c>
      <c r="B20" s="124">
        <v>15</v>
      </c>
      <c r="C20" s="51" t="s">
        <v>156</v>
      </c>
      <c r="D20" s="129" t="s">
        <v>195</v>
      </c>
      <c r="E20" t="s">
        <v>161</v>
      </c>
      <c r="K20" s="66">
        <v>2</v>
      </c>
      <c r="L20" t="s">
        <v>162</v>
      </c>
      <c r="U20" s="126" t="s">
        <v>163</v>
      </c>
      <c r="V20" s="127">
        <v>2200</v>
      </c>
      <c r="W20" s="62">
        <v>5000</v>
      </c>
      <c r="X20" s="62">
        <f t="shared" ref="X20:X21" si="1">W20*3</f>
        <v>15000</v>
      </c>
      <c r="Y20" s="62"/>
      <c r="Z20" s="62">
        <f t="shared" ref="Z20:Z21" si="2">X20*Y20</f>
        <v>0</v>
      </c>
      <c r="AA20" s="128">
        <f t="shared" ref="AA20:AA21" si="3">V20*Y20</f>
        <v>0</v>
      </c>
      <c r="AB20" s="108"/>
    </row>
    <row r="21" spans="1:28" x14ac:dyDescent="0.35">
      <c r="A21" s="130"/>
      <c r="B21" s="131"/>
      <c r="C21" s="51"/>
      <c r="D21" s="131"/>
      <c r="E21" s="51"/>
      <c r="K21" s="57">
        <f>K19*2</f>
        <v>11358.524073471557</v>
      </c>
      <c r="L21" t="s">
        <v>164</v>
      </c>
      <c r="U21" s="132" t="s">
        <v>165</v>
      </c>
      <c r="V21" s="127">
        <v>11500</v>
      </c>
      <c r="W21" s="62">
        <v>10000</v>
      </c>
      <c r="X21" s="62">
        <f t="shared" si="1"/>
        <v>30000</v>
      </c>
      <c r="Y21" s="62">
        <v>3</v>
      </c>
      <c r="Z21" s="62">
        <f t="shared" si="2"/>
        <v>90000</v>
      </c>
      <c r="AA21" s="128">
        <f t="shared" si="3"/>
        <v>34500</v>
      </c>
      <c r="AB21" s="108" t="s">
        <v>166</v>
      </c>
    </row>
    <row r="22" spans="1:28" ht="15" thickBot="1" x14ac:dyDescent="0.4">
      <c r="K22" s="103">
        <v>2</v>
      </c>
      <c r="L22" t="s">
        <v>167</v>
      </c>
      <c r="Y22" t="s">
        <v>168</v>
      </c>
      <c r="Z22" s="109">
        <f>SUM(Z19:Z21)</f>
        <v>93000</v>
      </c>
      <c r="AA22" s="133"/>
    </row>
    <row r="23" spans="1:28" ht="15" thickBot="1" x14ac:dyDescent="0.4">
      <c r="D23" s="85">
        <f>SUM(D24:D25)</f>
        <v>1745235.5415572943</v>
      </c>
      <c r="E23" t="s">
        <v>68</v>
      </c>
      <c r="K23" s="134">
        <f>K21*2</f>
        <v>22717.048146943114</v>
      </c>
      <c r="L23" s="135" t="s">
        <v>169</v>
      </c>
      <c r="M23" s="135"/>
      <c r="N23" s="135"/>
      <c r="O23" s="136"/>
      <c r="V23" t="s">
        <v>170</v>
      </c>
      <c r="Y23" t="s">
        <v>171</v>
      </c>
      <c r="Z23" s="57">
        <f>Z22-V17</f>
        <v>2651.6789456289553</v>
      </c>
    </row>
    <row r="24" spans="1:28" x14ac:dyDescent="0.35">
      <c r="A24" s="137" t="s">
        <v>172</v>
      </c>
      <c r="B24" s="138">
        <f>B19*E8</f>
        <v>31414.239748031305</v>
      </c>
      <c r="C24" s="139" t="s">
        <v>173</v>
      </c>
      <c r="D24" s="140">
        <f>(D19*E8)*85%</f>
        <v>1483450.2103237002</v>
      </c>
      <c r="E24" s="27" t="s">
        <v>174</v>
      </c>
      <c r="K24" s="141">
        <v>5</v>
      </c>
      <c r="L24" t="s">
        <v>175</v>
      </c>
      <c r="U24" s="88" t="s">
        <v>176</v>
      </c>
      <c r="V24" s="177">
        <f>Y21+(V17-Z22)/X20</f>
        <v>2.8232214036247365</v>
      </c>
      <c r="W24" s="142"/>
    </row>
    <row r="25" spans="1:28" ht="15" thickBot="1" x14ac:dyDescent="0.4">
      <c r="A25" s="143" t="s">
        <v>177</v>
      </c>
      <c r="B25" s="144">
        <f>ROUND((B20*E8),-3)</f>
        <v>349000</v>
      </c>
      <c r="C25" s="145"/>
      <c r="D25" s="146">
        <f>(D19*E8)*15%</f>
        <v>261785.33123359416</v>
      </c>
      <c r="E25" s="147" t="s">
        <v>161</v>
      </c>
      <c r="K25" s="57">
        <f>K23/K24</f>
        <v>4543.4096293886232</v>
      </c>
      <c r="L25" t="s">
        <v>178</v>
      </c>
      <c r="V25" t="s">
        <v>201</v>
      </c>
      <c r="W25" s="41"/>
      <c r="Z25" s="6"/>
    </row>
    <row r="26" spans="1:28" x14ac:dyDescent="0.35">
      <c r="B26" s="148"/>
      <c r="C26" s="148"/>
      <c r="D26" s="41"/>
      <c r="E26" s="95"/>
      <c r="W26" s="41"/>
    </row>
    <row r="27" spans="1:28" x14ac:dyDescent="0.35">
      <c r="A27" s="19"/>
      <c r="B27" s="19"/>
      <c r="C27" s="41"/>
      <c r="D27" s="41"/>
      <c r="E27" s="19"/>
      <c r="U27" s="88"/>
      <c r="V27" s="85"/>
      <c r="W27" s="149"/>
      <c r="X27" s="117"/>
    </row>
    <row r="28" spans="1:28" x14ac:dyDescent="0.35">
      <c r="B28" s="148"/>
      <c r="C28" s="150"/>
      <c r="D28" s="41"/>
      <c r="E28" s="95"/>
      <c r="H28" s="151" t="s">
        <v>179</v>
      </c>
      <c r="I28" s="151"/>
      <c r="J28" s="151"/>
      <c r="K28" s="151"/>
      <c r="L28" s="151"/>
      <c r="M28" s="151"/>
      <c r="N28" s="151"/>
      <c r="O28" s="151"/>
    </row>
    <row r="29" spans="1:28" x14ac:dyDescent="0.35">
      <c r="A29" t="s">
        <v>180</v>
      </c>
      <c r="C29" s="78">
        <f>4500*N5</f>
        <v>31500</v>
      </c>
      <c r="E29" t="s">
        <v>202</v>
      </c>
      <c r="F29">
        <f>ROUND(7/2,0)</f>
        <v>4</v>
      </c>
    </row>
    <row r="30" spans="1:28" x14ac:dyDescent="0.35">
      <c r="A30" t="s">
        <v>181</v>
      </c>
      <c r="B30" s="19"/>
      <c r="C30" s="183">
        <f>CEILING((955*4),100)</f>
        <v>3900</v>
      </c>
      <c r="D30" s="19"/>
      <c r="E30" s="19"/>
    </row>
    <row r="31" spans="1:28" x14ac:dyDescent="0.35">
      <c r="A31" t="s">
        <v>182</v>
      </c>
      <c r="B31" s="41"/>
      <c r="C31" s="182">
        <f>CEILING((900*4),100)</f>
        <v>3600</v>
      </c>
      <c r="D31" s="41"/>
      <c r="E31" s="41"/>
      <c r="F31" s="41"/>
    </row>
    <row r="32" spans="1:28" x14ac:dyDescent="0.35">
      <c r="A32" t="s">
        <v>183</v>
      </c>
      <c r="B32" s="148"/>
      <c r="C32" s="179">
        <f>CEILING((V12/4)*350,1)</f>
        <v>1084</v>
      </c>
      <c r="D32" s="41"/>
      <c r="E32" s="95"/>
      <c r="V32" s="98" t="s">
        <v>184</v>
      </c>
      <c r="Y32" s="152"/>
    </row>
    <row r="33" spans="1:26" x14ac:dyDescent="0.35">
      <c r="A33" t="s">
        <v>185</v>
      </c>
      <c r="B33" s="19"/>
      <c r="C33" s="180">
        <f>(K21*30%)/10*120</f>
        <v>40890.686664497603</v>
      </c>
      <c r="D33" s="41"/>
      <c r="E33" s="19"/>
      <c r="V33" s="88" t="s">
        <v>121</v>
      </c>
      <c r="W33" s="103">
        <f>V5</f>
        <v>1</v>
      </c>
      <c r="Y33" s="85"/>
      <c r="Z33" s="153"/>
    </row>
    <row r="34" spans="1:26" x14ac:dyDescent="0.35">
      <c r="A34" t="s">
        <v>186</v>
      </c>
      <c r="B34" s="148"/>
      <c r="C34" s="181">
        <f>(K21*70%)/10*70</f>
        <v>55656.767960010628</v>
      </c>
      <c r="D34" s="41"/>
      <c r="E34" s="95"/>
      <c r="V34" s="88" t="s">
        <v>127</v>
      </c>
      <c r="W34" s="154">
        <f>V7</f>
        <v>2.5740262408652721</v>
      </c>
    </row>
    <row r="35" spans="1:26" x14ac:dyDescent="0.35">
      <c r="A35" s="19" t="s">
        <v>187</v>
      </c>
      <c r="B35" s="148"/>
      <c r="C35" s="181">
        <f>5000*(F29+W36)</f>
        <v>40000</v>
      </c>
      <c r="D35" s="34"/>
      <c r="E35" s="95"/>
      <c r="V35" t="s">
        <v>168</v>
      </c>
      <c r="W35" s="107">
        <f>SUM(W33:W34)</f>
        <v>3.5740262408652721</v>
      </c>
    </row>
    <row r="36" spans="1:26" x14ac:dyDescent="0.35">
      <c r="A36" s="19" t="s">
        <v>188</v>
      </c>
      <c r="B36" s="148"/>
      <c r="C36" s="181">
        <f>AA21+AA19</f>
        <v>34700</v>
      </c>
      <c r="D36" s="34"/>
      <c r="E36" s="95"/>
      <c r="V36" t="s">
        <v>189</v>
      </c>
      <c r="W36" s="34">
        <f>ROUNDUP(W35,0)</f>
        <v>4</v>
      </c>
      <c r="X36" t="s">
        <v>190</v>
      </c>
    </row>
    <row r="37" spans="1:26" x14ac:dyDescent="0.35">
      <c r="A37" s="19" t="s">
        <v>191</v>
      </c>
      <c r="B37" s="148"/>
      <c r="C37" s="181">
        <f>CEILING(V11/5,1)*1000</f>
        <v>5000</v>
      </c>
      <c r="D37" s="34"/>
      <c r="E37" s="95"/>
      <c r="F37" s="50"/>
      <c r="W37" s="103">
        <v>16</v>
      </c>
      <c r="X37" t="s">
        <v>192</v>
      </c>
    </row>
    <row r="38" spans="1:26" x14ac:dyDescent="0.35">
      <c r="B38" s="148"/>
      <c r="C38" s="150"/>
      <c r="D38" s="34"/>
      <c r="E38" s="95"/>
      <c r="F38" s="50"/>
      <c r="V38" t="s">
        <v>193</v>
      </c>
      <c r="W38" s="103">
        <v>3</v>
      </c>
    </row>
    <row r="39" spans="1:26" x14ac:dyDescent="0.35">
      <c r="E39" s="155"/>
      <c r="V39" s="88" t="s">
        <v>194</v>
      </c>
      <c r="W39" s="156">
        <f>(W36*W37)*W38</f>
        <v>192</v>
      </c>
    </row>
    <row r="40" spans="1:26" x14ac:dyDescent="0.35">
      <c r="A40" s="19"/>
      <c r="B40" s="19"/>
      <c r="C40" s="19"/>
      <c r="D40" s="19"/>
      <c r="E40" s="19"/>
    </row>
    <row r="41" spans="1:26" x14ac:dyDescent="0.35">
      <c r="B41" s="148"/>
      <c r="D41" s="34"/>
      <c r="E41" s="95"/>
    </row>
    <row r="42" spans="1:26" x14ac:dyDescent="0.35">
      <c r="E42" s="95"/>
    </row>
    <row r="43" spans="1:26" x14ac:dyDescent="0.35">
      <c r="A43" s="19"/>
      <c r="B43" s="19"/>
      <c r="C43" s="19"/>
      <c r="D43" s="19"/>
      <c r="E43" s="19"/>
      <c r="F43" s="50"/>
    </row>
    <row r="44" spans="1:26" x14ac:dyDescent="0.35">
      <c r="B44" s="157"/>
      <c r="C44" s="41"/>
      <c r="D44" s="34"/>
      <c r="E44" s="95"/>
    </row>
    <row r="46" spans="1:26" x14ac:dyDescent="0.35">
      <c r="A46" s="41"/>
      <c r="B46" s="158"/>
    </row>
    <row r="47" spans="1:26" x14ac:dyDescent="0.35">
      <c r="A47" s="41"/>
      <c r="B47" s="159"/>
    </row>
    <row r="48" spans="1:26" x14ac:dyDescent="0.35">
      <c r="A48" s="41"/>
      <c r="B48" s="159"/>
    </row>
    <row r="49" spans="1:5" x14ac:dyDescent="0.35">
      <c r="A49" s="41"/>
      <c r="B49" s="159"/>
    </row>
    <row r="50" spans="1:5" x14ac:dyDescent="0.35">
      <c r="A50" s="107"/>
      <c r="B50" s="159"/>
    </row>
    <row r="51" spans="1:5" x14ac:dyDescent="0.35">
      <c r="A51" s="107"/>
      <c r="B51" s="41"/>
      <c r="E51" s="95"/>
    </row>
  </sheetData>
  <sheetProtection sheet="1" objects="1" scenarios="1" formatCells="1" formatColumns="0" formatRows="0" insertColumns="1" insertRows="1" insertHyperlinks="1" deleteColumns="1" deleteRows="1" selectLockedCells="0" selectUnlockedCells="0" sort="0" autoFilter="0" pivotTables="0"/>
  <pageMargins left="0.70866141732283472" right="0.70866141732283472" top="0.74803149606299213" bottom="0.74803149606299213" header="0.31496062992125984" footer="0.31496062992125984"/>
  <pageSetup scale="36"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73BB-9FA0-416C-AD9D-A0D77A2BF02F}">
  <dimension ref="A1:T29"/>
  <sheetViews>
    <sheetView topLeftCell="B2" zoomScale="111" workbookViewId="0">
      <selection activeCell="I8" sqref="I8"/>
    </sheetView>
  </sheetViews>
  <sheetFormatPr baseColWidth="10" defaultRowHeight="14.5" x14ac:dyDescent="0.35"/>
  <cols>
    <col min="2" max="2" width="27.08984375" customWidth="1"/>
    <col min="3" max="3" width="13.6328125" bestFit="1" customWidth="1"/>
    <col min="4" max="4" width="12.453125" bestFit="1" customWidth="1"/>
    <col min="11" max="11" width="20.36328125" customWidth="1"/>
    <col min="13" max="13" width="13" bestFit="1" customWidth="1"/>
  </cols>
  <sheetData>
    <row r="1" spans="1:20" x14ac:dyDescent="0.35">
      <c r="B1" s="184" t="s">
        <v>203</v>
      </c>
      <c r="E1" s="98" t="s">
        <v>204</v>
      </c>
      <c r="G1" t="s">
        <v>205</v>
      </c>
      <c r="K1" s="184" t="s">
        <v>203</v>
      </c>
      <c r="N1" s="98" t="s">
        <v>204</v>
      </c>
      <c r="P1" t="s">
        <v>205</v>
      </c>
    </row>
    <row r="2" spans="1:20" x14ac:dyDescent="0.35">
      <c r="A2" s="185">
        <f>0.05+0.09975</f>
        <v>0.14974999999999999</v>
      </c>
      <c r="B2" s="88" t="s">
        <v>206</v>
      </c>
      <c r="C2" s="485">
        <f>C3*J2</f>
        <v>217650.768125</v>
      </c>
      <c r="D2" s="186">
        <f>CEILING(((C2-0)*Q2)+((C3-D3)*R2)+(0*S2),1000)</f>
        <v>670000</v>
      </c>
      <c r="E2" t="s">
        <v>207</v>
      </c>
      <c r="G2" s="187"/>
      <c r="J2" s="185">
        <f>0.05+0.09975</f>
        <v>0.14974999999999999</v>
      </c>
      <c r="K2" s="88" t="s">
        <v>206</v>
      </c>
      <c r="L2" s="186">
        <f t="shared" ref="L2:M5" si="0">C2</f>
        <v>217650.768125</v>
      </c>
      <c r="M2" s="186">
        <f t="shared" si="0"/>
        <v>670000</v>
      </c>
      <c r="N2" t="s">
        <v>207</v>
      </c>
      <c r="P2" s="188">
        <v>0.11</v>
      </c>
      <c r="Q2" s="189">
        <v>1</v>
      </c>
      <c r="R2" s="189">
        <v>0.75</v>
      </c>
      <c r="S2" s="189">
        <v>0.7</v>
      </c>
      <c r="T2" t="s">
        <v>208</v>
      </c>
    </row>
    <row r="3" spans="1:20" x14ac:dyDescent="0.35">
      <c r="B3" s="88" t="s">
        <v>209</v>
      </c>
      <c r="C3" s="485">
        <f>'S2  - Inventaire départ'!G28</f>
        <v>1453427.5</v>
      </c>
      <c r="D3" s="186">
        <f>'S2  - Inventaire départ'!G30*(1+J2)*P3</f>
        <v>851612.27976562502</v>
      </c>
      <c r="E3" t="s">
        <v>210</v>
      </c>
      <c r="K3" s="88" t="s">
        <v>209</v>
      </c>
      <c r="L3" s="186">
        <f t="shared" si="0"/>
        <v>1453427.5</v>
      </c>
      <c r="M3" s="186">
        <f t="shared" si="0"/>
        <v>851612.27976562502</v>
      </c>
      <c r="N3" t="s">
        <v>210</v>
      </c>
      <c r="P3" s="189">
        <v>0.5</v>
      </c>
    </row>
    <row r="4" spans="1:20" ht="15" thickBot="1" x14ac:dyDescent="0.4">
      <c r="B4" s="88" t="s">
        <v>211</v>
      </c>
      <c r="C4" s="186">
        <f>25000</f>
        <v>25000</v>
      </c>
      <c r="D4" s="186" cm="1">
        <f t="array" ref="D4">SUM(C11+C9:C10)*70%</f>
        <v>59289.999999999993</v>
      </c>
      <c r="E4" t="s">
        <v>212</v>
      </c>
      <c r="K4" s="88" t="s">
        <v>211</v>
      </c>
      <c r="L4" s="186">
        <f t="shared" si="0"/>
        <v>25000</v>
      </c>
      <c r="M4" s="190">
        <f t="shared" si="0"/>
        <v>59289.999999999993</v>
      </c>
      <c r="N4" t="s">
        <v>212</v>
      </c>
      <c r="P4" s="188">
        <v>0.06</v>
      </c>
      <c r="Q4" s="189">
        <v>0.7</v>
      </c>
      <c r="R4" t="s">
        <v>208</v>
      </c>
    </row>
    <row r="5" spans="1:20" ht="15" thickBot="1" x14ac:dyDescent="0.4">
      <c r="B5" s="88" t="s">
        <v>213</v>
      </c>
      <c r="C5" s="186">
        <f>6500</f>
        <v>6500</v>
      </c>
      <c r="D5" s="486">
        <f>18498+133509</f>
        <v>152007</v>
      </c>
      <c r="E5" t="s">
        <v>214</v>
      </c>
      <c r="K5" s="88" t="s">
        <v>213</v>
      </c>
      <c r="L5" s="186">
        <f t="shared" si="0"/>
        <v>6500</v>
      </c>
      <c r="M5" s="209">
        <f t="shared" si="0"/>
        <v>152007</v>
      </c>
      <c r="N5" t="s">
        <v>214</v>
      </c>
      <c r="P5" s="189">
        <v>0.1</v>
      </c>
    </row>
    <row r="6" spans="1:20" x14ac:dyDescent="0.35">
      <c r="B6" s="40" t="s">
        <v>215</v>
      </c>
      <c r="C6" s="186">
        <f>'S3 - IMMO'!B25</f>
        <v>349000</v>
      </c>
      <c r="K6" s="40" t="s">
        <v>174</v>
      </c>
      <c r="L6" s="190">
        <f>'S3 - IMMO'!D24</f>
        <v>1483450.2103237002</v>
      </c>
    </row>
    <row r="7" spans="1:20" x14ac:dyDescent="0.35">
      <c r="B7" s="88" t="s">
        <v>216</v>
      </c>
      <c r="C7" s="186">
        <f>'S3 - IMMO'!C29</f>
        <v>31500</v>
      </c>
      <c r="F7" s="199"/>
      <c r="K7" s="40" t="s">
        <v>161</v>
      </c>
      <c r="L7" s="186">
        <f>'S3 - IMMO'!D25</f>
        <v>261785.33123359416</v>
      </c>
    </row>
    <row r="8" spans="1:20" x14ac:dyDescent="0.35">
      <c r="B8" s="88" t="s">
        <v>217</v>
      </c>
      <c r="C8" s="186">
        <f>SUM('S3 - IMMO'!C30:C34)</f>
        <v>105131.45462450823</v>
      </c>
      <c r="K8" s="88" t="s">
        <v>216</v>
      </c>
      <c r="L8" s="186">
        <f>C7</f>
        <v>31500</v>
      </c>
    </row>
    <row r="9" spans="1:20" x14ac:dyDescent="0.35">
      <c r="B9" s="88" t="s">
        <v>218</v>
      </c>
      <c r="C9" s="186">
        <f>'S3 - IMMO'!C35</f>
        <v>40000</v>
      </c>
      <c r="E9" s="98" t="s">
        <v>219</v>
      </c>
      <c r="K9" s="88" t="s">
        <v>217</v>
      </c>
      <c r="L9" s="186">
        <f>C8</f>
        <v>105131.45462450823</v>
      </c>
    </row>
    <row r="10" spans="1:20" x14ac:dyDescent="0.35">
      <c r="B10" s="88" t="s">
        <v>220</v>
      </c>
      <c r="C10" s="186">
        <f>'S3 - IMMO'!C36</f>
        <v>34700</v>
      </c>
      <c r="D10" s="15">
        <f>450000</f>
        <v>450000</v>
      </c>
      <c r="E10" t="s">
        <v>221</v>
      </c>
      <c r="K10" s="88" t="s">
        <v>218</v>
      </c>
      <c r="L10" s="186">
        <f>C9</f>
        <v>40000</v>
      </c>
      <c r="N10" s="98" t="s">
        <v>219</v>
      </c>
    </row>
    <row r="11" spans="1:20" x14ac:dyDescent="0.35">
      <c r="B11" s="191" t="s">
        <v>222</v>
      </c>
      <c r="C11" s="192">
        <f>'S3 - IMMO'!C37</f>
        <v>5000</v>
      </c>
      <c r="D11" s="193">
        <f>85000</f>
        <v>85000</v>
      </c>
      <c r="E11" s="194" t="s">
        <v>223</v>
      </c>
      <c r="F11" s="194"/>
      <c r="K11" s="88" t="s">
        <v>220</v>
      </c>
      <c r="L11" s="186">
        <f>C10</f>
        <v>34700</v>
      </c>
      <c r="M11" s="195">
        <f>D10</f>
        <v>450000</v>
      </c>
      <c r="N11" t="s">
        <v>221</v>
      </c>
    </row>
    <row r="12" spans="1:20" x14ac:dyDescent="0.35">
      <c r="K12" s="191" t="s">
        <v>222</v>
      </c>
      <c r="L12" s="192">
        <f>C11</f>
        <v>5000</v>
      </c>
      <c r="M12" s="196"/>
      <c r="N12" s="194" t="s">
        <v>223</v>
      </c>
      <c r="O12" s="194"/>
    </row>
    <row r="13" spans="1:20" ht="15" thickBot="1" x14ac:dyDescent="0.4">
      <c r="B13" s="40" t="s">
        <v>224</v>
      </c>
      <c r="C13" s="210">
        <f>SUM(C2:C11)</f>
        <v>2267909.722749508</v>
      </c>
      <c r="D13" s="197">
        <f>SUM(D2:D11)</f>
        <v>2267909.279765625</v>
      </c>
      <c r="E13" s="19" t="s">
        <v>225</v>
      </c>
    </row>
    <row r="14" spans="1:20" ht="15.5" thickTop="1" thickBot="1" x14ac:dyDescent="0.4">
      <c r="K14" s="40" t="s">
        <v>224</v>
      </c>
      <c r="L14" s="197">
        <f>SUM(L2:L12)</f>
        <v>3664145.2643068023</v>
      </c>
      <c r="M14" s="197">
        <f>SUM(M2:M12)</f>
        <v>2182909.279765625</v>
      </c>
      <c r="N14" s="19" t="s">
        <v>225</v>
      </c>
    </row>
    <row r="15" spans="1:20" ht="15" thickTop="1" x14ac:dyDescent="0.35">
      <c r="C15" s="88" t="s">
        <v>226</v>
      </c>
      <c r="D15" s="198">
        <f>C13-D13</f>
        <v>0.44298388296738267</v>
      </c>
    </row>
    <row r="16" spans="1:20" ht="15" thickBot="1" x14ac:dyDescent="0.4">
      <c r="L16" s="88" t="s">
        <v>226</v>
      </c>
      <c r="M16" s="199">
        <f>L14-M14</f>
        <v>1481235.9845411773</v>
      </c>
    </row>
    <row r="17" spans="1:13" ht="15" thickBot="1" x14ac:dyDescent="0.4">
      <c r="A17" s="200" t="s">
        <v>227</v>
      </c>
      <c r="B17" s="201"/>
      <c r="C17" s="201"/>
      <c r="D17" s="201"/>
      <c r="E17" s="201"/>
      <c r="F17" s="202"/>
    </row>
    <row r="18" spans="1:13" x14ac:dyDescent="0.35">
      <c r="A18" s="203" t="s">
        <v>228</v>
      </c>
      <c r="B18" s="92"/>
      <c r="C18" s="92"/>
      <c r="D18" s="92"/>
      <c r="E18" s="92"/>
      <c r="F18" s="204"/>
      <c r="J18" s="200" t="s">
        <v>229</v>
      </c>
      <c r="K18" s="201"/>
      <c r="L18" s="201"/>
      <c r="M18" s="202"/>
    </row>
    <row r="19" spans="1:13" ht="15" thickBot="1" x14ac:dyDescent="0.4">
      <c r="A19" s="205"/>
      <c r="B19" s="206"/>
      <c r="C19" s="206"/>
      <c r="D19" s="206"/>
      <c r="E19" s="206"/>
      <c r="F19" s="207"/>
      <c r="J19" s="205" t="s">
        <v>230</v>
      </c>
      <c r="K19" s="206"/>
      <c r="L19" s="206"/>
      <c r="M19" s="207"/>
    </row>
    <row r="29" spans="1:13" x14ac:dyDescent="0.35">
      <c r="H29" s="98" t="s">
        <v>231</v>
      </c>
    </row>
  </sheetData>
  <sheetProtection sheet="1" objects="1" scenarios="1" formatCells="1" formatColumns="0" formatRows="0" insertColumns="1" insertRows="1" insertHyperlinks="1" deleteColumns="1" deleteRows="1" selectLockedCells="0" selectUnlockedCells="0" sort="0" autoFilter="0" pivotTables="0"/>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28D2-DD5B-4463-ACBD-86D74838D699}">
  <dimension ref="A1"/>
  <sheetViews>
    <sheetView workbookViewId="0"/>
  </sheetViews>
  <sheetFormatPr baseColWidth="10" defaultRowHeight="14.5" x14ac:dyDescent="0.35"/>
  <sheetData/>
  <sheetProtection sheet="1" objects="1" scenarios="1" formatCells="1" formatColumns="0" formatRows="0" insertColumns="1" insertRows="1" insertHyperlinks="1" deleteColumns="1" deleteRows="1" selectLockedCells="0" selectUnlockedCells="0" sort="0" autoFilter="0" pivotTables="0"/>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347E-6254-4F2B-BB38-94E9D157F7BA}">
  <sheetPr>
    <pageSetUpPr fitToPage="1"/>
  </sheetPr>
  <dimension ref="B2:Q19"/>
  <sheetViews>
    <sheetView zoomScaleNormal="100" workbookViewId="0">
      <selection activeCell="J6" sqref="J6"/>
    </sheetView>
  </sheetViews>
  <sheetFormatPr baseColWidth="10" defaultRowHeight="14.5" x14ac:dyDescent="0.35"/>
  <cols>
    <col min="1" max="1" width="3.6328125" customWidth="1"/>
    <col min="2" max="2" width="10.6328125" customWidth="1"/>
    <col min="3" max="3" width="17.36328125" customWidth="1"/>
    <col min="4" max="4" width="15.36328125" customWidth="1"/>
    <col min="5" max="6" width="14.54296875" customWidth="1"/>
    <col min="7" max="7" width="13.90625" customWidth="1"/>
    <col min="8" max="10" width="14" customWidth="1"/>
    <col min="13" max="14" width="14.90625" customWidth="1"/>
  </cols>
  <sheetData>
    <row r="2" spans="2:16" ht="15" thickBot="1" x14ac:dyDescent="0.4"/>
    <row r="3" spans="2:16" ht="15" thickBot="1" x14ac:dyDescent="0.4">
      <c r="C3" s="736" t="s">
        <v>250</v>
      </c>
      <c r="D3" s="737"/>
      <c r="E3" s="737"/>
      <c r="F3" s="737"/>
      <c r="G3" s="737"/>
      <c r="H3" s="737"/>
      <c r="I3" s="737"/>
      <c r="J3" s="738"/>
    </row>
    <row r="4" spans="2:16" ht="54.65" customHeight="1" x14ac:dyDescent="0.35">
      <c r="D4" s="101" t="s">
        <v>251</v>
      </c>
      <c r="G4" s="50"/>
      <c r="H4" s="152" t="s">
        <v>252</v>
      </c>
      <c r="I4" s="245" t="s">
        <v>253</v>
      </c>
      <c r="J4" t="s">
        <v>254</v>
      </c>
      <c r="K4" s="739" t="s">
        <v>255</v>
      </c>
      <c r="L4" s="740"/>
      <c r="M4" s="741"/>
      <c r="N4" s="64"/>
    </row>
    <row r="5" spans="2:16" ht="74" customHeight="1" x14ac:dyDescent="0.35">
      <c r="B5" s="422" t="s">
        <v>24</v>
      </c>
      <c r="C5" s="423" t="s">
        <v>817</v>
      </c>
      <c r="D5" s="423" t="s">
        <v>256</v>
      </c>
      <c r="E5" s="423" t="s">
        <v>257</v>
      </c>
      <c r="F5" s="423" t="s">
        <v>725</v>
      </c>
      <c r="G5" s="423" t="s">
        <v>258</v>
      </c>
      <c r="H5" s="423" t="s">
        <v>259</v>
      </c>
      <c r="I5" s="423" t="s">
        <v>260</v>
      </c>
      <c r="J5" s="424" t="s">
        <v>261</v>
      </c>
      <c r="K5" s="425" t="s">
        <v>24</v>
      </c>
      <c r="L5" s="423" t="s">
        <v>262</v>
      </c>
      <c r="M5" s="426" t="s">
        <v>263</v>
      </c>
      <c r="N5" s="427" t="s">
        <v>726</v>
      </c>
      <c r="O5" s="64" t="s">
        <v>84</v>
      </c>
      <c r="P5" s="64" t="s">
        <v>679</v>
      </c>
    </row>
    <row r="6" spans="2:16" x14ac:dyDescent="0.35">
      <c r="B6" s="248" t="s">
        <v>4</v>
      </c>
      <c r="C6" s="249">
        <f>'S2  - Inventaire départ'!E4</f>
        <v>5250</v>
      </c>
      <c r="D6" s="421">
        <v>5385</v>
      </c>
      <c r="E6" s="249">
        <f>MIN(C6:D6)</f>
        <v>5250</v>
      </c>
      <c r="F6" s="473">
        <f>'Fournisseur 1'!B10</f>
        <v>5300</v>
      </c>
      <c r="G6" s="250"/>
      <c r="H6" s="251">
        <f>(E6*Données!I6)+(G6*50%)*Données!I6</f>
        <v>57067.499999999993</v>
      </c>
      <c r="I6" s="249">
        <f>C6-E6-G6</f>
        <v>0</v>
      </c>
      <c r="J6" s="252">
        <f>I6*Données!H6</f>
        <v>0</v>
      </c>
      <c r="K6" s="253" t="str">
        <f>B6</f>
        <v>P1</v>
      </c>
      <c r="L6" s="34">
        <f>IF(D6&gt;E6,D6-E6,0)</f>
        <v>135</v>
      </c>
      <c r="M6" s="254">
        <f>L6*Données!I6</f>
        <v>1467.4499999999998</v>
      </c>
      <c r="N6" s="148"/>
      <c r="O6" s="87">
        <f>'S3 - IMMO'!J4</f>
        <v>0.18000000000000002</v>
      </c>
      <c r="P6" s="6">
        <f t="shared" ref="P6:P18" si="0">(E6+N6)*O6</f>
        <v>945.00000000000011</v>
      </c>
    </row>
    <row r="7" spans="2:16" x14ac:dyDescent="0.35">
      <c r="B7" s="248" t="s">
        <v>6</v>
      </c>
      <c r="C7" s="249">
        <f>'S2  - Inventaire départ'!E5</f>
        <v>6200</v>
      </c>
      <c r="D7" s="62">
        <v>6270</v>
      </c>
      <c r="E7" s="249">
        <f t="shared" ref="E7:E18" si="1">MIN(C7:D7)</f>
        <v>6200</v>
      </c>
      <c r="F7" s="473">
        <f>'Fournisseur 1'!B11</f>
        <v>6200</v>
      </c>
      <c r="G7" s="250"/>
      <c r="H7" s="251">
        <f>(E7*Données!I7)+(G7*50%)*Données!I7</f>
        <v>134788</v>
      </c>
      <c r="I7" s="249">
        <f t="shared" ref="I7:I18" si="2">C7-E7-G7</f>
        <v>0</v>
      </c>
      <c r="J7" s="252">
        <f>I7*Données!H7</f>
        <v>0</v>
      </c>
      <c r="K7" s="253" t="str">
        <f t="shared" ref="K7:K18" si="3">B7</f>
        <v>P2</v>
      </c>
      <c r="L7" s="34">
        <f t="shared" ref="L7:L18" si="4">IF(D7&gt;E7,D7-E7,0)</f>
        <v>70</v>
      </c>
      <c r="M7" s="254">
        <f>L7*Données!I7</f>
        <v>1521.8</v>
      </c>
      <c r="N7" s="148"/>
      <c r="O7" s="87">
        <f>'S3 - IMMO'!J5</f>
        <v>0.22500000000000001</v>
      </c>
      <c r="P7" s="6">
        <f t="shared" si="0"/>
        <v>1395</v>
      </c>
    </row>
    <row r="8" spans="2:16" x14ac:dyDescent="0.35">
      <c r="B8" s="248" t="s">
        <v>103</v>
      </c>
      <c r="C8" s="249">
        <f>'S2  - Inventaire départ'!E6</f>
        <v>3700</v>
      </c>
      <c r="D8" s="62">
        <v>3477</v>
      </c>
      <c r="E8" s="249">
        <f t="shared" si="1"/>
        <v>3477</v>
      </c>
      <c r="F8" s="473">
        <f>'Fournisseur 1'!B12</f>
        <v>3700</v>
      </c>
      <c r="G8" s="250"/>
      <c r="H8" s="251">
        <f>(E8*Données!I8)+(G8*50%)*Données!I8</f>
        <v>121764.54000000001</v>
      </c>
      <c r="I8" s="249">
        <f t="shared" si="2"/>
        <v>223</v>
      </c>
      <c r="J8" s="252">
        <f>I8*Données!H8</f>
        <v>4460</v>
      </c>
      <c r="K8" s="253" t="str">
        <f t="shared" si="3"/>
        <v>P3</v>
      </c>
      <c r="L8" s="34">
        <f t="shared" si="4"/>
        <v>0</v>
      </c>
      <c r="M8" s="254">
        <f>L8*Données!I8</f>
        <v>0</v>
      </c>
      <c r="N8" s="148"/>
      <c r="O8" s="87">
        <f>'S3 - IMMO'!J6</f>
        <v>0.67500000000000004</v>
      </c>
      <c r="P8" s="6">
        <f t="shared" si="0"/>
        <v>2346.9750000000004</v>
      </c>
    </row>
    <row r="9" spans="2:16" x14ac:dyDescent="0.35">
      <c r="B9" s="248" t="s">
        <v>9</v>
      </c>
      <c r="C9" s="249">
        <f>'S2  - Inventaire départ'!E7</f>
        <v>2900</v>
      </c>
      <c r="D9" s="62">
        <v>2923</v>
      </c>
      <c r="E9" s="249">
        <f t="shared" si="1"/>
        <v>2900</v>
      </c>
      <c r="F9" s="473">
        <f>'Fournisseur 1'!B13</f>
        <v>2900</v>
      </c>
      <c r="G9" s="250"/>
      <c r="H9" s="251">
        <f>(E9*Données!I9)+(G9*50%)*Données!I9</f>
        <v>122554</v>
      </c>
      <c r="I9" s="249">
        <f t="shared" si="2"/>
        <v>0</v>
      </c>
      <c r="J9" s="252">
        <f>I9*Données!H9</f>
        <v>0</v>
      </c>
      <c r="K9" s="253" t="str">
        <f t="shared" si="3"/>
        <v>P4</v>
      </c>
      <c r="L9" s="34">
        <f t="shared" si="4"/>
        <v>23</v>
      </c>
      <c r="M9" s="254">
        <f>L9*Données!I9</f>
        <v>971.9799999999999</v>
      </c>
      <c r="N9" s="148"/>
      <c r="O9" s="87">
        <f>'S3 - IMMO'!J7</f>
        <v>0.5</v>
      </c>
      <c r="P9" s="6">
        <f t="shared" si="0"/>
        <v>1450</v>
      </c>
    </row>
    <row r="10" spans="2:16" x14ac:dyDescent="0.35">
      <c r="B10" s="248" t="s">
        <v>11</v>
      </c>
      <c r="C10" s="249">
        <f>'S2  - Inventaire départ'!E8</f>
        <v>4750</v>
      </c>
      <c r="D10" s="62">
        <v>4754</v>
      </c>
      <c r="E10" s="249">
        <f t="shared" si="1"/>
        <v>4750</v>
      </c>
      <c r="F10" s="473">
        <f>'Fournisseur 1'!B14</f>
        <v>4800</v>
      </c>
      <c r="G10" s="250"/>
      <c r="H10" s="251">
        <f>(E10*Données!I10)+(G10*50%)*Données!I10</f>
        <v>281057.5</v>
      </c>
      <c r="I10" s="249">
        <f t="shared" si="2"/>
        <v>0</v>
      </c>
      <c r="J10" s="252">
        <f>I10*Données!H10</f>
        <v>0</v>
      </c>
      <c r="K10" s="253" t="str">
        <f t="shared" si="3"/>
        <v>P5</v>
      </c>
      <c r="L10" s="34">
        <f t="shared" si="4"/>
        <v>4</v>
      </c>
      <c r="M10" s="254">
        <f>L10*Données!I10</f>
        <v>236.68</v>
      </c>
      <c r="N10" s="148"/>
      <c r="O10" s="87">
        <f>'S3 - IMMO'!J8</f>
        <v>0.75</v>
      </c>
      <c r="P10" s="6">
        <f t="shared" si="0"/>
        <v>3562.5</v>
      </c>
    </row>
    <row r="11" spans="2:16" x14ac:dyDescent="0.35">
      <c r="B11" s="248" t="s">
        <v>104</v>
      </c>
      <c r="C11" s="249">
        <f>'S2  - Inventaire départ'!E9</f>
        <v>1700</v>
      </c>
      <c r="D11" s="62">
        <v>1621</v>
      </c>
      <c r="E11" s="249">
        <f t="shared" si="1"/>
        <v>1621</v>
      </c>
      <c r="F11" s="473">
        <f>'Fournisseur 1'!B15</f>
        <v>1700</v>
      </c>
      <c r="G11" s="250"/>
      <c r="H11" s="251">
        <f>(E11*Données!I11)+(G11*50%)*Données!I11</f>
        <v>103744</v>
      </c>
      <c r="I11" s="249">
        <f t="shared" si="2"/>
        <v>79</v>
      </c>
      <c r="J11" s="252">
        <f>I11*Données!H11</f>
        <v>3318</v>
      </c>
      <c r="K11" s="253" t="str">
        <f t="shared" si="3"/>
        <v>P6</v>
      </c>
      <c r="L11" s="34">
        <f t="shared" si="4"/>
        <v>0</v>
      </c>
      <c r="M11" s="254">
        <f>L11*Données!I11</f>
        <v>0</v>
      </c>
      <c r="N11" s="148"/>
      <c r="O11" s="87">
        <f>'S3 - IMMO'!J9</f>
        <v>0.9</v>
      </c>
      <c r="P11" s="6">
        <f t="shared" si="0"/>
        <v>1458.9</v>
      </c>
    </row>
    <row r="12" spans="2:16" x14ac:dyDescent="0.35">
      <c r="B12" s="248" t="s">
        <v>14</v>
      </c>
      <c r="C12" s="249">
        <f>'S2  - Inventaire départ'!E10</f>
        <v>2500</v>
      </c>
      <c r="D12" s="62">
        <v>2454</v>
      </c>
      <c r="E12" s="249">
        <f t="shared" si="1"/>
        <v>2454</v>
      </c>
      <c r="F12" s="473">
        <f>'Fournisseur 1'!B16</f>
        <v>2500</v>
      </c>
      <c r="G12" s="250"/>
      <c r="H12" s="251">
        <f>(E12*Données!I12)+(G12*50%)*Données!I12</f>
        <v>201497.94</v>
      </c>
      <c r="I12" s="249">
        <f t="shared" si="2"/>
        <v>46</v>
      </c>
      <c r="J12" s="252">
        <f>I12*Données!H12</f>
        <v>2484</v>
      </c>
      <c r="K12" s="253" t="str">
        <f t="shared" si="3"/>
        <v>P7</v>
      </c>
      <c r="L12" s="34">
        <f t="shared" si="4"/>
        <v>0</v>
      </c>
      <c r="M12" s="254">
        <f>L12*Données!I12</f>
        <v>0</v>
      </c>
      <c r="N12" s="148"/>
      <c r="O12" s="87">
        <f>'S3 - IMMO'!J10</f>
        <v>0.875</v>
      </c>
      <c r="P12" s="6">
        <f t="shared" si="0"/>
        <v>2147.25</v>
      </c>
    </row>
    <row r="13" spans="2:16" x14ac:dyDescent="0.35">
      <c r="B13" s="248" t="s">
        <v>16</v>
      </c>
      <c r="C13" s="249">
        <f>'S2  - Inventaire départ'!E11</f>
        <v>7510</v>
      </c>
      <c r="D13" s="62">
        <v>7505</v>
      </c>
      <c r="E13" s="249">
        <f t="shared" si="1"/>
        <v>7505</v>
      </c>
      <c r="F13" s="473">
        <f>'Fournisseur 1'!B17</f>
        <v>7600</v>
      </c>
      <c r="G13" s="250"/>
      <c r="H13" s="251">
        <f>(E13*Données!I13)+(G13*50%)*Données!I13</f>
        <v>643403.65</v>
      </c>
      <c r="I13" s="249">
        <f t="shared" si="2"/>
        <v>5</v>
      </c>
      <c r="J13" s="252">
        <f>I13*Données!H13</f>
        <v>295</v>
      </c>
      <c r="K13" s="253" t="str">
        <f t="shared" si="3"/>
        <v>P8</v>
      </c>
      <c r="L13" s="34">
        <f t="shared" si="4"/>
        <v>0</v>
      </c>
      <c r="M13" s="254">
        <f>L13*Données!I13</f>
        <v>0</v>
      </c>
      <c r="N13" s="148"/>
      <c r="O13" s="87">
        <f>'S3 - IMMO'!J11</f>
        <v>1.8</v>
      </c>
      <c r="P13" s="6">
        <f t="shared" si="0"/>
        <v>13509</v>
      </c>
    </row>
    <row r="14" spans="2:16" x14ac:dyDescent="0.35">
      <c r="B14" s="248" t="s">
        <v>105</v>
      </c>
      <c r="C14" s="249">
        <f>'S2  - Inventaire départ'!E12</f>
        <v>4280</v>
      </c>
      <c r="D14" s="62">
        <v>4276</v>
      </c>
      <c r="E14" s="249">
        <f t="shared" si="1"/>
        <v>4276</v>
      </c>
      <c r="F14" s="473">
        <f>'Fournisseur 1'!B18</f>
        <v>4300</v>
      </c>
      <c r="G14" s="250"/>
      <c r="H14" s="251">
        <f>(E14*Données!I14)+(G14*50%)*Données!I14</f>
        <v>464715.68000000005</v>
      </c>
      <c r="I14" s="249">
        <f t="shared" si="2"/>
        <v>4</v>
      </c>
      <c r="J14" s="252">
        <f>I14*Données!H14</f>
        <v>264</v>
      </c>
      <c r="K14" s="253" t="str">
        <f t="shared" si="3"/>
        <v>P9</v>
      </c>
      <c r="L14" s="34">
        <f t="shared" si="4"/>
        <v>0</v>
      </c>
      <c r="M14" s="254">
        <f>L14*Données!I14</f>
        <v>0</v>
      </c>
      <c r="N14" s="148"/>
      <c r="O14" s="87">
        <f>'S3 - IMMO'!J12</f>
        <v>0.5625</v>
      </c>
      <c r="P14" s="6">
        <f t="shared" si="0"/>
        <v>2405.25</v>
      </c>
    </row>
    <row r="15" spans="2:16" x14ac:dyDescent="0.35">
      <c r="B15" s="248" t="s">
        <v>19</v>
      </c>
      <c r="C15" s="249">
        <f>'S2  - Inventaire départ'!E13</f>
        <v>1130</v>
      </c>
      <c r="D15" s="62">
        <v>1130</v>
      </c>
      <c r="E15" s="249">
        <f t="shared" si="1"/>
        <v>1130</v>
      </c>
      <c r="F15" s="473">
        <f>'Fournisseur 1'!B19</f>
        <v>1200</v>
      </c>
      <c r="G15" s="250"/>
      <c r="H15" s="251">
        <f>(E15*Données!I15)+(G15*50%)*Données!I15</f>
        <v>121441.1</v>
      </c>
      <c r="I15" s="249">
        <f t="shared" si="2"/>
        <v>0</v>
      </c>
      <c r="J15" s="252">
        <f>I15*Données!H15</f>
        <v>0</v>
      </c>
      <c r="K15" s="253" t="str">
        <f t="shared" si="3"/>
        <v>P10</v>
      </c>
      <c r="L15" s="34">
        <f t="shared" si="4"/>
        <v>0</v>
      </c>
      <c r="M15" s="254">
        <f>L15*Données!I15</f>
        <v>0</v>
      </c>
      <c r="N15" s="148"/>
      <c r="O15" s="87">
        <f>'S3 - IMMO'!J13</f>
        <v>0.75</v>
      </c>
      <c r="P15" s="6">
        <f t="shared" si="0"/>
        <v>847.5</v>
      </c>
    </row>
    <row r="16" spans="2:16" x14ac:dyDescent="0.35">
      <c r="B16" s="248" t="s">
        <v>34</v>
      </c>
      <c r="C16" s="249">
        <f>'S2  - Inventaire départ'!E14</f>
        <v>0</v>
      </c>
      <c r="D16" s="62">
        <v>0</v>
      </c>
      <c r="E16" s="249">
        <f t="shared" si="1"/>
        <v>0</v>
      </c>
      <c r="F16" s="473">
        <f>'Fournisseur 1'!B20</f>
        <v>900</v>
      </c>
      <c r="G16" s="249">
        <f>IF(C16&lt;D16,0,C16-D16)</f>
        <v>0</v>
      </c>
      <c r="H16" s="251">
        <f>(E16*Données!I16)+(G16*50%)*Données!I16</f>
        <v>0</v>
      </c>
      <c r="I16" s="249">
        <f t="shared" si="2"/>
        <v>0</v>
      </c>
      <c r="J16" s="252">
        <f>I16*Données!H16</f>
        <v>0</v>
      </c>
      <c r="K16" s="253" t="str">
        <f t="shared" si="3"/>
        <v>P11</v>
      </c>
      <c r="L16" s="34">
        <f t="shared" si="4"/>
        <v>0</v>
      </c>
      <c r="M16" s="254">
        <f>L16*Données!I16</f>
        <v>0</v>
      </c>
      <c r="N16" s="148"/>
      <c r="O16" s="87">
        <f>'S3 - IMMO'!J14</f>
        <v>0.67500000000000004</v>
      </c>
      <c r="P16" s="6">
        <f t="shared" si="0"/>
        <v>0</v>
      </c>
    </row>
    <row r="17" spans="2:17" x14ac:dyDescent="0.35">
      <c r="B17" s="248" t="s">
        <v>66</v>
      </c>
      <c r="C17" s="249">
        <f>'S2  - Inventaire départ'!E15</f>
        <v>0</v>
      </c>
      <c r="D17" s="62">
        <v>0</v>
      </c>
      <c r="E17" s="249">
        <f t="shared" si="1"/>
        <v>0</v>
      </c>
      <c r="F17" s="473">
        <f>'Fournisseur 1'!B21</f>
        <v>2600</v>
      </c>
      <c r="G17" s="249">
        <f t="shared" ref="G17:G18" si="5">IF(C17&lt;D17,0,C17-D17)</f>
        <v>0</v>
      </c>
      <c r="H17" s="251">
        <f>(E17*Données!I17)+(G17*50%)*Données!I17</f>
        <v>0</v>
      </c>
      <c r="I17" s="249">
        <f t="shared" si="2"/>
        <v>0</v>
      </c>
      <c r="J17" s="252">
        <f>I17*Données!H17</f>
        <v>0</v>
      </c>
      <c r="K17" s="253" t="str">
        <f t="shared" si="3"/>
        <v>P12</v>
      </c>
      <c r="L17" s="34">
        <f t="shared" si="4"/>
        <v>0</v>
      </c>
      <c r="M17" s="254">
        <f>L17*Données!I17</f>
        <v>0</v>
      </c>
      <c r="N17" s="148"/>
      <c r="O17" s="87">
        <f>'S3 - IMMO'!J15</f>
        <v>1.75</v>
      </c>
      <c r="P17" s="6">
        <f t="shared" si="0"/>
        <v>0</v>
      </c>
    </row>
    <row r="18" spans="2:17" x14ac:dyDescent="0.35">
      <c r="B18" s="248" t="s">
        <v>67</v>
      </c>
      <c r="C18" s="249">
        <f>'S2  - Inventaire départ'!E16</f>
        <v>0</v>
      </c>
      <c r="D18" s="62">
        <v>0</v>
      </c>
      <c r="E18" s="249">
        <f t="shared" si="1"/>
        <v>0</v>
      </c>
      <c r="F18" s="473">
        <f>'Fournisseur 1'!B22</f>
        <v>1100</v>
      </c>
      <c r="G18" s="249">
        <f t="shared" si="5"/>
        <v>0</v>
      </c>
      <c r="H18" s="251">
        <f>(E18*Données!I18)+(G18*50%)*Données!I18</f>
        <v>0</v>
      </c>
      <c r="I18" s="249">
        <f t="shared" si="2"/>
        <v>0</v>
      </c>
      <c r="J18" s="252">
        <f>I18*Données!H18</f>
        <v>0</v>
      </c>
      <c r="K18" s="253" t="str">
        <f t="shared" si="3"/>
        <v>P13</v>
      </c>
      <c r="L18" s="34">
        <f t="shared" si="4"/>
        <v>0</v>
      </c>
      <c r="M18" s="254">
        <f>L18*Données!I18</f>
        <v>0</v>
      </c>
      <c r="N18" s="148"/>
      <c r="O18" s="87">
        <f>'S3 - IMMO'!J16</f>
        <v>1.25</v>
      </c>
      <c r="P18" s="6">
        <f t="shared" si="0"/>
        <v>0</v>
      </c>
    </row>
    <row r="19" spans="2:17" ht="15" thickBot="1" x14ac:dyDescent="0.4">
      <c r="B19" s="255"/>
      <c r="C19" s="256">
        <f t="shared" ref="C19:I19" si="6">SUM(C6:C18)</f>
        <v>39920</v>
      </c>
      <c r="D19" s="256">
        <f t="shared" si="6"/>
        <v>39795</v>
      </c>
      <c r="E19" s="256">
        <f t="shared" si="6"/>
        <v>39563</v>
      </c>
      <c r="F19" s="256">
        <f t="shared" si="6"/>
        <v>44800</v>
      </c>
      <c r="G19" s="256">
        <f t="shared" si="6"/>
        <v>0</v>
      </c>
      <c r="H19" s="257">
        <f t="shared" si="6"/>
        <v>2252033.91</v>
      </c>
      <c r="I19" s="256">
        <f t="shared" si="6"/>
        <v>357</v>
      </c>
      <c r="J19" s="258">
        <f>SUM(J6:J18)</f>
        <v>10821</v>
      </c>
      <c r="K19" s="255"/>
      <c r="L19" s="256">
        <f>SUM(L6:L18)</f>
        <v>232</v>
      </c>
      <c r="M19" s="259">
        <f>SUM(M6:M18)</f>
        <v>4197.91</v>
      </c>
      <c r="N19" s="155"/>
      <c r="O19" s="87" t="str">
        <f>'S3 - IMMO'!J17</f>
        <v>Volume total (étalage)</v>
      </c>
      <c r="P19" s="6">
        <f>SUM(P6:P18)</f>
        <v>30067.375</v>
      </c>
      <c r="Q19" t="s">
        <v>97</v>
      </c>
    </row>
  </sheetData>
  <sheetProtection sheet="1" objects="1" scenarios="1" formatCells="1" formatColumns="0" formatRows="0" insertColumns="1" insertRows="1" insertHyperlinks="1" deleteColumns="1" deleteRows="1" selectLockedCells="0" selectUnlockedCells="0" sort="0" autoFilter="0" pivotTables="0"/>
  <mergeCells count="2">
    <mergeCell ref="C3:J3"/>
    <mergeCell ref="K4:M4"/>
  </mergeCells>
  <pageMargins left="0.70866141732283472" right="0.70866141732283472" top="0.74803149606299213" bottom="0.74803149606299213" header="0.31496062992125984" footer="0.31496062992125984"/>
  <pageSetup scale="7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89D9-2FD3-44E5-9DFF-1D9C6DAB517F}">
  <sheetPr>
    <tabColor theme="4" tint="0.79998168889431442"/>
    <pageSetUpPr fitToPage="1"/>
  </sheetPr>
  <dimension ref="B1:E30"/>
  <sheetViews>
    <sheetView showGridLines="0" zoomScaleNormal="100" workbookViewId="0">
      <selection activeCell="D18" sqref="D18"/>
    </sheetView>
  </sheetViews>
  <sheetFormatPr baseColWidth="10" defaultColWidth="9.6328125" defaultRowHeight="30" customHeight="1" x14ac:dyDescent="0.35"/>
  <cols>
    <col min="1" max="1" width="6.7265625" style="429" customWidth="1"/>
    <col min="2" max="2" width="16.7265625" style="429" customWidth="1"/>
    <col min="3" max="3" width="43.6328125" style="429" customWidth="1"/>
    <col min="4" max="4" width="28.36328125" style="429" bestFit="1" customWidth="1"/>
    <col min="5" max="5" width="16.7265625" style="429" customWidth="1"/>
    <col min="6" max="6" width="2.81640625" style="429" customWidth="1"/>
    <col min="7" max="7" width="9.6328125" style="429" customWidth="1"/>
    <col min="8" max="16384" width="9.6328125" style="429"/>
  </cols>
  <sheetData>
    <row r="1" spans="2:5" ht="68.25" customHeight="1" x14ac:dyDescent="0.35">
      <c r="B1" s="428"/>
      <c r="C1" s="428" t="s">
        <v>680</v>
      </c>
      <c r="D1" s="750" t="s">
        <v>681</v>
      </c>
      <c r="E1" s="750"/>
    </row>
    <row r="2" spans="2:5" ht="27.9" customHeight="1" x14ac:dyDescent="0.4">
      <c r="B2" s="751" t="s">
        <v>682</v>
      </c>
      <c r="C2" s="751"/>
      <c r="D2" s="430"/>
      <c r="E2" s="430"/>
    </row>
    <row r="3" spans="2:5" ht="16.5" customHeight="1" x14ac:dyDescent="0.35">
      <c r="B3" s="746" t="s">
        <v>683</v>
      </c>
      <c r="C3" s="746"/>
      <c r="D3" s="431" t="s">
        <v>684</v>
      </c>
      <c r="E3" s="429">
        <v>1256</v>
      </c>
    </row>
    <row r="4" spans="2:5" ht="16.5" customHeight="1" x14ac:dyDescent="0.35">
      <c r="B4" s="746" t="s">
        <v>685</v>
      </c>
      <c r="C4" s="746"/>
      <c r="D4" s="431" t="s">
        <v>686</v>
      </c>
      <c r="E4" s="432">
        <v>45704</v>
      </c>
    </row>
    <row r="5" spans="2:5" ht="16.5" customHeight="1" x14ac:dyDescent="0.35">
      <c r="B5" s="747" t="s">
        <v>687</v>
      </c>
      <c r="C5" s="747"/>
      <c r="D5" s="431" t="s">
        <v>688</v>
      </c>
      <c r="E5" s="429" t="s">
        <v>689</v>
      </c>
    </row>
    <row r="6" spans="2:5" ht="16.5" customHeight="1" x14ac:dyDescent="0.35">
      <c r="B6" s="749" t="s">
        <v>690</v>
      </c>
      <c r="C6" s="746"/>
    </row>
    <row r="7" spans="2:5" ht="33" customHeight="1" x14ac:dyDescent="0.35">
      <c r="B7" s="746" t="s">
        <v>691</v>
      </c>
      <c r="C7" s="746"/>
    </row>
    <row r="8" spans="2:5" ht="16.5" customHeight="1" x14ac:dyDescent="0.35">
      <c r="B8" s="746" t="s">
        <v>692</v>
      </c>
      <c r="C8" s="746"/>
    </row>
    <row r="9" spans="2:5" ht="16.5" customHeight="1" x14ac:dyDescent="0.35">
      <c r="B9" s="746" t="s">
        <v>693</v>
      </c>
      <c r="C9" s="746"/>
    </row>
    <row r="10" spans="2:5" ht="16.5" customHeight="1" x14ac:dyDescent="0.35">
      <c r="B10" s="746" t="s">
        <v>685</v>
      </c>
      <c r="C10" s="746"/>
    </row>
    <row r="11" spans="2:5" ht="33" customHeight="1" x14ac:dyDescent="0.35">
      <c r="B11" s="747">
        <v>0</v>
      </c>
      <c r="C11" s="747"/>
    </row>
    <row r="12" spans="2:5" ht="30" customHeight="1" x14ac:dyDescent="0.35">
      <c r="B12" s="433" t="s">
        <v>130</v>
      </c>
      <c r="C12" s="433" t="s">
        <v>694</v>
      </c>
      <c r="D12" s="433" t="s">
        <v>695</v>
      </c>
      <c r="E12" s="433" t="s">
        <v>696</v>
      </c>
    </row>
    <row r="13" spans="2:5" ht="30" customHeight="1" x14ac:dyDescent="0.35">
      <c r="B13" s="434" t="s">
        <v>697</v>
      </c>
      <c r="C13" s="434" t="s">
        <v>698</v>
      </c>
      <c r="D13" s="435" t="s">
        <v>699</v>
      </c>
      <c r="E13" s="436" t="s">
        <v>700</v>
      </c>
    </row>
    <row r="14" spans="2:5" ht="15" customHeight="1" x14ac:dyDescent="0.35"/>
    <row r="15" spans="2:5" ht="30" customHeight="1" x14ac:dyDescent="0.35">
      <c r="B15" s="433" t="s">
        <v>701</v>
      </c>
      <c r="C15" s="433" t="s">
        <v>702</v>
      </c>
      <c r="D15" s="437" t="s">
        <v>703</v>
      </c>
      <c r="E15" s="438" t="s">
        <v>704</v>
      </c>
    </row>
    <row r="16" spans="2:5" ht="30" customHeight="1" x14ac:dyDescent="0.35">
      <c r="B16" s="439">
        <v>32</v>
      </c>
      <c r="C16" s="439" t="s">
        <v>705</v>
      </c>
      <c r="D16" s="440">
        <f>865</f>
        <v>865</v>
      </c>
      <c r="E16" s="441">
        <f>Facture[[#This Row],[Prix unitaire]]*Facture[[#This Row],[Quantité]]</f>
        <v>27680</v>
      </c>
    </row>
    <row r="17" spans="2:5" ht="30" customHeight="1" x14ac:dyDescent="0.35">
      <c r="B17" s="442">
        <v>0.47</v>
      </c>
      <c r="C17" s="443" t="s">
        <v>706</v>
      </c>
      <c r="D17" s="444">
        <v>745</v>
      </c>
      <c r="E17" s="441">
        <f>Facture[[#This Row],[Prix unitaire]]*Facture[[#This Row],[Quantité]]</f>
        <v>350.15</v>
      </c>
    </row>
    <row r="18" spans="2:5" ht="30" customHeight="1" x14ac:dyDescent="0.35">
      <c r="B18" s="439"/>
      <c r="C18" s="439"/>
      <c r="D18" s="445"/>
      <c r="E18" s="441"/>
    </row>
    <row r="19" spans="2:5" ht="30" customHeight="1" x14ac:dyDescent="0.35">
      <c r="B19" s="443"/>
      <c r="C19" s="443"/>
      <c r="D19" s="446"/>
      <c r="E19" s="441"/>
    </row>
    <row r="20" spans="2:5" ht="30" customHeight="1" x14ac:dyDescent="0.35">
      <c r="B20" s="439"/>
      <c r="C20" s="439"/>
      <c r="D20" s="445"/>
      <c r="E20" s="441"/>
    </row>
    <row r="21" spans="2:5" ht="30" customHeight="1" x14ac:dyDescent="0.35">
      <c r="B21" s="443"/>
      <c r="C21" s="443"/>
      <c r="D21" s="446"/>
      <c r="E21" s="441"/>
    </row>
    <row r="22" spans="2:5" ht="30" customHeight="1" x14ac:dyDescent="0.35">
      <c r="B22" s="439"/>
      <c r="C22" s="439"/>
      <c r="D22" s="445"/>
      <c r="E22" s="441"/>
    </row>
    <row r="23" spans="2:5" ht="30" customHeight="1" x14ac:dyDescent="0.35">
      <c r="B23" s="443"/>
      <c r="C23" s="443"/>
      <c r="D23" s="446"/>
      <c r="E23" s="441"/>
    </row>
    <row r="24" spans="2:5" ht="30" customHeight="1" x14ac:dyDescent="0.35">
      <c r="B24" s="439"/>
      <c r="C24" s="439"/>
      <c r="D24" s="445"/>
      <c r="E24" s="441"/>
    </row>
    <row r="25" spans="2:5" ht="30" customHeight="1" x14ac:dyDescent="0.35">
      <c r="B25" s="443"/>
      <c r="C25" s="443"/>
      <c r="D25" s="446"/>
      <c r="E25" s="441"/>
    </row>
    <row r="26" spans="2:5" ht="30" customHeight="1" x14ac:dyDescent="0.35">
      <c r="B26" s="447"/>
      <c r="C26" s="447"/>
      <c r="D26" s="447" t="s">
        <v>707</v>
      </c>
      <c r="E26" s="448">
        <f>SUM(Facture[Total de la ligne])</f>
        <v>28030.15</v>
      </c>
    </row>
    <row r="27" spans="2:5" ht="30" customHeight="1" x14ac:dyDescent="0.35">
      <c r="B27" s="748" t="s">
        <v>308</v>
      </c>
      <c r="C27" s="748"/>
      <c r="D27" s="449">
        <v>0.14974999999999999</v>
      </c>
      <c r="E27" s="450">
        <f>Facture[[#Totals],[Total de la ligne]]*0.14975</f>
        <v>4197.5149625000004</v>
      </c>
    </row>
    <row r="28" spans="2:5" ht="30" customHeight="1" x14ac:dyDescent="0.35">
      <c r="B28" s="742" t="s">
        <v>708</v>
      </c>
      <c r="C28" s="742"/>
      <c r="D28" s="742"/>
      <c r="E28" s="451">
        <f>SUM(E26:E27)</f>
        <v>32227.664962500003</v>
      </c>
    </row>
    <row r="29" spans="2:5" ht="30" customHeight="1" x14ac:dyDescent="0.35">
      <c r="B29" s="743" t="s">
        <v>709</v>
      </c>
      <c r="C29" s="744"/>
      <c r="D29" s="744"/>
      <c r="E29" s="744"/>
    </row>
    <row r="30" spans="2:5" ht="30" customHeight="1" x14ac:dyDescent="0.35">
      <c r="B30" s="745" t="s">
        <v>710</v>
      </c>
      <c r="C30" s="745"/>
      <c r="D30" s="745"/>
      <c r="E30" s="745"/>
    </row>
  </sheetData>
  <sheetProtection sheet="1" objects="1" scenarios="1" formatCells="1" formatColumns="0" formatRows="0" insertColumns="1" insertRows="1" insertHyperlinks="1" deleteColumns="1" deleteRows="1" selectLockedCells="0" selectUnlockedCells="0" sort="0" autoFilter="0" pivotTables="0"/>
  <mergeCells count="15">
    <mergeCell ref="B6:C6"/>
    <mergeCell ref="D1:E1"/>
    <mergeCell ref="B2:C2"/>
    <mergeCell ref="B3:C3"/>
    <mergeCell ref="B4:C4"/>
    <mergeCell ref="B5:C5"/>
    <mergeCell ref="B28:D28"/>
    <mergeCell ref="B29:E29"/>
    <mergeCell ref="B30:E30"/>
    <mergeCell ref="B7:C7"/>
    <mergeCell ref="B8:C8"/>
    <mergeCell ref="B9:C9"/>
    <mergeCell ref="B10:C10"/>
    <mergeCell ref="B11:C11"/>
    <mergeCell ref="B27:C27"/>
  </mergeCells>
  <dataValidations count="38">
    <dataValidation allowBlank="1" showInputMessage="1" showErrorMessage="1" prompt="Le nom de la société est ajouté automatiquement dans cette cellule." sqref="B29:E29" xr:uid="{BC8A3554-B6DE-4F14-8460-814C8F59B5E7}"/>
    <dataValidation allowBlank="1" showInputMessage="1" showErrorMessage="1" prompt="Entrez le slogan de la société dans cette cellule." sqref="C1" xr:uid="{E7040026-9007-4956-885D-BF92734F5B07}"/>
    <dataValidation allowBlank="1" showInputMessage="1" showErrorMessage="1" prompt="Le titre de cette feuille de calcul figure dans cette cellule. Entrez le numéro et la date de la facture, ainsi que l’ID du client dans les cellules D3 à E5." sqref="D1:E1" xr:uid="{5DF10080-C47B-4775-8E06-CCB36E1CF65C}"/>
    <dataValidation allowBlank="1" showInputMessage="1" showErrorMessage="1" prompt="Entrez le nom de l’entreprise émettrice de la facture dans cette cellule." sqref="B2" xr:uid="{C44C9D1E-9F1F-4096-8F26-E1D31A8B858A}"/>
    <dataValidation allowBlank="1" showInputMessage="1" showErrorMessage="1" prompt="Entrez l’adresse postale de la société émettrice de la facture dans cette cellule." sqref="B3:C3" xr:uid="{ABF284C8-3303-4388-80E2-75D90151DF87}"/>
    <dataValidation allowBlank="1" showInputMessage="1" showErrorMessage="1" prompt="Entrez la localité, le code postal et le pays dans cette cellule." sqref="B4:C4" xr:uid="{1233EA85-56CC-4958-BD41-46DD6B910172}"/>
    <dataValidation allowBlank="1" showInputMessage="1" showErrorMessage="1" prompt="Entrez les numéros de téléphone et de télécopie entre les crochets dans cette cellule." sqref="B5:C5" xr:uid="{B3AEFC8E-D49F-40B3-A1DD-6CFA7D993741}"/>
    <dataValidation allowBlank="1" showInputMessage="1" showErrorMessage="1" prompt="Entrez l’adresse e-mail dans cette cellule." sqref="B6:C6" xr:uid="{5A3E4CF4-C82B-4526-9752-B93B766BD6C8}"/>
    <dataValidation allowBlank="1" showInputMessage="1" showErrorMessage="1" prompt="Entrez le numéro de la facture dans la cellule à droite." sqref="D3" xr:uid="{3056D7B4-05F2-47EF-BB2E-1ABAA2652238}"/>
    <dataValidation allowBlank="1" showInputMessage="1" showErrorMessage="1" prompt="Entrez le numéro de la facture dans cette cellule." sqref="E3" xr:uid="{62BA8176-3907-41EA-9671-BB970DADF679}"/>
    <dataValidation allowBlank="1" showInputMessage="1" showErrorMessage="1" prompt="Entrez la date de la facture dans la cellule à droite." sqref="D4" xr:uid="{E2C6C8B2-9B1E-4643-A2AF-E55FE722C079}"/>
    <dataValidation allowBlank="1" showInputMessage="1" showErrorMessage="1" prompt="Entrez la date de la facture dans cette cellule" sqref="E4" xr:uid="{0043CCC9-C0C4-4601-A839-6F477E7A6D33}"/>
    <dataValidation allowBlank="1" showInputMessage="1" showErrorMessage="1" prompt="Entrez la référence client dans la cellule à droite" sqref="D5" xr:uid="{EB8B90B9-CA31-45CA-B116-48DFEFFE9EEB}"/>
    <dataValidation allowBlank="1" showInputMessage="1" showErrorMessage="1" prompt="Entrez l’ID du client dans cette cellule." sqref="E5" xr:uid="{1720F71B-69DA-47FD-9FDA-1D16CA604294}"/>
    <dataValidation allowBlank="1" showInputMessage="1" showErrorMessage="1" prompt="Entrez le nom du client dans cette cellule." sqref="B7:C7" xr:uid="{41EE9E3D-54FE-4831-9AB6-143DEE581B8F}"/>
    <dataValidation allowBlank="1" showInputMessage="1" showErrorMessage="1" prompt="Entrez le nom de l’entreprise dans cette cellule" sqref="B8:C8" xr:uid="{11A7EC93-AB2D-4753-84C5-9C61DD9F1DB3}"/>
    <dataValidation allowBlank="1" showInputMessage="1" showErrorMessage="1" prompt="Entrez l’adresse postale du client dans cette cellule" sqref="B9:C9" xr:uid="{7F6812D5-1CD3-402C-ACE5-5324DB8421A6}"/>
    <dataValidation allowBlank="1" showInputMessage="1" showErrorMessage="1" prompt="Entrez la localité, le code postal et le pays du client dans cette cellule." sqref="B10:C10" xr:uid="{4F37EB35-63C9-415C-8F74-3FCB2D33311E}"/>
    <dataValidation allowBlank="1" showInputMessage="1" showErrorMessage="1" prompt="Entrez le numéro de téléphone du client dans cette cellule." sqref="B11:C11" xr:uid="{46E27FC9-2E37-4D05-8935-4262339DFC28}"/>
    <dataValidation allowBlank="1" showInputMessage="1" showErrorMessage="1" prompt="Entrez la quantité dans cette colonne sous ce titre." sqref="B15" xr:uid="{EEC2BA96-2744-431A-BF2B-64D506D00B61}"/>
    <dataValidation allowBlank="1" showInputMessage="1" showErrorMessage="1" prompt="Entrez la description dans cette colonne sous ce titre." sqref="C15" xr:uid="{D184C05A-C15C-44D9-A481-2A94468BD6BF}"/>
    <dataValidation allowBlank="1" showInputMessage="1" showErrorMessage="1" prompt="Entrez le prix unitaire dans cette colonne sous ce titre." sqref="D15" xr:uid="{492BD3AC-9F6E-4914-B3F6-D196C65AFC77}"/>
    <dataValidation allowBlank="1" showInputMessage="1" showErrorMessage="1" prompt="Le total de la ligne est calculé automatiquement dans cette colonne sous ce titre." sqref="E15" xr:uid="{DC81B9BA-C9B8-4BEC-9437-96F931EBFA69}"/>
    <dataValidation allowBlank="1" showInputMessage="1" showErrorMessage="1" prompt="Entrez le taux de TVA dans cette cellule. Le montant de TVA est calculé automatiquement dans la cellule à droite." sqref="D27" xr:uid="{2DD56281-D8DF-421C-B163-A6180DAB0F73}"/>
    <dataValidation allowBlank="1" showInputMessage="1" showErrorMessage="1" prompt="Le total est calculé automatiquement dans la cellule à droite." sqref="B28:D28" xr:uid="{8EFF9C7D-F12B-4942-8EE8-4228935F7216}"/>
    <dataValidation allowBlank="1" showInputMessage="1" showErrorMessage="1" prompt="Entrez le nom du vendeur dans la cellule ci-dessous." sqref="B12" xr:uid="{86BA7D9C-4650-4375-817C-590785A62B7E}"/>
    <dataValidation allowBlank="1" showInputMessage="1" showErrorMessage="1" prompt="Entrez la description de la tâche dans la cellule ci-dessous." sqref="C12" xr:uid="{4ABB4786-7A40-4252-AAC5-3F4128ED79E8}"/>
    <dataValidation allowBlank="1" showInputMessage="1" showErrorMessage="1" prompt="Entrez les conditions de paiement dans la cellule ci-dessous." sqref="D12" xr:uid="{4EA25198-C6FF-4529-817F-225E2EE8ABEE}"/>
    <dataValidation allowBlank="1" showInputMessage="1" showErrorMessage="1" prompt="Entrez la date d’échéance dans la cellule ci-dessous." sqref="E12" xr:uid="{EF18E7D9-904A-4FFD-8D6C-22F1EBF08B20}"/>
    <dataValidation allowBlank="1" showInputMessage="1" showErrorMessage="1" prompt="Entrez la date d’échéance dans cette cellule." sqref="E13" xr:uid="{986B5DDF-409A-4B98-B808-3D388CE5AAFD}"/>
    <dataValidation allowBlank="1" showInputMessage="1" showErrorMessage="1" prompt="Entrez les conditions de paiement dans cette cellule." sqref="D13" xr:uid="{72FD4A1D-EFF8-4EB5-8686-7733B0807412}"/>
    <dataValidation allowBlank="1" showInputMessage="1" showErrorMessage="1" prompt="Entrez le nom du vendeur dans cette cellule." sqref="B13" xr:uid="{A15D35D7-F3E2-4B98-BD17-3D4AD87300F3}"/>
    <dataValidation allowBlank="1" showInputMessage="1" showErrorMessage="1" prompt="Entrez la description de la tâche dans cette cellule." sqref="C13" xr:uid="{A46D572C-6CD1-4881-A6E5-FD901F62BED9}"/>
    <dataValidation allowBlank="1" showInputMessage="1" showErrorMessage="1" prompt="Créez une facture de service dans cette feuille de calcul en suivant les instructions figurant dans la feuille de calcul Comment utiliser ce modèle. Ajoutez le logo de la société dans la cellule à droite." sqref="A1" xr:uid="{927BA9AD-8F6E-4051-93CF-406E3518F0AF}"/>
    <dataValidation allowBlank="1" showInputMessage="1" showErrorMessage="1" prompt="Le montant de TVA est calculé automatiquement dans cette cellule à l’aide du taux de TVA figurant dans la cellule à gauche." sqref="E27" xr:uid="{119C41B9-F9B5-4E0B-89FB-2EC4CA0B0E0F}"/>
    <dataValidation allowBlank="1" showInputMessage="1" showErrorMessage="1" prompt="Le total est calculé automatiquement dans cette cellule." sqref="E28" xr:uid="{0BABB6D9-F939-48BB-A183-3658D2C829A8}"/>
    <dataValidation allowBlank="1" showInputMessage="1" showErrorMessage="1" prompt="Ajoutez le logo de la société dans cette cellule, son slogan dans la cellule à droite et le nom, l'adresse postale, la ville, le code postal, le pays, le numéro de téléphone, le numéro de télécopie et l'e-mail de la société dans les cellules ci-dessous." sqref="B1" xr:uid="{534805C9-5447-4E28-B894-BC3983DC0CED}"/>
    <dataValidation allowBlank="1" showInputMessage="1" showErrorMessage="1" prompt="Entrez le taux de TVA dans la cellule à droite." sqref="B27:C27" xr:uid="{FDD49FA7-E39B-4A4C-B106-177439E3113B}"/>
  </dataValidations>
  <hyperlinks>
    <hyperlink ref="B6" r:id="rId1" xr:uid="{98124A50-92A8-4AFE-BB81-1E5720243873}"/>
  </hyperlinks>
  <printOptions horizontalCentered="1"/>
  <pageMargins left="0.75" right="0.75" top="0.5" bottom="0.5" header="0.5" footer="0.5"/>
  <pageSetup paperSize="9" scale="77" fitToHeight="0" orientation="portrait" r:id="rId2"/>
  <headerFooter differentFirst="1">
    <oddFooter>Page &amp;P of &amp;N</oddFooter>
  </headerFooter>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096C-3FF9-4003-A833-B27C147837D7}">
  <dimension ref="B1:H28"/>
  <sheetViews>
    <sheetView showGridLines="0" topLeftCell="A11" zoomScaleNormal="100" workbookViewId="0">
      <selection activeCell="D18" sqref="D18"/>
    </sheetView>
  </sheetViews>
  <sheetFormatPr baseColWidth="10" defaultColWidth="10.54296875" defaultRowHeight="20.149999999999999" customHeight="1" x14ac:dyDescent="0.35"/>
  <cols>
    <col min="1" max="1" width="2.1796875" style="452" customWidth="1"/>
    <col min="2" max="2" width="14" style="452" customWidth="1"/>
    <col min="3" max="3" width="17.81640625" style="452" customWidth="1"/>
    <col min="4" max="4" width="26.54296875" style="452" customWidth="1"/>
    <col min="5" max="5" width="15.453125" style="452" customWidth="1"/>
    <col min="6" max="6" width="14" style="452" customWidth="1"/>
    <col min="7" max="7" width="18.81640625" style="452" customWidth="1"/>
    <col min="8" max="8" width="2.1796875" style="452" customWidth="1"/>
    <col min="9" max="16384" width="10.54296875" style="452"/>
  </cols>
  <sheetData>
    <row r="1" spans="2:8" ht="106.25" customHeight="1" x14ac:dyDescent="0.35">
      <c r="H1" s="452" t="s">
        <v>201</v>
      </c>
    </row>
    <row r="2" spans="2:8" s="454" customFormat="1" ht="17.149999999999999" customHeight="1" x14ac:dyDescent="0.4">
      <c r="B2" s="453" t="s">
        <v>711</v>
      </c>
      <c r="C2" s="452" t="s">
        <v>712</v>
      </c>
      <c r="F2" s="455" t="s">
        <v>713</v>
      </c>
      <c r="G2" s="456">
        <v>48826</v>
      </c>
    </row>
    <row r="3" spans="2:8" ht="17.149999999999999" customHeight="1" x14ac:dyDescent="0.35">
      <c r="C3" s="452" t="s">
        <v>714</v>
      </c>
      <c r="F3" s="455" t="s">
        <v>377</v>
      </c>
      <c r="G3" s="457">
        <v>45703</v>
      </c>
    </row>
    <row r="4" spans="2:8" ht="17.149999999999999" customHeight="1" x14ac:dyDescent="0.35">
      <c r="C4" s="452" t="s">
        <v>715</v>
      </c>
    </row>
    <row r="5" spans="2:8" ht="17.149999999999999" customHeight="1" x14ac:dyDescent="0.35">
      <c r="C5" s="452" t="s">
        <v>716</v>
      </c>
    </row>
    <row r="6" spans="2:8" ht="17.149999999999999" customHeight="1" x14ac:dyDescent="0.35">
      <c r="C6" s="452" t="s">
        <v>717</v>
      </c>
    </row>
    <row r="7" spans="2:8" ht="17.149999999999999" customHeight="1" x14ac:dyDescent="0.35"/>
    <row r="9" spans="2:8" ht="30" customHeight="1" x14ac:dyDescent="0.35">
      <c r="B9" s="458" t="s">
        <v>701</v>
      </c>
      <c r="C9" s="458" t="s">
        <v>718</v>
      </c>
      <c r="D9" s="458" t="s">
        <v>702</v>
      </c>
      <c r="E9" s="458" t="s">
        <v>703</v>
      </c>
      <c r="F9" s="458" t="s">
        <v>719</v>
      </c>
      <c r="G9" s="458" t="s">
        <v>704</v>
      </c>
    </row>
    <row r="10" spans="2:8" ht="20.149999999999999" customHeight="1" x14ac:dyDescent="0.35">
      <c r="B10" s="459">
        <v>5300</v>
      </c>
      <c r="C10" s="460">
        <v>1</v>
      </c>
      <c r="D10" s="461" t="s">
        <v>4</v>
      </c>
      <c r="E10" s="462">
        <v>6.75</v>
      </c>
      <c r="F10" s="463"/>
      <c r="G10" s="462">
        <f>Table_SalesReceiptDetails[[#This Row],[Quantité]]*Table_SalesReceiptDetails[[#This Row],[Prix unitaire]]</f>
        <v>35775</v>
      </c>
    </row>
    <row r="11" spans="2:8" ht="20.149999999999999" customHeight="1" x14ac:dyDescent="0.35">
      <c r="B11" s="459">
        <v>6200</v>
      </c>
      <c r="C11" s="460">
        <v>2</v>
      </c>
      <c r="D11" s="461" t="s">
        <v>6</v>
      </c>
      <c r="E11" s="462">
        <v>13.5</v>
      </c>
      <c r="F11" s="463"/>
      <c r="G11" s="462">
        <f>Table_SalesReceiptDetails[[#This Row],[Quantité]]*Table_SalesReceiptDetails[[#This Row],[Prix unitaire]]</f>
        <v>83700</v>
      </c>
    </row>
    <row r="12" spans="2:8" ht="20.149999999999999" customHeight="1" x14ac:dyDescent="0.35">
      <c r="B12" s="459">
        <v>3700</v>
      </c>
      <c r="C12" s="460">
        <v>3</v>
      </c>
      <c r="D12" s="461" t="s">
        <v>103</v>
      </c>
      <c r="E12" s="462">
        <v>20</v>
      </c>
      <c r="F12" s="463"/>
      <c r="G12" s="462">
        <f>Table_SalesReceiptDetails[[#This Row],[Quantité]]*Table_SalesReceiptDetails[[#This Row],[Prix unitaire]]</f>
        <v>74000</v>
      </c>
    </row>
    <row r="13" spans="2:8" ht="20.149999999999999" customHeight="1" x14ac:dyDescent="0.35">
      <c r="B13" s="459">
        <v>2900</v>
      </c>
      <c r="C13" s="460">
        <v>4</v>
      </c>
      <c r="D13" s="461" t="s">
        <v>9</v>
      </c>
      <c r="E13" s="462">
        <v>29</v>
      </c>
      <c r="F13" s="463"/>
      <c r="G13" s="462">
        <f>Table_SalesReceiptDetails[[#This Row],[Quantité]]*Table_SalesReceiptDetails[[#This Row],[Prix unitaire]]</f>
        <v>84100</v>
      </c>
    </row>
    <row r="14" spans="2:8" ht="20.149999999999999" customHeight="1" x14ac:dyDescent="0.35">
      <c r="B14" s="459">
        <v>4800</v>
      </c>
      <c r="C14" s="460">
        <v>5</v>
      </c>
      <c r="D14" s="461" t="s">
        <v>11</v>
      </c>
      <c r="E14" s="462">
        <v>35</v>
      </c>
      <c r="F14" s="463"/>
      <c r="G14" s="462">
        <f>Table_SalesReceiptDetails[[#This Row],[Quantité]]*Table_SalesReceiptDetails[[#This Row],[Prix unitaire]]</f>
        <v>168000</v>
      </c>
    </row>
    <row r="15" spans="2:8" ht="20.149999999999999" customHeight="1" x14ac:dyDescent="0.35">
      <c r="B15" s="459">
        <v>1700</v>
      </c>
      <c r="C15" s="460">
        <v>6</v>
      </c>
      <c r="D15" s="461" t="s">
        <v>104</v>
      </c>
      <c r="E15" s="462">
        <v>42</v>
      </c>
      <c r="F15" s="463"/>
      <c r="G15" s="462">
        <f>Table_SalesReceiptDetails[[#This Row],[Quantité]]*Table_SalesReceiptDetails[[#This Row],[Prix unitaire]]</f>
        <v>71400</v>
      </c>
    </row>
    <row r="16" spans="2:8" ht="20.149999999999999" customHeight="1" x14ac:dyDescent="0.35">
      <c r="B16" s="459">
        <v>2500</v>
      </c>
      <c r="C16" s="460">
        <v>7</v>
      </c>
      <c r="D16" s="461" t="s">
        <v>14</v>
      </c>
      <c r="E16" s="462">
        <v>54</v>
      </c>
      <c r="F16" s="463"/>
      <c r="G16" s="462">
        <f>Table_SalesReceiptDetails[[#This Row],[Quantité]]*Table_SalesReceiptDetails[[#This Row],[Prix unitaire]]</f>
        <v>135000</v>
      </c>
    </row>
    <row r="17" spans="2:7" ht="20.149999999999999" customHeight="1" x14ac:dyDescent="0.35">
      <c r="B17" s="459">
        <v>7600</v>
      </c>
      <c r="C17" s="460">
        <v>8</v>
      </c>
      <c r="D17" s="461" t="s">
        <v>16</v>
      </c>
      <c r="E17" s="462">
        <v>59</v>
      </c>
      <c r="F17" s="463"/>
      <c r="G17" s="462">
        <f>Table_SalesReceiptDetails[[#This Row],[Quantité]]*Table_SalesReceiptDetails[[#This Row],[Prix unitaire]]</f>
        <v>448400</v>
      </c>
    </row>
    <row r="18" spans="2:7" ht="20.149999999999999" customHeight="1" x14ac:dyDescent="0.35">
      <c r="B18" s="459">
        <v>4300</v>
      </c>
      <c r="C18" s="460">
        <v>9</v>
      </c>
      <c r="D18" s="461" t="s">
        <v>105</v>
      </c>
      <c r="E18" s="462">
        <v>66</v>
      </c>
      <c r="F18" s="463"/>
      <c r="G18" s="462">
        <f>Table_SalesReceiptDetails[[#This Row],[Quantité]]*Table_SalesReceiptDetails[[#This Row],[Prix unitaire]]</f>
        <v>283800</v>
      </c>
    </row>
    <row r="19" spans="2:7" ht="20.149999999999999" customHeight="1" x14ac:dyDescent="0.35">
      <c r="B19" s="459">
        <v>1200</v>
      </c>
      <c r="C19" s="460">
        <v>10</v>
      </c>
      <c r="D19" s="461" t="s">
        <v>19</v>
      </c>
      <c r="E19" s="462">
        <v>69</v>
      </c>
      <c r="F19" s="463"/>
      <c r="G19" s="462">
        <f>Table_SalesReceiptDetails[[#This Row],[Quantité]]*Table_SalesReceiptDetails[[#This Row],[Prix unitaire]]</f>
        <v>82800</v>
      </c>
    </row>
    <row r="20" spans="2:7" ht="20.149999999999999" customHeight="1" x14ac:dyDescent="0.35">
      <c r="B20" s="459">
        <v>900</v>
      </c>
      <c r="C20" s="460">
        <v>11</v>
      </c>
      <c r="D20" s="461" t="s">
        <v>34</v>
      </c>
      <c r="E20" s="462">
        <v>22</v>
      </c>
      <c r="F20" s="463"/>
      <c r="G20" s="462">
        <f>Table_SalesReceiptDetails[[#This Row],[Quantité]]*Table_SalesReceiptDetails[[#This Row],[Prix unitaire]]</f>
        <v>19800</v>
      </c>
    </row>
    <row r="21" spans="2:7" ht="20.149999999999999" customHeight="1" x14ac:dyDescent="0.35">
      <c r="B21" s="459">
        <v>2600</v>
      </c>
      <c r="C21" s="460">
        <v>12</v>
      </c>
      <c r="D21" s="461" t="s">
        <v>66</v>
      </c>
      <c r="E21" s="462">
        <v>43</v>
      </c>
      <c r="F21" s="463"/>
      <c r="G21" s="462">
        <f>Table_SalesReceiptDetails[[#This Row],[Quantité]]*Table_SalesReceiptDetails[[#This Row],[Prix unitaire]]</f>
        <v>111800</v>
      </c>
    </row>
    <row r="22" spans="2:7" ht="20.149999999999999" customHeight="1" x14ac:dyDescent="0.35">
      <c r="B22" s="459">
        <v>1100</v>
      </c>
      <c r="C22" s="460">
        <v>13</v>
      </c>
      <c r="D22" s="461" t="s">
        <v>67</v>
      </c>
      <c r="E22" s="462">
        <v>65</v>
      </c>
      <c r="F22" s="463"/>
      <c r="G22" s="462">
        <f>Table_SalesReceiptDetails[[#This Row],[Quantité]]*Table_SalesReceiptDetails[[#This Row],[Prix unitaire]]</f>
        <v>71500</v>
      </c>
    </row>
    <row r="23" spans="2:7" ht="24" customHeight="1" x14ac:dyDescent="0.35">
      <c r="B23" s="460"/>
      <c r="C23" s="460"/>
      <c r="D23" s="461"/>
      <c r="E23" s="461"/>
      <c r="F23" s="461"/>
      <c r="G23" s="464"/>
    </row>
    <row r="24" spans="2:7" ht="24" customHeight="1" x14ac:dyDescent="0.35">
      <c r="F24" s="465"/>
      <c r="G24" s="466">
        <f>SUM(Table_SalesReceiptDetails[Total de la ligne])</f>
        <v>1670075</v>
      </c>
    </row>
    <row r="25" spans="2:7" ht="24" customHeight="1" x14ac:dyDescent="0.3">
      <c r="B25" s="454" t="s">
        <v>720</v>
      </c>
      <c r="F25" s="465" t="s">
        <v>707</v>
      </c>
      <c r="G25" s="467">
        <f>SUM(Table_SalesReceiptDetails[Total de la ligne])</f>
        <v>1670075</v>
      </c>
    </row>
    <row r="26" spans="2:7" ht="24" customHeight="1" x14ac:dyDescent="0.35">
      <c r="B26" s="468" t="s">
        <v>721</v>
      </c>
      <c r="E26" s="465" t="s">
        <v>722</v>
      </c>
      <c r="F26" s="469">
        <v>0.05</v>
      </c>
      <c r="G26" s="467">
        <f>F26*G25</f>
        <v>83503.75</v>
      </c>
    </row>
    <row r="27" spans="2:7" ht="20.149999999999999" customHeight="1" x14ac:dyDescent="0.35">
      <c r="B27" s="452" t="s">
        <v>723</v>
      </c>
      <c r="E27" s="465" t="s">
        <v>724</v>
      </c>
      <c r="F27" s="470">
        <v>9.9750000000000005E-2</v>
      </c>
      <c r="G27" s="467">
        <f>G25*F27</f>
        <v>166589.98125000001</v>
      </c>
    </row>
    <row r="28" spans="2:7" ht="20.149999999999999" customHeight="1" x14ac:dyDescent="0.35">
      <c r="B28" s="471"/>
      <c r="F28" s="465" t="s">
        <v>68</v>
      </c>
      <c r="G28" s="472">
        <f>G25+G26+G27</f>
        <v>1920168.73125</v>
      </c>
    </row>
  </sheetData>
  <sheetProtection sheet="1" objects="1" scenarios="1" formatCells="1" formatColumns="0" formatRows="0" insertColumns="1" insertRows="1" insertHyperlinks="1" deleteColumns="1" deleteRows="1" selectLockedCells="0" selectUnlockedCells="0" sort="0" autoFilter="0" pivotTables="0"/>
  <dataValidations count="19">
    <dataValidation allowBlank="1" showInputMessage="1" showErrorMessage="1" prompt="Le total est calculé automatiquement dans cette cellule" sqref="G28" xr:uid="{35BE1B6F-CC98-4637-A6D9-6030B928AE13}"/>
    <dataValidation allowBlank="1" showInputMessage="1" showErrorMessage="1" prompt="Entrez la TVA dans cette cellule" sqref="G26" xr:uid="{CADAC0DA-6FC4-4E26-B815-58A9D5DB88E7}"/>
    <dataValidation allowBlank="1" showInputMessage="1" showErrorMessage="1" prompt="Entrez le montant de la remise sur la vente ici" sqref="G24" xr:uid="{281024D8-37FC-41CD-9BB4-ED64AD54E02B}"/>
    <dataValidation allowBlank="1" showInputMessage="1" showErrorMessage="1" prompt="Le sous-total est calculé automatiquement dans cette cellule" sqref="G25" xr:uid="{167F8AE0-9140-4FC3-8063-5FAAAEBBCA52}"/>
    <dataValidation allowBlank="1" showInputMessage="1" showErrorMessage="1" prompt="Cette colonne calcule automatiquement chaque coût total par ligne" sqref="G9" xr:uid="{136A2D27-45ED-416A-AAE1-B78E39DF377E}"/>
    <dataValidation allowBlank="1" showInputMessage="1" showErrorMessage="1" prompt="Entrez le pourcentage de remise dans cette colonne" sqref="F9" xr:uid="{DB84AA2C-57B5-4B32-A5C6-3FCCAA6A0270}"/>
    <dataValidation allowBlank="1" showInputMessage="1" showErrorMessage="1" prompt="Entrez le prix unitaire dans cette colonne." sqref="E9" xr:uid="{73E006E7-0588-4E3A-AACC-32B3A523632F}"/>
    <dataValidation allowBlank="1" showInputMessage="1" showErrorMessage="1" prompt="Entrez la description de l’événement dans cette colonne" sqref="D9" xr:uid="{B1F48721-1C5C-4262-9EEA-09A6CA1F46D6}"/>
    <dataValidation allowBlank="1" showInputMessage="1" showErrorMessage="1" prompt="Entrez le numéro de poste dans cette colonne" sqref="C9" xr:uid="{14717982-529D-40F4-B6B6-16BF89E36FD4}"/>
    <dataValidation allowBlank="1" showInputMessage="1" showErrorMessage="1" prompt="Entrez la quantité dans cette colonne." sqref="B9" xr:uid="{E4A9BD35-C2C4-4B62-A6EE-9D2092919B5D}"/>
    <dataValidation allowBlank="1" showInputMessage="1" showErrorMessage="1" prompt="Entrez la date de la facture dans cette cellule" sqref="G3" xr:uid="{E48A4E6A-D021-4F5E-A941-9FA1EE845CF2}"/>
    <dataValidation allowBlank="1" showInputMessage="1" showErrorMessage="1" prompt="Entrez le numéro de la facture dans cette cellule." sqref="G2" xr:uid="{F22670BF-246F-4800-9367-0F679CD12225}"/>
    <dataValidation allowBlank="1" showInputMessage="1" showErrorMessage="1" prompt="Entrez les numéros de contact du client de cette cellule" sqref="C6" xr:uid="{74A1877F-B3F3-455C-8120-1C939765C81C}"/>
    <dataValidation allowBlank="1" showInputMessage="1" showErrorMessage="1" prompt="Entrez l’adresse du client dans cette cellule" sqref="C4:C5" xr:uid="{4FA4A6E5-6AFA-467D-9E4A-EA2AC54F19D2}"/>
    <dataValidation allowBlank="1" showInputMessage="1" showErrorMessage="1" prompt="Entrez le nom de société du client dans cette cellule." sqref="C3" xr:uid="{DC941CFD-6840-4004-A6F0-F2AF05008BA1}"/>
    <dataValidation allowBlank="1" showInputMessage="1" showErrorMessage="1" prompt="Entrez le nom du client dans cette cellule." sqref="C2" xr:uid="{01B5A771-2786-4D32-849F-B56CCAA73CDE}"/>
    <dataValidation allowBlank="1" showInputMessage="1" showErrorMessage="1" prompt="Entrez les informations sur le client dans la section à droite" sqref="B2" xr:uid="{A1D1C590-9B0B-41F4-992F-AFD693B6F3F8}"/>
    <dataValidation allowBlank="1" showInputMessage="1" showErrorMessage="1" promptTitle="Modèle de ticket de caisse" prompt="Pour créer rapidement un ticket de caisse, entrez les informations suivantes :_x000a_- Informations client_x000a_- N° de facture, Date de facture_x000a_- Détails du paiement_x000a_- Détails du ticket de caisse_x000a_- TVA" sqref="A1" xr:uid="{5CC9D5E8-5721-44AC-8989-8B2E6F7F816D}"/>
    <dataValidation allowBlank="1" showInputMessage="1" showErrorMessage="1" prompt="Entrez le nom, le numéro de téléphone et l’adresse e-mail du contact dans cette cellule" sqref="B26" xr:uid="{97BF22BD-130F-46F8-8DD0-84D1E6C32DEE}"/>
  </dataValidations>
  <printOptions horizontalCentered="1"/>
  <pageMargins left="0.25" right="0.25" top="0.75" bottom="0.75" header="0.3" footer="0.3"/>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5167-51FB-46A4-9B59-5D190EEA36FC}">
  <sheetPr>
    <pageSetUpPr fitToPage="1"/>
  </sheetPr>
  <dimension ref="A1:K94"/>
  <sheetViews>
    <sheetView workbookViewId="0">
      <selection activeCell="B6" sqref="B6"/>
    </sheetView>
  </sheetViews>
  <sheetFormatPr baseColWidth="10" defaultRowHeight="14.5" x14ac:dyDescent="0.35"/>
  <cols>
    <col min="1" max="1" width="28" customWidth="1"/>
    <col min="2" max="2" width="14.36328125" customWidth="1"/>
    <col min="3" max="3" width="34.90625" customWidth="1"/>
    <col min="4" max="4" width="19.08984375" customWidth="1"/>
    <col min="5" max="5" width="12.453125" bestFit="1" customWidth="1"/>
    <col min="6" max="6" width="15.54296875" customWidth="1"/>
    <col min="7" max="7" width="14.453125" customWidth="1"/>
    <col min="8" max="8" width="11.6328125" customWidth="1"/>
    <col min="9" max="9" width="15.08984375" customWidth="1"/>
    <col min="10" max="10" width="11.90625" bestFit="1" customWidth="1"/>
    <col min="11" max="11" width="12.6328125" customWidth="1"/>
    <col min="13" max="13" width="19.08984375" customWidth="1"/>
  </cols>
  <sheetData>
    <row r="1" spans="1:9" ht="15" thickBot="1" x14ac:dyDescent="0.4">
      <c r="A1" s="19" t="s">
        <v>264</v>
      </c>
    </row>
    <row r="2" spans="1:9" ht="15" thickBot="1" x14ac:dyDescent="0.4">
      <c r="A2" s="260" t="s">
        <v>265</v>
      </c>
      <c r="H2" s="261" t="s">
        <v>266</v>
      </c>
      <c r="I2" s="262"/>
    </row>
    <row r="3" spans="1:9" x14ac:dyDescent="0.35">
      <c r="A3" s="263" t="s">
        <v>267</v>
      </c>
      <c r="B3" s="264">
        <f>'S5 -Outil - Ventes'!E19</f>
        <v>39563</v>
      </c>
      <c r="C3" s="265" t="s">
        <v>268</v>
      </c>
    </row>
    <row r="4" spans="1:9" x14ac:dyDescent="0.35">
      <c r="A4" s="266" t="s">
        <v>269</v>
      </c>
      <c r="B4" s="267">
        <f>'S5 -Outil - Ventes'!P19</f>
        <v>30067.375</v>
      </c>
      <c r="C4" s="268" t="s">
        <v>86</v>
      </c>
      <c r="D4" s="269"/>
      <c r="H4" s="88" t="s">
        <v>270</v>
      </c>
      <c r="I4" s="270">
        <v>0.14974999999999999</v>
      </c>
    </row>
    <row r="5" spans="1:9" x14ac:dyDescent="0.35">
      <c r="A5" s="271" t="s">
        <v>271</v>
      </c>
      <c r="B5" s="272">
        <f>'S5 -Outil - Ventes'!H19</f>
        <v>2252033.91</v>
      </c>
      <c r="C5" s="273"/>
      <c r="H5" s="88" t="s">
        <v>272</v>
      </c>
      <c r="I5" s="59">
        <v>4</v>
      </c>
    </row>
    <row r="6" spans="1:9" ht="15" thickBot="1" x14ac:dyDescent="0.4">
      <c r="A6" s="274" t="s">
        <v>273</v>
      </c>
      <c r="B6" s="275">
        <f>'S3 - IMMO'!E8</f>
        <v>23269.807220763927</v>
      </c>
      <c r="C6" s="276" t="s">
        <v>86</v>
      </c>
      <c r="H6" s="88" t="s">
        <v>274</v>
      </c>
      <c r="I6" s="59">
        <v>13</v>
      </c>
    </row>
    <row r="7" spans="1:9" x14ac:dyDescent="0.35">
      <c r="H7" s="88" t="s">
        <v>275</v>
      </c>
      <c r="I7" s="59">
        <v>3</v>
      </c>
    </row>
    <row r="8" spans="1:9" ht="15" thickBot="1" x14ac:dyDescent="0.4"/>
    <row r="9" spans="1:9" ht="15" thickBot="1" x14ac:dyDescent="0.4">
      <c r="A9" s="752" t="s">
        <v>276</v>
      </c>
      <c r="B9" s="753"/>
      <c r="C9" s="754"/>
      <c r="D9" s="755" t="s">
        <v>277</v>
      </c>
      <c r="E9" s="756"/>
      <c r="F9" s="756"/>
      <c r="G9" s="756"/>
      <c r="H9" s="756"/>
      <c r="I9" s="757"/>
    </row>
    <row r="10" spans="1:9" x14ac:dyDescent="0.35">
      <c r="A10" s="23"/>
      <c r="B10" s="277"/>
      <c r="C10" s="27"/>
      <c r="D10" s="23"/>
      <c r="E10" s="277"/>
      <c r="F10" s="277"/>
      <c r="G10" s="277"/>
      <c r="H10" s="277"/>
      <c r="I10" s="27"/>
    </row>
    <row r="11" spans="1:9" x14ac:dyDescent="0.35">
      <c r="A11" s="29" t="s">
        <v>278</v>
      </c>
      <c r="B11" s="278">
        <v>0</v>
      </c>
      <c r="C11" s="279"/>
      <c r="D11" s="29"/>
      <c r="I11" s="279"/>
    </row>
    <row r="12" spans="1:9" ht="29" x14ac:dyDescent="0.35">
      <c r="A12" s="29" t="s">
        <v>279</v>
      </c>
      <c r="B12" s="280">
        <f>Facture[[#Totals],[Total de la ligne]]+'Fournisseur 1'!G24</f>
        <v>1698105.15</v>
      </c>
      <c r="C12" s="279"/>
      <c r="D12" s="29"/>
      <c r="E12" s="474" t="s">
        <v>280</v>
      </c>
      <c r="F12" s="7" t="s">
        <v>281</v>
      </c>
      <c r="G12" s="19" t="s">
        <v>282</v>
      </c>
      <c r="H12" s="7" t="s">
        <v>283</v>
      </c>
      <c r="I12" s="475" t="s">
        <v>284</v>
      </c>
    </row>
    <row r="13" spans="1:9" x14ac:dyDescent="0.35">
      <c r="A13" s="29" t="s">
        <v>285</v>
      </c>
      <c r="B13" s="280"/>
      <c r="C13" s="281"/>
      <c r="D13" s="282" t="s">
        <v>121</v>
      </c>
      <c r="F13" s="41"/>
      <c r="G13" s="280">
        <v>1000</v>
      </c>
      <c r="H13" s="103">
        <v>1</v>
      </c>
      <c r="I13" s="283">
        <f>H13*G13*$I$6</f>
        <v>13000</v>
      </c>
    </row>
    <row r="14" spans="1:9" x14ac:dyDescent="0.35">
      <c r="A14" s="29" t="s">
        <v>286</v>
      </c>
      <c r="B14" s="280">
        <f>'S5 -Outil - Ventes'!J19</f>
        <v>10821</v>
      </c>
      <c r="C14" s="279"/>
      <c r="D14" s="282" t="s">
        <v>287</v>
      </c>
      <c r="E14" s="41">
        <v>13000</v>
      </c>
      <c r="F14" s="41" t="s">
        <v>288</v>
      </c>
      <c r="G14" s="284">
        <v>600</v>
      </c>
      <c r="H14" s="285">
        <f>B3/E14</f>
        <v>3.0433076923076925</v>
      </c>
      <c r="I14" s="283">
        <f>H14*G14*$I$6</f>
        <v>23737.800000000003</v>
      </c>
    </row>
    <row r="15" spans="1:9" x14ac:dyDescent="0.35">
      <c r="A15" s="29"/>
      <c r="C15" s="279"/>
      <c r="D15" s="282" t="s">
        <v>289</v>
      </c>
      <c r="E15" s="41">
        <v>35100</v>
      </c>
      <c r="F15" s="41" t="s">
        <v>288</v>
      </c>
      <c r="G15" s="284">
        <v>950</v>
      </c>
      <c r="H15" s="285">
        <f>B3/E15</f>
        <v>1.1271509971509972</v>
      </c>
      <c r="I15" s="283">
        <f>H15*G15*$I$6</f>
        <v>13920.314814814816</v>
      </c>
    </row>
    <row r="16" spans="1:9" x14ac:dyDescent="0.35">
      <c r="A16" s="29"/>
      <c r="C16" s="279"/>
      <c r="D16" s="282" t="s">
        <v>290</v>
      </c>
      <c r="E16" s="41">
        <v>13000</v>
      </c>
      <c r="F16" s="41" t="s">
        <v>288</v>
      </c>
      <c r="G16" s="286">
        <v>2.5000000000000001E-2</v>
      </c>
      <c r="H16" s="287">
        <f>B3/E16</f>
        <v>3.0433076923076925</v>
      </c>
      <c r="I16" s="283">
        <f>G16*B5</f>
        <v>56300.847750000008</v>
      </c>
    </row>
    <row r="17" spans="1:11" x14ac:dyDescent="0.35">
      <c r="A17" s="29"/>
      <c r="C17" s="279"/>
      <c r="D17" s="282" t="s">
        <v>291</v>
      </c>
      <c r="E17" s="41">
        <v>30000</v>
      </c>
      <c r="F17" s="41" t="s">
        <v>97</v>
      </c>
      <c r="G17" s="284">
        <v>620</v>
      </c>
      <c r="H17" s="285">
        <f>B4/E17</f>
        <v>1.0022458333333333</v>
      </c>
      <c r="I17" s="283">
        <f>H17*G17*$I$6</f>
        <v>8078.1014166666655</v>
      </c>
    </row>
    <row r="18" spans="1:11" x14ac:dyDescent="0.35">
      <c r="A18" s="29"/>
      <c r="C18" s="283"/>
      <c r="D18" s="282" t="s">
        <v>292</v>
      </c>
      <c r="E18" s="41">
        <v>12000</v>
      </c>
      <c r="F18" s="41" t="s">
        <v>97</v>
      </c>
      <c r="G18" s="284">
        <v>640</v>
      </c>
      <c r="H18" s="288">
        <f>B6/E18</f>
        <v>1.9391506017303273</v>
      </c>
      <c r="I18" s="289">
        <f>H18*G18*$I$6</f>
        <v>16133.733006396322</v>
      </c>
    </row>
    <row r="19" spans="1:11" x14ac:dyDescent="0.35">
      <c r="A19" s="29"/>
      <c r="C19" s="279"/>
      <c r="D19" s="290" t="s">
        <v>247</v>
      </c>
      <c r="H19" s="291">
        <f>ROUND(SUM(H13:H18),1)</f>
        <v>11.2</v>
      </c>
      <c r="I19" s="292">
        <f>SUM(I13:I18)</f>
        <v>131170.79698787784</v>
      </c>
    </row>
    <row r="20" spans="1:11" x14ac:dyDescent="0.35">
      <c r="A20" s="29"/>
      <c r="C20" s="279"/>
      <c r="D20" s="290" t="s">
        <v>293</v>
      </c>
      <c r="E20" s="293">
        <v>0.26101000000000002</v>
      </c>
      <c r="I20" s="294">
        <f>I19*E20</f>
        <v>34236.889721805994</v>
      </c>
    </row>
    <row r="21" spans="1:11" x14ac:dyDescent="0.35">
      <c r="A21" s="29"/>
      <c r="C21" s="279"/>
      <c r="D21" s="290" t="s">
        <v>294</v>
      </c>
      <c r="E21" s="293">
        <v>0.20316999999999999</v>
      </c>
      <c r="I21" s="294">
        <f>I19*E21</f>
        <v>26649.970824027139</v>
      </c>
    </row>
    <row r="22" spans="1:11" x14ac:dyDescent="0.35">
      <c r="A22" s="29"/>
      <c r="C22" s="279"/>
      <c r="D22" s="290" t="s">
        <v>295</v>
      </c>
      <c r="E22" s="295">
        <v>12</v>
      </c>
      <c r="I22" s="296">
        <f>E22*H19*13</f>
        <v>1747.1999999999998</v>
      </c>
    </row>
    <row r="23" spans="1:11" x14ac:dyDescent="0.35">
      <c r="A23" s="29"/>
      <c r="C23" s="279"/>
      <c r="D23" s="290" t="s">
        <v>296</v>
      </c>
      <c r="E23" s="58">
        <v>0.04</v>
      </c>
      <c r="I23" s="283">
        <f>I19*E23</f>
        <v>5246.8318795151135</v>
      </c>
    </row>
    <row r="24" spans="1:11" x14ac:dyDescent="0.35">
      <c r="A24" s="29"/>
      <c r="C24" s="279"/>
      <c r="D24" s="290" t="s">
        <v>297</v>
      </c>
      <c r="E24" s="58">
        <v>0.04</v>
      </c>
      <c r="I24" s="283">
        <f>E24*I19</f>
        <v>5246.8318795151135</v>
      </c>
    </row>
    <row r="25" spans="1:11" ht="15" thickBot="1" x14ac:dyDescent="0.4">
      <c r="A25" s="255"/>
      <c r="B25" s="145"/>
      <c r="C25" s="147"/>
      <c r="D25" s="255"/>
      <c r="E25" s="145"/>
      <c r="F25" s="145"/>
      <c r="G25" s="145"/>
      <c r="H25" s="145"/>
      <c r="I25" s="147"/>
    </row>
    <row r="27" spans="1:11" ht="15" thickBot="1" x14ac:dyDescent="0.4"/>
    <row r="28" spans="1:11" ht="15" thickBot="1" x14ac:dyDescent="0.4">
      <c r="A28" s="19" t="s">
        <v>298</v>
      </c>
      <c r="C28" s="41"/>
      <c r="D28" s="41"/>
      <c r="F28" s="96" t="s">
        <v>299</v>
      </c>
      <c r="G28" s="39"/>
      <c r="H28" s="37"/>
      <c r="I28" s="39"/>
      <c r="J28" s="39"/>
      <c r="K28" s="97"/>
    </row>
    <row r="29" spans="1:11" x14ac:dyDescent="0.35">
      <c r="A29" t="s">
        <v>300</v>
      </c>
      <c r="B29" s="295">
        <v>250</v>
      </c>
      <c r="C29" s="117"/>
      <c r="D29" s="117"/>
    </row>
    <row r="30" spans="1:11" x14ac:dyDescent="0.35">
      <c r="A30" t="s">
        <v>301</v>
      </c>
      <c r="B30" s="59">
        <v>4</v>
      </c>
      <c r="G30" s="53" t="s">
        <v>302</v>
      </c>
      <c r="H30" s="64" t="s">
        <v>303</v>
      </c>
      <c r="I30" s="64" t="s">
        <v>304</v>
      </c>
    </row>
    <row r="31" spans="1:11" x14ac:dyDescent="0.35">
      <c r="A31" t="s">
        <v>305</v>
      </c>
      <c r="B31" s="297">
        <f>CEILING((H13+H14+H15+H16)/B30,1)</f>
        <v>3</v>
      </c>
      <c r="C31" s="51"/>
      <c r="F31" t="s">
        <v>14</v>
      </c>
      <c r="G31" s="298">
        <f>'S5 -Outil - Ventes'!E12</f>
        <v>2454</v>
      </c>
      <c r="H31" s="299">
        <f>Données!G12</f>
        <v>0.875</v>
      </c>
      <c r="I31" s="298">
        <f>G31*H31</f>
        <v>2147.25</v>
      </c>
    </row>
    <row r="32" spans="1:11" x14ac:dyDescent="0.35">
      <c r="A32" t="s">
        <v>306</v>
      </c>
      <c r="B32" s="117">
        <f>B29*B31</f>
        <v>750</v>
      </c>
      <c r="F32" t="s">
        <v>16</v>
      </c>
      <c r="G32" s="298">
        <f>'S5 -Outil - Ventes'!E13</f>
        <v>7505</v>
      </c>
      <c r="H32" s="299">
        <f>Données!G13</f>
        <v>1.8</v>
      </c>
      <c r="I32" s="298">
        <f t="shared" ref="I32:I33" si="0">G32*H32</f>
        <v>13509</v>
      </c>
    </row>
    <row r="33" spans="1:11" x14ac:dyDescent="0.35">
      <c r="A33" s="300" t="s">
        <v>307</v>
      </c>
      <c r="B33" s="301">
        <f>B32*I7</f>
        <v>2250</v>
      </c>
      <c r="F33" t="s">
        <v>105</v>
      </c>
      <c r="G33" s="298">
        <f>'S5 -Outil - Ventes'!E14</f>
        <v>4276</v>
      </c>
      <c r="H33" s="299">
        <f>Données!G14</f>
        <v>0.5625</v>
      </c>
      <c r="I33" s="298">
        <f t="shared" si="0"/>
        <v>2405.25</v>
      </c>
    </row>
    <row r="34" spans="1:11" x14ac:dyDescent="0.35">
      <c r="A34" s="19" t="s">
        <v>308</v>
      </c>
      <c r="B34" s="153">
        <f>B33*I4</f>
        <v>336.9375</v>
      </c>
      <c r="I34" s="34">
        <f>SUM(I31:I33)</f>
        <v>18061.5</v>
      </c>
      <c r="J34" s="41" t="s">
        <v>97</v>
      </c>
    </row>
    <row r="35" spans="1:11" x14ac:dyDescent="0.35">
      <c r="H35" t="s">
        <v>309</v>
      </c>
      <c r="I35" s="34">
        <f>ROUNDDOWN(I34/G38,0)</f>
        <v>120</v>
      </c>
      <c r="J35" s="41">
        <f>I35*G38</f>
        <v>18000</v>
      </c>
      <c r="K35" s="6"/>
    </row>
    <row r="36" spans="1:11" x14ac:dyDescent="0.35">
      <c r="A36" s="19" t="s">
        <v>310</v>
      </c>
      <c r="B36" s="302"/>
      <c r="C36" s="41"/>
      <c r="D36" s="303"/>
      <c r="H36" s="88" t="s">
        <v>311</v>
      </c>
      <c r="I36" s="80">
        <f>I34-(I35*G38)</f>
        <v>61.5</v>
      </c>
    </row>
    <row r="37" spans="1:11" x14ac:dyDescent="0.35">
      <c r="A37" s="304" t="s">
        <v>68</v>
      </c>
      <c r="B37" s="304"/>
      <c r="C37" s="304"/>
      <c r="D37" s="305">
        <v>18500</v>
      </c>
      <c r="I37" s="41" t="s">
        <v>312</v>
      </c>
    </row>
    <row r="38" spans="1:11" x14ac:dyDescent="0.35">
      <c r="A38" s="19" t="s">
        <v>308</v>
      </c>
      <c r="D38" s="306">
        <f>D37*I4</f>
        <v>2770.375</v>
      </c>
      <c r="F38" t="s">
        <v>313</v>
      </c>
      <c r="G38">
        <v>150</v>
      </c>
      <c r="H38" t="s">
        <v>97</v>
      </c>
      <c r="I38" s="295">
        <v>640</v>
      </c>
      <c r="J38" s="478">
        <f>I35*I38</f>
        <v>76800</v>
      </c>
      <c r="K38" s="479"/>
    </row>
    <row r="39" spans="1:11" x14ac:dyDescent="0.35">
      <c r="G39">
        <v>100</v>
      </c>
      <c r="H39" t="s">
        <v>97</v>
      </c>
      <c r="I39" s="295">
        <v>500</v>
      </c>
      <c r="J39" s="477">
        <f>I39*(I36/G39)</f>
        <v>307.5</v>
      </c>
    </row>
    <row r="40" spans="1:11" x14ac:dyDescent="0.35">
      <c r="F40" s="300" t="s">
        <v>314</v>
      </c>
      <c r="G40" s="300"/>
      <c r="H40" s="300"/>
      <c r="I40" s="300"/>
      <c r="J40" s="301">
        <f>J38+J39</f>
        <v>77107.5</v>
      </c>
    </row>
    <row r="41" spans="1:11" x14ac:dyDescent="0.35">
      <c r="A41" s="19" t="s">
        <v>315</v>
      </c>
      <c r="F41" s="19" t="s">
        <v>308</v>
      </c>
      <c r="G41" s="19"/>
      <c r="H41" s="19"/>
      <c r="I41" s="19"/>
      <c r="J41" s="307">
        <f>J40*I4</f>
        <v>11546.848125</v>
      </c>
    </row>
    <row r="42" spans="1:11" x14ac:dyDescent="0.35">
      <c r="B42" s="308" t="s">
        <v>316</v>
      </c>
      <c r="C42" s="41" t="s">
        <v>317</v>
      </c>
      <c r="D42" s="303" t="s">
        <v>318</v>
      </c>
    </row>
    <row r="43" spans="1:11" x14ac:dyDescent="0.35">
      <c r="A43" t="s">
        <v>319</v>
      </c>
      <c r="B43" s="309">
        <v>8</v>
      </c>
      <c r="C43" s="245" t="s">
        <v>320</v>
      </c>
      <c r="D43" s="310">
        <f>'S3 - IMMO'!E8*'S5 -Outil - Charges'!B43</f>
        <v>186158.45776611142</v>
      </c>
    </row>
    <row r="44" spans="1:11" x14ac:dyDescent="0.35">
      <c r="A44" t="s">
        <v>321</v>
      </c>
      <c r="B44" s="311">
        <v>600</v>
      </c>
      <c r="C44" s="245" t="s">
        <v>322</v>
      </c>
      <c r="D44" s="310">
        <f>('S3 - IMMO'!N5*'S5 -Outil - Charges'!B44)/4</f>
        <v>1050</v>
      </c>
    </row>
    <row r="45" spans="1:11" x14ac:dyDescent="0.35">
      <c r="A45" t="s">
        <v>323</v>
      </c>
      <c r="B45" s="26">
        <v>0.1</v>
      </c>
      <c r="C45" s="41" t="s">
        <v>324</v>
      </c>
      <c r="D45" s="310">
        <f>('S3 - IMMO'!C37*'S5 -Outil - Charges'!B45)/4</f>
        <v>125</v>
      </c>
      <c r="F45" s="19" t="s">
        <v>172</v>
      </c>
      <c r="G45" s="187" t="s">
        <v>325</v>
      </c>
    </row>
    <row r="46" spans="1:11" x14ac:dyDescent="0.35">
      <c r="A46" t="s">
        <v>220</v>
      </c>
      <c r="B46" s="26">
        <v>0.1</v>
      </c>
      <c r="C46" s="130" t="s">
        <v>326</v>
      </c>
      <c r="D46" s="476">
        <f>(('S3 - IMMO'!C36*B46)/4)/H17</f>
        <v>865.55610524696624</v>
      </c>
      <c r="F46" s="19" t="s">
        <v>327</v>
      </c>
      <c r="G46" s="312">
        <f>1.35*B6</f>
        <v>31414.239748031305</v>
      </c>
    </row>
    <row r="47" spans="1:11" x14ac:dyDescent="0.35">
      <c r="A47" t="s">
        <v>328</v>
      </c>
      <c r="B47" s="311">
        <v>0</v>
      </c>
      <c r="C47" s="245" t="s">
        <v>329</v>
      </c>
      <c r="D47" s="310"/>
      <c r="F47" s="300" t="s">
        <v>330</v>
      </c>
      <c r="G47" s="301">
        <f>I7*G46</f>
        <v>94242.719244093911</v>
      </c>
      <c r="H47" s="304"/>
      <c r="I47" s="304"/>
      <c r="J47" s="304"/>
    </row>
    <row r="48" spans="1:11" x14ac:dyDescent="0.35">
      <c r="A48" t="s">
        <v>217</v>
      </c>
      <c r="B48" s="26">
        <v>0.05</v>
      </c>
      <c r="C48" s="41" t="s">
        <v>324</v>
      </c>
      <c r="D48" s="310">
        <f>('S4 - Montage financier'!C8*'S5 -Outil - Charges'!B48)/4</f>
        <v>1314.143182806353</v>
      </c>
      <c r="F48" s="19" t="s">
        <v>308</v>
      </c>
      <c r="G48" s="307">
        <f>G47*I4</f>
        <v>14112.847206803062</v>
      </c>
    </row>
    <row r="49" spans="1:10" x14ac:dyDescent="0.35">
      <c r="A49" t="s">
        <v>331</v>
      </c>
      <c r="B49" s="311">
        <v>500</v>
      </c>
      <c r="C49" s="245" t="s">
        <v>322</v>
      </c>
      <c r="D49" s="313">
        <f>(B49/(H13+H14+H15))/4</f>
        <v>24.175804799455157</v>
      </c>
    </row>
    <row r="50" spans="1:10" x14ac:dyDescent="0.35">
      <c r="A50" s="304" t="s">
        <v>68</v>
      </c>
      <c r="B50" s="304"/>
      <c r="C50" s="304"/>
      <c r="D50" s="314">
        <f>SUM(D43:D49)</f>
        <v>189537.33285896419</v>
      </c>
      <c r="F50" s="19" t="s">
        <v>332</v>
      </c>
    </row>
    <row r="51" spans="1:10" x14ac:dyDescent="0.35">
      <c r="A51" t="s">
        <v>308</v>
      </c>
      <c r="D51" s="306">
        <f>D50*I4</f>
        <v>28383.215595629885</v>
      </c>
    </row>
    <row r="52" spans="1:10" x14ac:dyDescent="0.35">
      <c r="F52" t="s">
        <v>333</v>
      </c>
      <c r="G52" s="51" t="s">
        <v>173</v>
      </c>
    </row>
    <row r="53" spans="1:10" x14ac:dyDescent="0.35">
      <c r="A53" s="19" t="s">
        <v>334</v>
      </c>
      <c r="F53" s="26">
        <v>0.12</v>
      </c>
      <c r="G53" s="311">
        <v>3000</v>
      </c>
    </row>
    <row r="54" spans="1:10" x14ac:dyDescent="0.35">
      <c r="B54" s="103" t="s">
        <v>316</v>
      </c>
      <c r="C54" s="41" t="s">
        <v>317</v>
      </c>
      <c r="D54" s="303" t="s">
        <v>318</v>
      </c>
      <c r="F54" s="480">
        <f>(F53*B5)</f>
        <v>270244.06920000003</v>
      </c>
      <c r="G54" s="315">
        <f>G53*2</f>
        <v>6000</v>
      </c>
    </row>
    <row r="55" spans="1:10" x14ac:dyDescent="0.35">
      <c r="A55" t="s">
        <v>335</v>
      </c>
      <c r="B55" s="316">
        <v>1.4999999999999999E-2</v>
      </c>
      <c r="C55" s="41" t="s">
        <v>336</v>
      </c>
      <c r="D55" s="310">
        <f>('S4 - Montage financier'!C6*'S5 -Outil - Charges'!B55)/4</f>
        <v>1308.75</v>
      </c>
      <c r="F55" s="300" t="s">
        <v>68</v>
      </c>
      <c r="G55" s="301">
        <f>G54+F54</f>
        <v>276244.06920000003</v>
      </c>
      <c r="H55" s="304"/>
      <c r="I55" s="304"/>
      <c r="J55" s="304"/>
    </row>
    <row r="56" spans="1:10" x14ac:dyDescent="0.35">
      <c r="A56" t="s">
        <v>337</v>
      </c>
      <c r="B56" s="26">
        <v>0.03</v>
      </c>
      <c r="C56" s="41" t="s">
        <v>336</v>
      </c>
      <c r="D56" s="310">
        <f>(B56*('S4 - Montage financier'!C7+'S4 - Montage financier'!C9+'S4 - Montage financier'!C10+'S4 - Montage financier'!C11))/4</f>
        <v>834</v>
      </c>
      <c r="F56" s="19" t="s">
        <v>308</v>
      </c>
      <c r="G56" s="307">
        <f>G55*I4</f>
        <v>41367.549362700003</v>
      </c>
    </row>
    <row r="57" spans="1:10" x14ac:dyDescent="0.35">
      <c r="A57" t="s">
        <v>338</v>
      </c>
      <c r="B57" s="316">
        <v>5.0000000000000001E-3</v>
      </c>
      <c r="C57" s="41" t="s">
        <v>336</v>
      </c>
      <c r="D57" s="313">
        <f>(B57*('S3 - IMMO'!C30+'S3 - IMMO'!C31+'S3 - IMMO'!C32+'S3 - IMMO'!C33+'S3 - IMMO'!C34))/4</f>
        <v>131.41431828063529</v>
      </c>
    </row>
    <row r="58" spans="1:10" ht="15" thickBot="1" x14ac:dyDescent="0.4">
      <c r="A58" t="s">
        <v>68</v>
      </c>
      <c r="D58" s="306">
        <f>SUM(D55:D57)</f>
        <v>2274.1643182806351</v>
      </c>
      <c r="E58" s="79"/>
    </row>
    <row r="59" spans="1:10" ht="15" thickBot="1" x14ac:dyDescent="0.4">
      <c r="A59" t="s">
        <v>339</v>
      </c>
      <c r="B59" s="317">
        <v>0.09</v>
      </c>
      <c r="D59" s="314">
        <f>D58*(1+B59)</f>
        <v>2478.8391069258923</v>
      </c>
      <c r="F59" s="19" t="s">
        <v>340</v>
      </c>
    </row>
    <row r="61" spans="1:10" x14ac:dyDescent="0.35">
      <c r="F61" t="s">
        <v>341</v>
      </c>
      <c r="G61" t="s">
        <v>342</v>
      </c>
    </row>
    <row r="62" spans="1:10" x14ac:dyDescent="0.35">
      <c r="A62" s="98" t="s">
        <v>343</v>
      </c>
      <c r="B62" s="269" t="s">
        <v>344</v>
      </c>
      <c r="F62" s="295">
        <v>700</v>
      </c>
      <c r="G62" s="285">
        <f>H13+H14+H15+H16</f>
        <v>8.2137663817663817</v>
      </c>
    </row>
    <row r="63" spans="1:10" x14ac:dyDescent="0.35">
      <c r="D63" s="303" t="s">
        <v>318</v>
      </c>
      <c r="F63" s="300" t="s">
        <v>68</v>
      </c>
      <c r="G63" s="301">
        <f>G62*F62/I5</f>
        <v>1437.4091168091168</v>
      </c>
      <c r="H63" s="304"/>
      <c r="I63" s="304"/>
      <c r="J63" s="304"/>
    </row>
    <row r="64" spans="1:10" x14ac:dyDescent="0.35">
      <c r="A64" t="s">
        <v>345</v>
      </c>
      <c r="B64" s="318">
        <v>2.5000000000000001E-2</v>
      </c>
      <c r="C64" s="51" t="s">
        <v>346</v>
      </c>
      <c r="D64" s="319">
        <f>(('S4 - Montage financier'!L6+'S4 - Montage financier'!L7)*'S5 -Outil - Charges'!B64)/4</f>
        <v>10907.722134733091</v>
      </c>
      <c r="F64" s="19" t="s">
        <v>308</v>
      </c>
      <c r="G64" s="307">
        <f>G63*I4</f>
        <v>215.25201524216521</v>
      </c>
    </row>
    <row r="65" spans="1:10" x14ac:dyDescent="0.35">
      <c r="A65" t="s">
        <v>308</v>
      </c>
      <c r="D65" s="306">
        <f>D64*I4</f>
        <v>1633.4313896762803</v>
      </c>
    </row>
    <row r="67" spans="1:10" x14ac:dyDescent="0.35">
      <c r="A67" s="19"/>
      <c r="F67" s="19" t="s">
        <v>347</v>
      </c>
    </row>
    <row r="68" spans="1:10" ht="15" thickBot="1" x14ac:dyDescent="0.4">
      <c r="A68" s="19" t="s">
        <v>348</v>
      </c>
      <c r="F68" s="295">
        <v>15</v>
      </c>
      <c r="G68" s="59">
        <v>5000</v>
      </c>
      <c r="H68" t="s">
        <v>349</v>
      </c>
    </row>
    <row r="69" spans="1:10" ht="29" x14ac:dyDescent="0.35">
      <c r="A69" s="320" t="s">
        <v>350</v>
      </c>
      <c r="B69" s="246" t="s">
        <v>351</v>
      </c>
      <c r="C69" s="321" t="s">
        <v>70</v>
      </c>
      <c r="D69" s="247" t="s">
        <v>352</v>
      </c>
      <c r="F69" s="41" t="s">
        <v>353</v>
      </c>
      <c r="G69" s="322">
        <f>B3</f>
        <v>39563</v>
      </c>
      <c r="H69" t="s">
        <v>349</v>
      </c>
    </row>
    <row r="70" spans="1:10" x14ac:dyDescent="0.35">
      <c r="A70" s="323" t="s">
        <v>174</v>
      </c>
      <c r="B70" s="103" t="s">
        <v>354</v>
      </c>
      <c r="C70" s="491">
        <f>'S4 - Montage financier'!L6</f>
        <v>1483450.2103237002</v>
      </c>
      <c r="D70" s="324"/>
      <c r="F70" s="304" t="s">
        <v>355</v>
      </c>
      <c r="G70" s="325">
        <f>G69/G68*F68</f>
        <v>118.68900000000001</v>
      </c>
      <c r="H70" s="304"/>
      <c r="I70" s="304"/>
      <c r="J70" s="304"/>
    </row>
    <row r="71" spans="1:10" x14ac:dyDescent="0.35">
      <c r="A71" s="323" t="s">
        <v>161</v>
      </c>
      <c r="B71" s="26">
        <v>0.04</v>
      </c>
      <c r="C71" s="495"/>
      <c r="D71" s="482"/>
    </row>
    <row r="72" spans="1:10" x14ac:dyDescent="0.35">
      <c r="A72" s="326" t="s">
        <v>215</v>
      </c>
      <c r="B72" s="26">
        <v>0.2</v>
      </c>
      <c r="C72" s="492">
        <f>'S4 - Montage financier'!C6</f>
        <v>349000</v>
      </c>
      <c r="D72" s="482">
        <f t="shared" ref="D72:D78" si="1">(C72*B72)/4</f>
        <v>17450</v>
      </c>
    </row>
    <row r="73" spans="1:10" x14ac:dyDescent="0.35">
      <c r="A73" s="323" t="s">
        <v>356</v>
      </c>
      <c r="B73" s="26">
        <v>0.5</v>
      </c>
      <c r="C73" s="493"/>
      <c r="D73" s="482"/>
    </row>
    <row r="74" spans="1:10" x14ac:dyDescent="0.35">
      <c r="A74" s="326" t="s">
        <v>357</v>
      </c>
      <c r="B74" s="26">
        <v>0.2</v>
      </c>
      <c r="C74" s="492">
        <f>'S4 - Montage financier'!C7</f>
        <v>31500</v>
      </c>
      <c r="D74" s="482">
        <f t="shared" si="1"/>
        <v>1575</v>
      </c>
    </row>
    <row r="75" spans="1:10" x14ac:dyDescent="0.35">
      <c r="A75" s="326" t="s">
        <v>222</v>
      </c>
      <c r="B75" s="26">
        <v>0.2</v>
      </c>
      <c r="C75" s="492">
        <f>'S4 - Montage financier'!C11</f>
        <v>5000</v>
      </c>
      <c r="D75" s="482">
        <f t="shared" si="1"/>
        <v>250</v>
      </c>
      <c r="F75" s="19" t="s">
        <v>358</v>
      </c>
    </row>
    <row r="76" spans="1:10" x14ac:dyDescent="0.35">
      <c r="A76" s="326" t="s">
        <v>220</v>
      </c>
      <c r="B76" s="26">
        <v>0.2</v>
      </c>
      <c r="C76" s="492">
        <f>'S4 - Montage financier'!C10</f>
        <v>34700</v>
      </c>
      <c r="D76" s="482">
        <f t="shared" si="1"/>
        <v>1735</v>
      </c>
      <c r="F76" s="293">
        <v>3.5000000000000001E-3</v>
      </c>
      <c r="G76" t="s">
        <v>359</v>
      </c>
      <c r="I76" s="41"/>
    </row>
    <row r="77" spans="1:10" x14ac:dyDescent="0.35">
      <c r="A77" s="326" t="s">
        <v>218</v>
      </c>
      <c r="B77" s="26">
        <v>0.3</v>
      </c>
      <c r="C77" s="492">
        <f>'S4 - Montage financier'!C9</f>
        <v>40000</v>
      </c>
      <c r="D77" s="482">
        <f t="shared" si="1"/>
        <v>3000</v>
      </c>
      <c r="F77" s="304" t="s">
        <v>68</v>
      </c>
      <c r="G77" s="327">
        <f>F76*B5</f>
        <v>7882.1186850000004</v>
      </c>
      <c r="H77" s="304"/>
      <c r="I77" s="304"/>
      <c r="J77" s="304"/>
    </row>
    <row r="78" spans="1:10" ht="15" thickBot="1" x14ac:dyDescent="0.4">
      <c r="A78" s="328" t="s">
        <v>360</v>
      </c>
      <c r="B78" s="329">
        <v>0.2</v>
      </c>
      <c r="C78" s="494">
        <f>'S4 - Montage financier'!C8</f>
        <v>105131.45462450823</v>
      </c>
      <c r="D78" s="482">
        <f t="shared" si="1"/>
        <v>5256.5727312254121</v>
      </c>
      <c r="F78" t="s">
        <v>308</v>
      </c>
      <c r="G78" s="330">
        <f>G77*I4</f>
        <v>1180.34727307875</v>
      </c>
    </row>
    <row r="79" spans="1:10" ht="15" thickBot="1" x14ac:dyDescent="0.4"/>
    <row r="80" spans="1:10" x14ac:dyDescent="0.35">
      <c r="F80" s="331" t="s">
        <v>361</v>
      </c>
      <c r="G80" s="277"/>
      <c r="H80" s="277"/>
      <c r="I80" s="277"/>
      <c r="J80" s="27"/>
    </row>
    <row r="81" spans="3:10" x14ac:dyDescent="0.35">
      <c r="F81" s="29"/>
      <c r="J81" s="279"/>
    </row>
    <row r="82" spans="3:10" x14ac:dyDescent="0.35">
      <c r="F82" s="332" t="s">
        <v>362</v>
      </c>
      <c r="J82" s="279"/>
    </row>
    <row r="83" spans="3:10" x14ac:dyDescent="0.35">
      <c r="F83" s="29" t="s">
        <v>363</v>
      </c>
      <c r="G83" s="295">
        <v>750</v>
      </c>
      <c r="H83" s="51" t="s">
        <v>364</v>
      </c>
      <c r="J83" s="279"/>
    </row>
    <row r="84" spans="3:10" x14ac:dyDescent="0.35">
      <c r="F84" s="29" t="s">
        <v>68</v>
      </c>
      <c r="G84" s="85">
        <f>G83/I5</f>
        <v>187.5</v>
      </c>
      <c r="H84" s="51" t="s">
        <v>365</v>
      </c>
      <c r="J84" s="279"/>
    </row>
    <row r="85" spans="3:10" x14ac:dyDescent="0.35">
      <c r="F85" s="29" t="s">
        <v>366</v>
      </c>
      <c r="G85" s="295">
        <v>155</v>
      </c>
      <c r="H85" s="51" t="s">
        <v>173</v>
      </c>
      <c r="J85" s="279"/>
    </row>
    <row r="86" spans="3:10" x14ac:dyDescent="0.35">
      <c r="F86" s="29" t="s">
        <v>68</v>
      </c>
      <c r="G86" s="85">
        <f>G85*I7</f>
        <v>465</v>
      </c>
      <c r="J86" s="279"/>
    </row>
    <row r="87" spans="3:10" x14ac:dyDescent="0.35">
      <c r="F87" s="333" t="s">
        <v>367</v>
      </c>
      <c r="G87" s="325">
        <f>G86+G84</f>
        <v>652.5</v>
      </c>
      <c r="H87" s="300"/>
      <c r="I87" s="300"/>
      <c r="J87" s="334"/>
    </row>
    <row r="88" spans="3:10" x14ac:dyDescent="0.35">
      <c r="F88" s="335" t="s">
        <v>308</v>
      </c>
      <c r="G88" s="307">
        <f>G87*I4</f>
        <v>97.711874999999992</v>
      </c>
      <c r="J88" s="279"/>
    </row>
    <row r="89" spans="3:10" x14ac:dyDescent="0.35">
      <c r="C89" s="41"/>
      <c r="D89" s="133"/>
      <c r="F89" s="29"/>
      <c r="J89" s="279"/>
    </row>
    <row r="90" spans="3:10" x14ac:dyDescent="0.35">
      <c r="F90" s="335" t="s">
        <v>368</v>
      </c>
      <c r="J90" s="279"/>
    </row>
    <row r="91" spans="3:10" x14ac:dyDescent="0.35">
      <c r="F91" s="29" t="s">
        <v>369</v>
      </c>
      <c r="G91" s="336">
        <v>2.5000000000000001E-2</v>
      </c>
      <c r="J91" s="279"/>
    </row>
    <row r="92" spans="3:10" x14ac:dyDescent="0.35">
      <c r="F92" s="333" t="s">
        <v>370</v>
      </c>
      <c r="G92" s="300"/>
      <c r="H92" s="300"/>
      <c r="I92" s="300"/>
      <c r="J92" s="334"/>
    </row>
    <row r="93" spans="3:10" x14ac:dyDescent="0.35">
      <c r="F93" s="335" t="s">
        <v>308</v>
      </c>
      <c r="G93" s="307">
        <f>G92*I4</f>
        <v>0</v>
      </c>
      <c r="J93" s="279"/>
    </row>
    <row r="94" spans="3:10" ht="15" thickBot="1" x14ac:dyDescent="0.4">
      <c r="F94" s="255"/>
      <c r="G94" s="145"/>
      <c r="H94" s="145"/>
      <c r="I94" s="145"/>
      <c r="J94" s="147"/>
    </row>
  </sheetData>
  <sheetProtection sheet="1" objects="1" scenarios="1" formatCells="1" formatColumns="0" formatRows="0" insertColumns="1" insertRows="1" insertHyperlinks="1" deleteColumns="1" deleteRows="1" selectLockedCells="0" selectUnlockedCells="0" sort="0" autoFilter="0" pivotTables="0"/>
  <mergeCells count="2">
    <mergeCell ref="A9:C9"/>
    <mergeCell ref="D9:I9"/>
  </mergeCells>
  <pageMargins left="0.70866141732283472" right="0.70866141732283472" top="0.74803149606299213" bottom="0.74803149606299213" header="0.31496062992125984" footer="0.31496062992125984"/>
  <pageSetup scale="46" fitToHeight="2"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5D02-270F-4EAA-828D-909729776BF7}">
  <dimension ref="B1:AE364"/>
  <sheetViews>
    <sheetView workbookViewId="0">
      <selection activeCell="G14" sqref="F14:G19"/>
    </sheetView>
  </sheetViews>
  <sheetFormatPr baseColWidth="10" defaultRowHeight="12.5" x14ac:dyDescent="0.25"/>
  <cols>
    <col min="1" max="2" width="10.90625" style="213"/>
    <col min="3" max="3" width="11.453125" style="214" customWidth="1"/>
    <col min="4" max="4" width="15" style="338" bestFit="1" customWidth="1"/>
    <col min="5" max="5" width="12.36328125" style="213" bestFit="1" customWidth="1"/>
    <col min="6" max="7" width="15" style="213" bestFit="1" customWidth="1"/>
    <col min="8" max="10" width="10.90625" style="213"/>
    <col min="11" max="11" width="11.453125" style="214" customWidth="1"/>
    <col min="12" max="12" width="15" style="338" bestFit="1" customWidth="1"/>
    <col min="13" max="13" width="12.36328125" style="213" bestFit="1" customWidth="1"/>
    <col min="14" max="15" width="15" style="213" bestFit="1" customWidth="1"/>
    <col min="16" max="18" width="10.90625" style="213"/>
    <col min="19" max="19" width="11.453125" style="214" customWidth="1"/>
    <col min="20" max="20" width="15" style="338" bestFit="1" customWidth="1"/>
    <col min="21" max="21" width="12.36328125" style="213" bestFit="1" customWidth="1"/>
    <col min="22" max="23" width="15" style="213" bestFit="1" customWidth="1"/>
    <col min="24" max="26" width="10.90625" style="213"/>
    <col min="27" max="27" width="11.453125" style="214" customWidth="1"/>
    <col min="28" max="28" width="15" style="338" bestFit="1" customWidth="1"/>
    <col min="29" max="29" width="12.36328125" style="213" bestFit="1" customWidth="1"/>
    <col min="30" max="31" width="15" style="213" bestFit="1" customWidth="1"/>
    <col min="32" max="258" width="10.90625" style="213"/>
    <col min="259" max="259" width="11.453125" style="213" customWidth="1"/>
    <col min="260" max="260" width="15" style="213" bestFit="1" customWidth="1"/>
    <col min="261" max="261" width="12.36328125" style="213" bestFit="1" customWidth="1"/>
    <col min="262" max="263" width="15" style="213" bestFit="1" customWidth="1"/>
    <col min="264" max="266" width="10.90625" style="213"/>
    <col min="267" max="267" width="11.453125" style="213" customWidth="1"/>
    <col min="268" max="268" width="15" style="213" bestFit="1" customWidth="1"/>
    <col min="269" max="269" width="12.36328125" style="213" bestFit="1" customWidth="1"/>
    <col min="270" max="271" width="15" style="213" bestFit="1" customWidth="1"/>
    <col min="272" max="274" width="10.90625" style="213"/>
    <col min="275" max="275" width="11.453125" style="213" customWidth="1"/>
    <col min="276" max="276" width="15" style="213" bestFit="1" customWidth="1"/>
    <col min="277" max="277" width="12.36328125" style="213" bestFit="1" customWidth="1"/>
    <col min="278" max="279" width="15" style="213" bestFit="1" customWidth="1"/>
    <col min="280" max="282" width="10.90625" style="213"/>
    <col min="283" max="283" width="11.453125" style="213" customWidth="1"/>
    <col min="284" max="284" width="15" style="213" bestFit="1" customWidth="1"/>
    <col min="285" max="285" width="12.36328125" style="213" bestFit="1" customWidth="1"/>
    <col min="286" max="287" width="15" style="213" bestFit="1" customWidth="1"/>
    <col min="288" max="514" width="10.90625" style="213"/>
    <col min="515" max="515" width="11.453125" style="213" customWidth="1"/>
    <col min="516" max="516" width="15" style="213" bestFit="1" customWidth="1"/>
    <col min="517" max="517" width="12.36328125" style="213" bestFit="1" customWidth="1"/>
    <col min="518" max="519" width="15" style="213" bestFit="1" customWidth="1"/>
    <col min="520" max="522" width="10.90625" style="213"/>
    <col min="523" max="523" width="11.453125" style="213" customWidth="1"/>
    <col min="524" max="524" width="15" style="213" bestFit="1" customWidth="1"/>
    <col min="525" max="525" width="12.36328125" style="213" bestFit="1" customWidth="1"/>
    <col min="526" max="527" width="15" style="213" bestFit="1" customWidth="1"/>
    <col min="528" max="530" width="10.90625" style="213"/>
    <col min="531" max="531" width="11.453125" style="213" customWidth="1"/>
    <col min="532" max="532" width="15" style="213" bestFit="1" customWidth="1"/>
    <col min="533" max="533" width="12.36328125" style="213" bestFit="1" customWidth="1"/>
    <col min="534" max="535" width="15" style="213" bestFit="1" customWidth="1"/>
    <col min="536" max="538" width="10.90625" style="213"/>
    <col min="539" max="539" width="11.453125" style="213" customWidth="1"/>
    <col min="540" max="540" width="15" style="213" bestFit="1" customWidth="1"/>
    <col min="541" max="541" width="12.36328125" style="213" bestFit="1" customWidth="1"/>
    <col min="542" max="543" width="15" style="213" bestFit="1" customWidth="1"/>
    <col min="544" max="770" width="10.90625" style="213"/>
    <col min="771" max="771" width="11.453125" style="213" customWidth="1"/>
    <col min="772" max="772" width="15" style="213" bestFit="1" customWidth="1"/>
    <col min="773" max="773" width="12.36328125" style="213" bestFit="1" customWidth="1"/>
    <col min="774" max="775" width="15" style="213" bestFit="1" customWidth="1"/>
    <col min="776" max="778" width="10.90625" style="213"/>
    <col min="779" max="779" width="11.453125" style="213" customWidth="1"/>
    <col min="780" max="780" width="15" style="213" bestFit="1" customWidth="1"/>
    <col min="781" max="781" width="12.36328125" style="213" bestFit="1" customWidth="1"/>
    <col min="782" max="783" width="15" style="213" bestFit="1" customWidth="1"/>
    <col min="784" max="786" width="10.90625" style="213"/>
    <col min="787" max="787" width="11.453125" style="213" customWidth="1"/>
    <col min="788" max="788" width="15" style="213" bestFit="1" customWidth="1"/>
    <col min="789" max="789" width="12.36328125" style="213" bestFit="1" customWidth="1"/>
    <col min="790" max="791" width="15" style="213" bestFit="1" customWidth="1"/>
    <col min="792" max="794" width="10.90625" style="213"/>
    <col min="795" max="795" width="11.453125" style="213" customWidth="1"/>
    <col min="796" max="796" width="15" style="213" bestFit="1" customWidth="1"/>
    <col min="797" max="797" width="12.36328125" style="213" bestFit="1" customWidth="1"/>
    <col min="798" max="799" width="15" style="213" bestFit="1" customWidth="1"/>
    <col min="800" max="1026" width="10.90625" style="213"/>
    <col min="1027" max="1027" width="11.453125" style="213" customWidth="1"/>
    <col min="1028" max="1028" width="15" style="213" bestFit="1" customWidth="1"/>
    <col min="1029" max="1029" width="12.36328125" style="213" bestFit="1" customWidth="1"/>
    <col min="1030" max="1031" width="15" style="213" bestFit="1" customWidth="1"/>
    <col min="1032" max="1034" width="10.90625" style="213"/>
    <col min="1035" max="1035" width="11.453125" style="213" customWidth="1"/>
    <col min="1036" max="1036" width="15" style="213" bestFit="1" customWidth="1"/>
    <col min="1037" max="1037" width="12.36328125" style="213" bestFit="1" customWidth="1"/>
    <col min="1038" max="1039" width="15" style="213" bestFit="1" customWidth="1"/>
    <col min="1040" max="1042" width="10.90625" style="213"/>
    <col min="1043" max="1043" width="11.453125" style="213" customWidth="1"/>
    <col min="1044" max="1044" width="15" style="213" bestFit="1" customWidth="1"/>
    <col min="1045" max="1045" width="12.36328125" style="213" bestFit="1" customWidth="1"/>
    <col min="1046" max="1047" width="15" style="213" bestFit="1" customWidth="1"/>
    <col min="1048" max="1050" width="10.90625" style="213"/>
    <col min="1051" max="1051" width="11.453125" style="213" customWidth="1"/>
    <col min="1052" max="1052" width="15" style="213" bestFit="1" customWidth="1"/>
    <col min="1053" max="1053" width="12.36328125" style="213" bestFit="1" customWidth="1"/>
    <col min="1054" max="1055" width="15" style="213" bestFit="1" customWidth="1"/>
    <col min="1056" max="1282" width="10.90625" style="213"/>
    <col min="1283" max="1283" width="11.453125" style="213" customWidth="1"/>
    <col min="1284" max="1284" width="15" style="213" bestFit="1" customWidth="1"/>
    <col min="1285" max="1285" width="12.36328125" style="213" bestFit="1" customWidth="1"/>
    <col min="1286" max="1287" width="15" style="213" bestFit="1" customWidth="1"/>
    <col min="1288" max="1290" width="10.90625" style="213"/>
    <col min="1291" max="1291" width="11.453125" style="213" customWidth="1"/>
    <col min="1292" max="1292" width="15" style="213" bestFit="1" customWidth="1"/>
    <col min="1293" max="1293" width="12.36328125" style="213" bestFit="1" customWidth="1"/>
    <col min="1294" max="1295" width="15" style="213" bestFit="1" customWidth="1"/>
    <col min="1296" max="1298" width="10.90625" style="213"/>
    <col min="1299" max="1299" width="11.453125" style="213" customWidth="1"/>
    <col min="1300" max="1300" width="15" style="213" bestFit="1" customWidth="1"/>
    <col min="1301" max="1301" width="12.36328125" style="213" bestFit="1" customWidth="1"/>
    <col min="1302" max="1303" width="15" style="213" bestFit="1" customWidth="1"/>
    <col min="1304" max="1306" width="10.90625" style="213"/>
    <col min="1307" max="1307" width="11.453125" style="213" customWidth="1"/>
    <col min="1308" max="1308" width="15" style="213" bestFit="1" customWidth="1"/>
    <col min="1309" max="1309" width="12.36328125" style="213" bestFit="1" customWidth="1"/>
    <col min="1310" max="1311" width="15" style="213" bestFit="1" customWidth="1"/>
    <col min="1312" max="1538" width="10.90625" style="213"/>
    <col min="1539" max="1539" width="11.453125" style="213" customWidth="1"/>
    <col min="1540" max="1540" width="15" style="213" bestFit="1" customWidth="1"/>
    <col min="1541" max="1541" width="12.36328125" style="213" bestFit="1" customWidth="1"/>
    <col min="1542" max="1543" width="15" style="213" bestFit="1" customWidth="1"/>
    <col min="1544" max="1546" width="10.90625" style="213"/>
    <col min="1547" max="1547" width="11.453125" style="213" customWidth="1"/>
    <col min="1548" max="1548" width="15" style="213" bestFit="1" customWidth="1"/>
    <col min="1549" max="1549" width="12.36328125" style="213" bestFit="1" customWidth="1"/>
    <col min="1550" max="1551" width="15" style="213" bestFit="1" customWidth="1"/>
    <col min="1552" max="1554" width="10.90625" style="213"/>
    <col min="1555" max="1555" width="11.453125" style="213" customWidth="1"/>
    <col min="1556" max="1556" width="15" style="213" bestFit="1" customWidth="1"/>
    <col min="1557" max="1557" width="12.36328125" style="213" bestFit="1" customWidth="1"/>
    <col min="1558" max="1559" width="15" style="213" bestFit="1" customWidth="1"/>
    <col min="1560" max="1562" width="10.90625" style="213"/>
    <col min="1563" max="1563" width="11.453125" style="213" customWidth="1"/>
    <col min="1564" max="1564" width="15" style="213" bestFit="1" customWidth="1"/>
    <col min="1565" max="1565" width="12.36328125" style="213" bestFit="1" customWidth="1"/>
    <col min="1566" max="1567" width="15" style="213" bestFit="1" customWidth="1"/>
    <col min="1568" max="1794" width="10.90625" style="213"/>
    <col min="1795" max="1795" width="11.453125" style="213" customWidth="1"/>
    <col min="1796" max="1796" width="15" style="213" bestFit="1" customWidth="1"/>
    <col min="1797" max="1797" width="12.36328125" style="213" bestFit="1" customWidth="1"/>
    <col min="1798" max="1799" width="15" style="213" bestFit="1" customWidth="1"/>
    <col min="1800" max="1802" width="10.90625" style="213"/>
    <col min="1803" max="1803" width="11.453125" style="213" customWidth="1"/>
    <col min="1804" max="1804" width="15" style="213" bestFit="1" customWidth="1"/>
    <col min="1805" max="1805" width="12.36328125" style="213" bestFit="1" customWidth="1"/>
    <col min="1806" max="1807" width="15" style="213" bestFit="1" customWidth="1"/>
    <col min="1808" max="1810" width="10.90625" style="213"/>
    <col min="1811" max="1811" width="11.453125" style="213" customWidth="1"/>
    <col min="1812" max="1812" width="15" style="213" bestFit="1" customWidth="1"/>
    <col min="1813" max="1813" width="12.36328125" style="213" bestFit="1" customWidth="1"/>
    <col min="1814" max="1815" width="15" style="213" bestFit="1" customWidth="1"/>
    <col min="1816" max="1818" width="10.90625" style="213"/>
    <col min="1819" max="1819" width="11.453125" style="213" customWidth="1"/>
    <col min="1820" max="1820" width="15" style="213" bestFit="1" customWidth="1"/>
    <col min="1821" max="1821" width="12.36328125" style="213" bestFit="1" customWidth="1"/>
    <col min="1822" max="1823" width="15" style="213" bestFit="1" customWidth="1"/>
    <col min="1824" max="2050" width="10.90625" style="213"/>
    <col min="2051" max="2051" width="11.453125" style="213" customWidth="1"/>
    <col min="2052" max="2052" width="15" style="213" bestFit="1" customWidth="1"/>
    <col min="2053" max="2053" width="12.36328125" style="213" bestFit="1" customWidth="1"/>
    <col min="2054" max="2055" width="15" style="213" bestFit="1" customWidth="1"/>
    <col min="2056" max="2058" width="10.90625" style="213"/>
    <col min="2059" max="2059" width="11.453125" style="213" customWidth="1"/>
    <col min="2060" max="2060" width="15" style="213" bestFit="1" customWidth="1"/>
    <col min="2061" max="2061" width="12.36328125" style="213" bestFit="1" customWidth="1"/>
    <col min="2062" max="2063" width="15" style="213" bestFit="1" customWidth="1"/>
    <col min="2064" max="2066" width="10.90625" style="213"/>
    <col min="2067" max="2067" width="11.453125" style="213" customWidth="1"/>
    <col min="2068" max="2068" width="15" style="213" bestFit="1" customWidth="1"/>
    <col min="2069" max="2069" width="12.36328125" style="213" bestFit="1" customWidth="1"/>
    <col min="2070" max="2071" width="15" style="213" bestFit="1" customWidth="1"/>
    <col min="2072" max="2074" width="10.90625" style="213"/>
    <col min="2075" max="2075" width="11.453125" style="213" customWidth="1"/>
    <col min="2076" max="2076" width="15" style="213" bestFit="1" customWidth="1"/>
    <col min="2077" max="2077" width="12.36328125" style="213" bestFit="1" customWidth="1"/>
    <col min="2078" max="2079" width="15" style="213" bestFit="1" customWidth="1"/>
    <col min="2080" max="2306" width="10.90625" style="213"/>
    <col min="2307" max="2307" width="11.453125" style="213" customWidth="1"/>
    <col min="2308" max="2308" width="15" style="213" bestFit="1" customWidth="1"/>
    <col min="2309" max="2309" width="12.36328125" style="213" bestFit="1" customWidth="1"/>
    <col min="2310" max="2311" width="15" style="213" bestFit="1" customWidth="1"/>
    <col min="2312" max="2314" width="10.90625" style="213"/>
    <col min="2315" max="2315" width="11.453125" style="213" customWidth="1"/>
    <col min="2316" max="2316" width="15" style="213" bestFit="1" customWidth="1"/>
    <col min="2317" max="2317" width="12.36328125" style="213" bestFit="1" customWidth="1"/>
    <col min="2318" max="2319" width="15" style="213" bestFit="1" customWidth="1"/>
    <col min="2320" max="2322" width="10.90625" style="213"/>
    <col min="2323" max="2323" width="11.453125" style="213" customWidth="1"/>
    <col min="2324" max="2324" width="15" style="213" bestFit="1" customWidth="1"/>
    <col min="2325" max="2325" width="12.36328125" style="213" bestFit="1" customWidth="1"/>
    <col min="2326" max="2327" width="15" style="213" bestFit="1" customWidth="1"/>
    <col min="2328" max="2330" width="10.90625" style="213"/>
    <col min="2331" max="2331" width="11.453125" style="213" customWidth="1"/>
    <col min="2332" max="2332" width="15" style="213" bestFit="1" customWidth="1"/>
    <col min="2333" max="2333" width="12.36328125" style="213" bestFit="1" customWidth="1"/>
    <col min="2334" max="2335" width="15" style="213" bestFit="1" customWidth="1"/>
    <col min="2336" max="2562" width="10.90625" style="213"/>
    <col min="2563" max="2563" width="11.453125" style="213" customWidth="1"/>
    <col min="2564" max="2564" width="15" style="213" bestFit="1" customWidth="1"/>
    <col min="2565" max="2565" width="12.36328125" style="213" bestFit="1" customWidth="1"/>
    <col min="2566" max="2567" width="15" style="213" bestFit="1" customWidth="1"/>
    <col min="2568" max="2570" width="10.90625" style="213"/>
    <col min="2571" max="2571" width="11.453125" style="213" customWidth="1"/>
    <col min="2572" max="2572" width="15" style="213" bestFit="1" customWidth="1"/>
    <col min="2573" max="2573" width="12.36328125" style="213" bestFit="1" customWidth="1"/>
    <col min="2574" max="2575" width="15" style="213" bestFit="1" customWidth="1"/>
    <col min="2576" max="2578" width="10.90625" style="213"/>
    <col min="2579" max="2579" width="11.453125" style="213" customWidth="1"/>
    <col min="2580" max="2580" width="15" style="213" bestFit="1" customWidth="1"/>
    <col min="2581" max="2581" width="12.36328125" style="213" bestFit="1" customWidth="1"/>
    <col min="2582" max="2583" width="15" style="213" bestFit="1" customWidth="1"/>
    <col min="2584" max="2586" width="10.90625" style="213"/>
    <col min="2587" max="2587" width="11.453125" style="213" customWidth="1"/>
    <col min="2588" max="2588" width="15" style="213" bestFit="1" customWidth="1"/>
    <col min="2589" max="2589" width="12.36328125" style="213" bestFit="1" customWidth="1"/>
    <col min="2590" max="2591" width="15" style="213" bestFit="1" customWidth="1"/>
    <col min="2592" max="2818" width="10.90625" style="213"/>
    <col min="2819" max="2819" width="11.453125" style="213" customWidth="1"/>
    <col min="2820" max="2820" width="15" style="213" bestFit="1" customWidth="1"/>
    <col min="2821" max="2821" width="12.36328125" style="213" bestFit="1" customWidth="1"/>
    <col min="2822" max="2823" width="15" style="213" bestFit="1" customWidth="1"/>
    <col min="2824" max="2826" width="10.90625" style="213"/>
    <col min="2827" max="2827" width="11.453125" style="213" customWidth="1"/>
    <col min="2828" max="2828" width="15" style="213" bestFit="1" customWidth="1"/>
    <col min="2829" max="2829" width="12.36328125" style="213" bestFit="1" customWidth="1"/>
    <col min="2830" max="2831" width="15" style="213" bestFit="1" customWidth="1"/>
    <col min="2832" max="2834" width="10.90625" style="213"/>
    <col min="2835" max="2835" width="11.453125" style="213" customWidth="1"/>
    <col min="2836" max="2836" width="15" style="213" bestFit="1" customWidth="1"/>
    <col min="2837" max="2837" width="12.36328125" style="213" bestFit="1" customWidth="1"/>
    <col min="2838" max="2839" width="15" style="213" bestFit="1" customWidth="1"/>
    <col min="2840" max="2842" width="10.90625" style="213"/>
    <col min="2843" max="2843" width="11.453125" style="213" customWidth="1"/>
    <col min="2844" max="2844" width="15" style="213" bestFit="1" customWidth="1"/>
    <col min="2845" max="2845" width="12.36328125" style="213" bestFit="1" customWidth="1"/>
    <col min="2846" max="2847" width="15" style="213" bestFit="1" customWidth="1"/>
    <col min="2848" max="3074" width="10.90625" style="213"/>
    <col min="3075" max="3075" width="11.453125" style="213" customWidth="1"/>
    <col min="3076" max="3076" width="15" style="213" bestFit="1" customWidth="1"/>
    <col min="3077" max="3077" width="12.36328125" style="213" bestFit="1" customWidth="1"/>
    <col min="3078" max="3079" width="15" style="213" bestFit="1" customWidth="1"/>
    <col min="3080" max="3082" width="10.90625" style="213"/>
    <col min="3083" max="3083" width="11.453125" style="213" customWidth="1"/>
    <col min="3084" max="3084" width="15" style="213" bestFit="1" customWidth="1"/>
    <col min="3085" max="3085" width="12.36328125" style="213" bestFit="1" customWidth="1"/>
    <col min="3086" max="3087" width="15" style="213" bestFit="1" customWidth="1"/>
    <col min="3088" max="3090" width="10.90625" style="213"/>
    <col min="3091" max="3091" width="11.453125" style="213" customWidth="1"/>
    <col min="3092" max="3092" width="15" style="213" bestFit="1" customWidth="1"/>
    <col min="3093" max="3093" width="12.36328125" style="213" bestFit="1" customWidth="1"/>
    <col min="3094" max="3095" width="15" style="213" bestFit="1" customWidth="1"/>
    <col min="3096" max="3098" width="10.90625" style="213"/>
    <col min="3099" max="3099" width="11.453125" style="213" customWidth="1"/>
    <col min="3100" max="3100" width="15" style="213" bestFit="1" customWidth="1"/>
    <col min="3101" max="3101" width="12.36328125" style="213" bestFit="1" customWidth="1"/>
    <col min="3102" max="3103" width="15" style="213" bestFit="1" customWidth="1"/>
    <col min="3104" max="3330" width="10.90625" style="213"/>
    <col min="3331" max="3331" width="11.453125" style="213" customWidth="1"/>
    <col min="3332" max="3332" width="15" style="213" bestFit="1" customWidth="1"/>
    <col min="3333" max="3333" width="12.36328125" style="213" bestFit="1" customWidth="1"/>
    <col min="3334" max="3335" width="15" style="213" bestFit="1" customWidth="1"/>
    <col min="3336" max="3338" width="10.90625" style="213"/>
    <col min="3339" max="3339" width="11.453125" style="213" customWidth="1"/>
    <col min="3340" max="3340" width="15" style="213" bestFit="1" customWidth="1"/>
    <col min="3341" max="3341" width="12.36328125" style="213" bestFit="1" customWidth="1"/>
    <col min="3342" max="3343" width="15" style="213" bestFit="1" customWidth="1"/>
    <col min="3344" max="3346" width="10.90625" style="213"/>
    <col min="3347" max="3347" width="11.453125" style="213" customWidth="1"/>
    <col min="3348" max="3348" width="15" style="213" bestFit="1" customWidth="1"/>
    <col min="3349" max="3349" width="12.36328125" style="213" bestFit="1" customWidth="1"/>
    <col min="3350" max="3351" width="15" style="213" bestFit="1" customWidth="1"/>
    <col min="3352" max="3354" width="10.90625" style="213"/>
    <col min="3355" max="3355" width="11.453125" style="213" customWidth="1"/>
    <col min="3356" max="3356" width="15" style="213" bestFit="1" customWidth="1"/>
    <col min="3357" max="3357" width="12.36328125" style="213" bestFit="1" customWidth="1"/>
    <col min="3358" max="3359" width="15" style="213" bestFit="1" customWidth="1"/>
    <col min="3360" max="3586" width="10.90625" style="213"/>
    <col min="3587" max="3587" width="11.453125" style="213" customWidth="1"/>
    <col min="3588" max="3588" width="15" style="213" bestFit="1" customWidth="1"/>
    <col min="3589" max="3589" width="12.36328125" style="213" bestFit="1" customWidth="1"/>
    <col min="3590" max="3591" width="15" style="213" bestFit="1" customWidth="1"/>
    <col min="3592" max="3594" width="10.90625" style="213"/>
    <col min="3595" max="3595" width="11.453125" style="213" customWidth="1"/>
    <col min="3596" max="3596" width="15" style="213" bestFit="1" customWidth="1"/>
    <col min="3597" max="3597" width="12.36328125" style="213" bestFit="1" customWidth="1"/>
    <col min="3598" max="3599" width="15" style="213" bestFit="1" customWidth="1"/>
    <col min="3600" max="3602" width="10.90625" style="213"/>
    <col min="3603" max="3603" width="11.453125" style="213" customWidth="1"/>
    <col min="3604" max="3604" width="15" style="213" bestFit="1" customWidth="1"/>
    <col min="3605" max="3605" width="12.36328125" style="213" bestFit="1" customWidth="1"/>
    <col min="3606" max="3607" width="15" style="213" bestFit="1" customWidth="1"/>
    <col min="3608" max="3610" width="10.90625" style="213"/>
    <col min="3611" max="3611" width="11.453125" style="213" customWidth="1"/>
    <col min="3612" max="3612" width="15" style="213" bestFit="1" customWidth="1"/>
    <col min="3613" max="3613" width="12.36328125" style="213" bestFit="1" customWidth="1"/>
    <col min="3614" max="3615" width="15" style="213" bestFit="1" customWidth="1"/>
    <col min="3616" max="3842" width="10.90625" style="213"/>
    <col min="3843" max="3843" width="11.453125" style="213" customWidth="1"/>
    <col min="3844" max="3844" width="15" style="213" bestFit="1" customWidth="1"/>
    <col min="3845" max="3845" width="12.36328125" style="213" bestFit="1" customWidth="1"/>
    <col min="3846" max="3847" width="15" style="213" bestFit="1" customWidth="1"/>
    <col min="3848" max="3850" width="10.90625" style="213"/>
    <col min="3851" max="3851" width="11.453125" style="213" customWidth="1"/>
    <col min="3852" max="3852" width="15" style="213" bestFit="1" customWidth="1"/>
    <col min="3853" max="3853" width="12.36328125" style="213" bestFit="1" customWidth="1"/>
    <col min="3854" max="3855" width="15" style="213" bestFit="1" customWidth="1"/>
    <col min="3856" max="3858" width="10.90625" style="213"/>
    <col min="3859" max="3859" width="11.453125" style="213" customWidth="1"/>
    <col min="3860" max="3860" width="15" style="213" bestFit="1" customWidth="1"/>
    <col min="3861" max="3861" width="12.36328125" style="213" bestFit="1" customWidth="1"/>
    <col min="3862" max="3863" width="15" style="213" bestFit="1" customWidth="1"/>
    <col min="3864" max="3866" width="10.90625" style="213"/>
    <col min="3867" max="3867" width="11.453125" style="213" customWidth="1"/>
    <col min="3868" max="3868" width="15" style="213" bestFit="1" customWidth="1"/>
    <col min="3869" max="3869" width="12.36328125" style="213" bestFit="1" customWidth="1"/>
    <col min="3870" max="3871" width="15" style="213" bestFit="1" customWidth="1"/>
    <col min="3872" max="4098" width="10.90625" style="213"/>
    <col min="4099" max="4099" width="11.453125" style="213" customWidth="1"/>
    <col min="4100" max="4100" width="15" style="213" bestFit="1" customWidth="1"/>
    <col min="4101" max="4101" width="12.36328125" style="213" bestFit="1" customWidth="1"/>
    <col min="4102" max="4103" width="15" style="213" bestFit="1" customWidth="1"/>
    <col min="4104" max="4106" width="10.90625" style="213"/>
    <col min="4107" max="4107" width="11.453125" style="213" customWidth="1"/>
    <col min="4108" max="4108" width="15" style="213" bestFit="1" customWidth="1"/>
    <col min="4109" max="4109" width="12.36328125" style="213" bestFit="1" customWidth="1"/>
    <col min="4110" max="4111" width="15" style="213" bestFit="1" customWidth="1"/>
    <col min="4112" max="4114" width="10.90625" style="213"/>
    <col min="4115" max="4115" width="11.453125" style="213" customWidth="1"/>
    <col min="4116" max="4116" width="15" style="213" bestFit="1" customWidth="1"/>
    <col min="4117" max="4117" width="12.36328125" style="213" bestFit="1" customWidth="1"/>
    <col min="4118" max="4119" width="15" style="213" bestFit="1" customWidth="1"/>
    <col min="4120" max="4122" width="10.90625" style="213"/>
    <col min="4123" max="4123" width="11.453125" style="213" customWidth="1"/>
    <col min="4124" max="4124" width="15" style="213" bestFit="1" customWidth="1"/>
    <col min="4125" max="4125" width="12.36328125" style="213" bestFit="1" customWidth="1"/>
    <col min="4126" max="4127" width="15" style="213" bestFit="1" customWidth="1"/>
    <col min="4128" max="4354" width="10.90625" style="213"/>
    <col min="4355" max="4355" width="11.453125" style="213" customWidth="1"/>
    <col min="4356" max="4356" width="15" style="213" bestFit="1" customWidth="1"/>
    <col min="4357" max="4357" width="12.36328125" style="213" bestFit="1" customWidth="1"/>
    <col min="4358" max="4359" width="15" style="213" bestFit="1" customWidth="1"/>
    <col min="4360" max="4362" width="10.90625" style="213"/>
    <col min="4363" max="4363" width="11.453125" style="213" customWidth="1"/>
    <col min="4364" max="4364" width="15" style="213" bestFit="1" customWidth="1"/>
    <col min="4365" max="4365" width="12.36328125" style="213" bestFit="1" customWidth="1"/>
    <col min="4366" max="4367" width="15" style="213" bestFit="1" customWidth="1"/>
    <col min="4368" max="4370" width="10.90625" style="213"/>
    <col min="4371" max="4371" width="11.453125" style="213" customWidth="1"/>
    <col min="4372" max="4372" width="15" style="213" bestFit="1" customWidth="1"/>
    <col min="4373" max="4373" width="12.36328125" style="213" bestFit="1" customWidth="1"/>
    <col min="4374" max="4375" width="15" style="213" bestFit="1" customWidth="1"/>
    <col min="4376" max="4378" width="10.90625" style="213"/>
    <col min="4379" max="4379" width="11.453125" style="213" customWidth="1"/>
    <col min="4380" max="4380" width="15" style="213" bestFit="1" customWidth="1"/>
    <col min="4381" max="4381" width="12.36328125" style="213" bestFit="1" customWidth="1"/>
    <col min="4382" max="4383" width="15" style="213" bestFit="1" customWidth="1"/>
    <col min="4384" max="4610" width="10.90625" style="213"/>
    <col min="4611" max="4611" width="11.453125" style="213" customWidth="1"/>
    <col min="4612" max="4612" width="15" style="213" bestFit="1" customWidth="1"/>
    <col min="4613" max="4613" width="12.36328125" style="213" bestFit="1" customWidth="1"/>
    <col min="4614" max="4615" width="15" style="213" bestFit="1" customWidth="1"/>
    <col min="4616" max="4618" width="10.90625" style="213"/>
    <col min="4619" max="4619" width="11.453125" style="213" customWidth="1"/>
    <col min="4620" max="4620" width="15" style="213" bestFit="1" customWidth="1"/>
    <col min="4621" max="4621" width="12.36328125" style="213" bestFit="1" customWidth="1"/>
    <col min="4622" max="4623" width="15" style="213" bestFit="1" customWidth="1"/>
    <col min="4624" max="4626" width="10.90625" style="213"/>
    <col min="4627" max="4627" width="11.453125" style="213" customWidth="1"/>
    <col min="4628" max="4628" width="15" style="213" bestFit="1" customWidth="1"/>
    <col min="4629" max="4629" width="12.36328125" style="213" bestFit="1" customWidth="1"/>
    <col min="4630" max="4631" width="15" style="213" bestFit="1" customWidth="1"/>
    <col min="4632" max="4634" width="10.90625" style="213"/>
    <col min="4635" max="4635" width="11.453125" style="213" customWidth="1"/>
    <col min="4636" max="4636" width="15" style="213" bestFit="1" customWidth="1"/>
    <col min="4637" max="4637" width="12.36328125" style="213" bestFit="1" customWidth="1"/>
    <col min="4638" max="4639" width="15" style="213" bestFit="1" customWidth="1"/>
    <col min="4640" max="4866" width="10.90625" style="213"/>
    <col min="4867" max="4867" width="11.453125" style="213" customWidth="1"/>
    <col min="4868" max="4868" width="15" style="213" bestFit="1" customWidth="1"/>
    <col min="4869" max="4869" width="12.36328125" style="213" bestFit="1" customWidth="1"/>
    <col min="4870" max="4871" width="15" style="213" bestFit="1" customWidth="1"/>
    <col min="4872" max="4874" width="10.90625" style="213"/>
    <col min="4875" max="4875" width="11.453125" style="213" customWidth="1"/>
    <col min="4876" max="4876" width="15" style="213" bestFit="1" customWidth="1"/>
    <col min="4877" max="4877" width="12.36328125" style="213" bestFit="1" customWidth="1"/>
    <col min="4878" max="4879" width="15" style="213" bestFit="1" customWidth="1"/>
    <col min="4880" max="4882" width="10.90625" style="213"/>
    <col min="4883" max="4883" width="11.453125" style="213" customWidth="1"/>
    <col min="4884" max="4884" width="15" style="213" bestFit="1" customWidth="1"/>
    <col min="4885" max="4885" width="12.36328125" style="213" bestFit="1" customWidth="1"/>
    <col min="4886" max="4887" width="15" style="213" bestFit="1" customWidth="1"/>
    <col min="4888" max="4890" width="10.90625" style="213"/>
    <col min="4891" max="4891" width="11.453125" style="213" customWidth="1"/>
    <col min="4892" max="4892" width="15" style="213" bestFit="1" customWidth="1"/>
    <col min="4893" max="4893" width="12.36328125" style="213" bestFit="1" customWidth="1"/>
    <col min="4894" max="4895" width="15" style="213" bestFit="1" customWidth="1"/>
    <col min="4896" max="5122" width="10.90625" style="213"/>
    <col min="5123" max="5123" width="11.453125" style="213" customWidth="1"/>
    <col min="5124" max="5124" width="15" style="213" bestFit="1" customWidth="1"/>
    <col min="5125" max="5125" width="12.36328125" style="213" bestFit="1" customWidth="1"/>
    <col min="5126" max="5127" width="15" style="213" bestFit="1" customWidth="1"/>
    <col min="5128" max="5130" width="10.90625" style="213"/>
    <col min="5131" max="5131" width="11.453125" style="213" customWidth="1"/>
    <col min="5132" max="5132" width="15" style="213" bestFit="1" customWidth="1"/>
    <col min="5133" max="5133" width="12.36328125" style="213" bestFit="1" customWidth="1"/>
    <col min="5134" max="5135" width="15" style="213" bestFit="1" customWidth="1"/>
    <col min="5136" max="5138" width="10.90625" style="213"/>
    <col min="5139" max="5139" width="11.453125" style="213" customWidth="1"/>
    <col min="5140" max="5140" width="15" style="213" bestFit="1" customWidth="1"/>
    <col min="5141" max="5141" width="12.36328125" style="213" bestFit="1" customWidth="1"/>
    <col min="5142" max="5143" width="15" style="213" bestFit="1" customWidth="1"/>
    <col min="5144" max="5146" width="10.90625" style="213"/>
    <col min="5147" max="5147" width="11.453125" style="213" customWidth="1"/>
    <col min="5148" max="5148" width="15" style="213" bestFit="1" customWidth="1"/>
    <col min="5149" max="5149" width="12.36328125" style="213" bestFit="1" customWidth="1"/>
    <col min="5150" max="5151" width="15" style="213" bestFit="1" customWidth="1"/>
    <col min="5152" max="5378" width="10.90625" style="213"/>
    <col min="5379" max="5379" width="11.453125" style="213" customWidth="1"/>
    <col min="5380" max="5380" width="15" style="213" bestFit="1" customWidth="1"/>
    <col min="5381" max="5381" width="12.36328125" style="213" bestFit="1" customWidth="1"/>
    <col min="5382" max="5383" width="15" style="213" bestFit="1" customWidth="1"/>
    <col min="5384" max="5386" width="10.90625" style="213"/>
    <col min="5387" max="5387" width="11.453125" style="213" customWidth="1"/>
    <col min="5388" max="5388" width="15" style="213" bestFit="1" customWidth="1"/>
    <col min="5389" max="5389" width="12.36328125" style="213" bestFit="1" customWidth="1"/>
    <col min="5390" max="5391" width="15" style="213" bestFit="1" customWidth="1"/>
    <col min="5392" max="5394" width="10.90625" style="213"/>
    <col min="5395" max="5395" width="11.453125" style="213" customWidth="1"/>
    <col min="5396" max="5396" width="15" style="213" bestFit="1" customWidth="1"/>
    <col min="5397" max="5397" width="12.36328125" style="213" bestFit="1" customWidth="1"/>
    <col min="5398" max="5399" width="15" style="213" bestFit="1" customWidth="1"/>
    <col min="5400" max="5402" width="10.90625" style="213"/>
    <col min="5403" max="5403" width="11.453125" style="213" customWidth="1"/>
    <col min="5404" max="5404" width="15" style="213" bestFit="1" customWidth="1"/>
    <col min="5405" max="5405" width="12.36328125" style="213" bestFit="1" customWidth="1"/>
    <col min="5406" max="5407" width="15" style="213" bestFit="1" customWidth="1"/>
    <col min="5408" max="5634" width="10.90625" style="213"/>
    <col min="5635" max="5635" width="11.453125" style="213" customWidth="1"/>
    <col min="5636" max="5636" width="15" style="213" bestFit="1" customWidth="1"/>
    <col min="5637" max="5637" width="12.36328125" style="213" bestFit="1" customWidth="1"/>
    <col min="5638" max="5639" width="15" style="213" bestFit="1" customWidth="1"/>
    <col min="5640" max="5642" width="10.90625" style="213"/>
    <col min="5643" max="5643" width="11.453125" style="213" customWidth="1"/>
    <col min="5644" max="5644" width="15" style="213" bestFit="1" customWidth="1"/>
    <col min="5645" max="5645" width="12.36328125" style="213" bestFit="1" customWidth="1"/>
    <col min="5646" max="5647" width="15" style="213" bestFit="1" customWidth="1"/>
    <col min="5648" max="5650" width="10.90625" style="213"/>
    <col min="5651" max="5651" width="11.453125" style="213" customWidth="1"/>
    <col min="5652" max="5652" width="15" style="213" bestFit="1" customWidth="1"/>
    <col min="5653" max="5653" width="12.36328125" style="213" bestFit="1" customWidth="1"/>
    <col min="5654" max="5655" width="15" style="213" bestFit="1" customWidth="1"/>
    <col min="5656" max="5658" width="10.90625" style="213"/>
    <col min="5659" max="5659" width="11.453125" style="213" customWidth="1"/>
    <col min="5660" max="5660" width="15" style="213" bestFit="1" customWidth="1"/>
    <col min="5661" max="5661" width="12.36328125" style="213" bestFit="1" customWidth="1"/>
    <col min="5662" max="5663" width="15" style="213" bestFit="1" customWidth="1"/>
    <col min="5664" max="5890" width="10.90625" style="213"/>
    <col min="5891" max="5891" width="11.453125" style="213" customWidth="1"/>
    <col min="5892" max="5892" width="15" style="213" bestFit="1" customWidth="1"/>
    <col min="5893" max="5893" width="12.36328125" style="213" bestFit="1" customWidth="1"/>
    <col min="5894" max="5895" width="15" style="213" bestFit="1" customWidth="1"/>
    <col min="5896" max="5898" width="10.90625" style="213"/>
    <col min="5899" max="5899" width="11.453125" style="213" customWidth="1"/>
    <col min="5900" max="5900" width="15" style="213" bestFit="1" customWidth="1"/>
    <col min="5901" max="5901" width="12.36328125" style="213" bestFit="1" customWidth="1"/>
    <col min="5902" max="5903" width="15" style="213" bestFit="1" customWidth="1"/>
    <col min="5904" max="5906" width="10.90625" style="213"/>
    <col min="5907" max="5907" width="11.453125" style="213" customWidth="1"/>
    <col min="5908" max="5908" width="15" style="213" bestFit="1" customWidth="1"/>
    <col min="5909" max="5909" width="12.36328125" style="213" bestFit="1" customWidth="1"/>
    <col min="5910" max="5911" width="15" style="213" bestFit="1" customWidth="1"/>
    <col min="5912" max="5914" width="10.90625" style="213"/>
    <col min="5915" max="5915" width="11.453125" style="213" customWidth="1"/>
    <col min="5916" max="5916" width="15" style="213" bestFit="1" customWidth="1"/>
    <col min="5917" max="5917" width="12.36328125" style="213" bestFit="1" customWidth="1"/>
    <col min="5918" max="5919" width="15" style="213" bestFit="1" customWidth="1"/>
    <col min="5920" max="6146" width="10.90625" style="213"/>
    <col min="6147" max="6147" width="11.453125" style="213" customWidth="1"/>
    <col min="6148" max="6148" width="15" style="213" bestFit="1" customWidth="1"/>
    <col min="6149" max="6149" width="12.36328125" style="213" bestFit="1" customWidth="1"/>
    <col min="6150" max="6151" width="15" style="213" bestFit="1" customWidth="1"/>
    <col min="6152" max="6154" width="10.90625" style="213"/>
    <col min="6155" max="6155" width="11.453125" style="213" customWidth="1"/>
    <col min="6156" max="6156" width="15" style="213" bestFit="1" customWidth="1"/>
    <col min="6157" max="6157" width="12.36328125" style="213" bestFit="1" customWidth="1"/>
    <col min="6158" max="6159" width="15" style="213" bestFit="1" customWidth="1"/>
    <col min="6160" max="6162" width="10.90625" style="213"/>
    <col min="6163" max="6163" width="11.453125" style="213" customWidth="1"/>
    <col min="6164" max="6164" width="15" style="213" bestFit="1" customWidth="1"/>
    <col min="6165" max="6165" width="12.36328125" style="213" bestFit="1" customWidth="1"/>
    <col min="6166" max="6167" width="15" style="213" bestFit="1" customWidth="1"/>
    <col min="6168" max="6170" width="10.90625" style="213"/>
    <col min="6171" max="6171" width="11.453125" style="213" customWidth="1"/>
    <col min="6172" max="6172" width="15" style="213" bestFit="1" customWidth="1"/>
    <col min="6173" max="6173" width="12.36328125" style="213" bestFit="1" customWidth="1"/>
    <col min="6174" max="6175" width="15" style="213" bestFit="1" customWidth="1"/>
    <col min="6176" max="6402" width="10.90625" style="213"/>
    <col min="6403" max="6403" width="11.453125" style="213" customWidth="1"/>
    <col min="6404" max="6404" width="15" style="213" bestFit="1" customWidth="1"/>
    <col min="6405" max="6405" width="12.36328125" style="213" bestFit="1" customWidth="1"/>
    <col min="6406" max="6407" width="15" style="213" bestFit="1" customWidth="1"/>
    <col min="6408" max="6410" width="10.90625" style="213"/>
    <col min="6411" max="6411" width="11.453125" style="213" customWidth="1"/>
    <col min="6412" max="6412" width="15" style="213" bestFit="1" customWidth="1"/>
    <col min="6413" max="6413" width="12.36328125" style="213" bestFit="1" customWidth="1"/>
    <col min="6414" max="6415" width="15" style="213" bestFit="1" customWidth="1"/>
    <col min="6416" max="6418" width="10.90625" style="213"/>
    <col min="6419" max="6419" width="11.453125" style="213" customWidth="1"/>
    <col min="6420" max="6420" width="15" style="213" bestFit="1" customWidth="1"/>
    <col min="6421" max="6421" width="12.36328125" style="213" bestFit="1" customWidth="1"/>
    <col min="6422" max="6423" width="15" style="213" bestFit="1" customWidth="1"/>
    <col min="6424" max="6426" width="10.90625" style="213"/>
    <col min="6427" max="6427" width="11.453125" style="213" customWidth="1"/>
    <col min="6428" max="6428" width="15" style="213" bestFit="1" customWidth="1"/>
    <col min="6429" max="6429" width="12.36328125" style="213" bestFit="1" customWidth="1"/>
    <col min="6430" max="6431" width="15" style="213" bestFit="1" customWidth="1"/>
    <col min="6432" max="6658" width="10.90625" style="213"/>
    <col min="6659" max="6659" width="11.453125" style="213" customWidth="1"/>
    <col min="6660" max="6660" width="15" style="213" bestFit="1" customWidth="1"/>
    <col min="6661" max="6661" width="12.36328125" style="213" bestFit="1" customWidth="1"/>
    <col min="6662" max="6663" width="15" style="213" bestFit="1" customWidth="1"/>
    <col min="6664" max="6666" width="10.90625" style="213"/>
    <col min="6667" max="6667" width="11.453125" style="213" customWidth="1"/>
    <col min="6668" max="6668" width="15" style="213" bestFit="1" customWidth="1"/>
    <col min="6669" max="6669" width="12.36328125" style="213" bestFit="1" customWidth="1"/>
    <col min="6670" max="6671" width="15" style="213" bestFit="1" customWidth="1"/>
    <col min="6672" max="6674" width="10.90625" style="213"/>
    <col min="6675" max="6675" width="11.453125" style="213" customWidth="1"/>
    <col min="6676" max="6676" width="15" style="213" bestFit="1" customWidth="1"/>
    <col min="6677" max="6677" width="12.36328125" style="213" bestFit="1" customWidth="1"/>
    <col min="6678" max="6679" width="15" style="213" bestFit="1" customWidth="1"/>
    <col min="6680" max="6682" width="10.90625" style="213"/>
    <col min="6683" max="6683" width="11.453125" style="213" customWidth="1"/>
    <col min="6684" max="6684" width="15" style="213" bestFit="1" customWidth="1"/>
    <col min="6685" max="6685" width="12.36328125" style="213" bestFit="1" customWidth="1"/>
    <col min="6686" max="6687" width="15" style="213" bestFit="1" customWidth="1"/>
    <col min="6688" max="6914" width="10.90625" style="213"/>
    <col min="6915" max="6915" width="11.453125" style="213" customWidth="1"/>
    <col min="6916" max="6916" width="15" style="213" bestFit="1" customWidth="1"/>
    <col min="6917" max="6917" width="12.36328125" style="213" bestFit="1" customWidth="1"/>
    <col min="6918" max="6919" width="15" style="213" bestFit="1" customWidth="1"/>
    <col min="6920" max="6922" width="10.90625" style="213"/>
    <col min="6923" max="6923" width="11.453125" style="213" customWidth="1"/>
    <col min="6924" max="6924" width="15" style="213" bestFit="1" customWidth="1"/>
    <col min="6925" max="6925" width="12.36328125" style="213" bestFit="1" customWidth="1"/>
    <col min="6926" max="6927" width="15" style="213" bestFit="1" customWidth="1"/>
    <col min="6928" max="6930" width="10.90625" style="213"/>
    <col min="6931" max="6931" width="11.453125" style="213" customWidth="1"/>
    <col min="6932" max="6932" width="15" style="213" bestFit="1" customWidth="1"/>
    <col min="6933" max="6933" width="12.36328125" style="213" bestFit="1" customWidth="1"/>
    <col min="6934" max="6935" width="15" style="213" bestFit="1" customWidth="1"/>
    <col min="6936" max="6938" width="10.90625" style="213"/>
    <col min="6939" max="6939" width="11.453125" style="213" customWidth="1"/>
    <col min="6940" max="6940" width="15" style="213" bestFit="1" customWidth="1"/>
    <col min="6941" max="6941" width="12.36328125" style="213" bestFit="1" customWidth="1"/>
    <col min="6942" max="6943" width="15" style="213" bestFit="1" customWidth="1"/>
    <col min="6944" max="7170" width="10.90625" style="213"/>
    <col min="7171" max="7171" width="11.453125" style="213" customWidth="1"/>
    <col min="7172" max="7172" width="15" style="213" bestFit="1" customWidth="1"/>
    <col min="7173" max="7173" width="12.36328125" style="213" bestFit="1" customWidth="1"/>
    <col min="7174" max="7175" width="15" style="213" bestFit="1" customWidth="1"/>
    <col min="7176" max="7178" width="10.90625" style="213"/>
    <col min="7179" max="7179" width="11.453125" style="213" customWidth="1"/>
    <col min="7180" max="7180" width="15" style="213" bestFit="1" customWidth="1"/>
    <col min="7181" max="7181" width="12.36328125" style="213" bestFit="1" customWidth="1"/>
    <col min="7182" max="7183" width="15" style="213" bestFit="1" customWidth="1"/>
    <col min="7184" max="7186" width="10.90625" style="213"/>
    <col min="7187" max="7187" width="11.453125" style="213" customWidth="1"/>
    <col min="7188" max="7188" width="15" style="213" bestFit="1" customWidth="1"/>
    <col min="7189" max="7189" width="12.36328125" style="213" bestFit="1" customWidth="1"/>
    <col min="7190" max="7191" width="15" style="213" bestFit="1" customWidth="1"/>
    <col min="7192" max="7194" width="10.90625" style="213"/>
    <col min="7195" max="7195" width="11.453125" style="213" customWidth="1"/>
    <col min="7196" max="7196" width="15" style="213" bestFit="1" customWidth="1"/>
    <col min="7197" max="7197" width="12.36328125" style="213" bestFit="1" customWidth="1"/>
    <col min="7198" max="7199" width="15" style="213" bestFit="1" customWidth="1"/>
    <col min="7200" max="7426" width="10.90625" style="213"/>
    <col min="7427" max="7427" width="11.453125" style="213" customWidth="1"/>
    <col min="7428" max="7428" width="15" style="213" bestFit="1" customWidth="1"/>
    <col min="7429" max="7429" width="12.36328125" style="213" bestFit="1" customWidth="1"/>
    <col min="7430" max="7431" width="15" style="213" bestFit="1" customWidth="1"/>
    <col min="7432" max="7434" width="10.90625" style="213"/>
    <col min="7435" max="7435" width="11.453125" style="213" customWidth="1"/>
    <col min="7436" max="7436" width="15" style="213" bestFit="1" customWidth="1"/>
    <col min="7437" max="7437" width="12.36328125" style="213" bestFit="1" customWidth="1"/>
    <col min="7438" max="7439" width="15" style="213" bestFit="1" customWidth="1"/>
    <col min="7440" max="7442" width="10.90625" style="213"/>
    <col min="7443" max="7443" width="11.453125" style="213" customWidth="1"/>
    <col min="7444" max="7444" width="15" style="213" bestFit="1" customWidth="1"/>
    <col min="7445" max="7445" width="12.36328125" style="213" bestFit="1" customWidth="1"/>
    <col min="7446" max="7447" width="15" style="213" bestFit="1" customWidth="1"/>
    <col min="7448" max="7450" width="10.90625" style="213"/>
    <col min="7451" max="7451" width="11.453125" style="213" customWidth="1"/>
    <col min="7452" max="7452" width="15" style="213" bestFit="1" customWidth="1"/>
    <col min="7453" max="7453" width="12.36328125" style="213" bestFit="1" customWidth="1"/>
    <col min="7454" max="7455" width="15" style="213" bestFit="1" customWidth="1"/>
    <col min="7456" max="7682" width="10.90625" style="213"/>
    <col min="7683" max="7683" width="11.453125" style="213" customWidth="1"/>
    <col min="7684" max="7684" width="15" style="213" bestFit="1" customWidth="1"/>
    <col min="7685" max="7685" width="12.36328125" style="213" bestFit="1" customWidth="1"/>
    <col min="7686" max="7687" width="15" style="213" bestFit="1" customWidth="1"/>
    <col min="7688" max="7690" width="10.90625" style="213"/>
    <col min="7691" max="7691" width="11.453125" style="213" customWidth="1"/>
    <col min="7692" max="7692" width="15" style="213" bestFit="1" customWidth="1"/>
    <col min="7693" max="7693" width="12.36328125" style="213" bestFit="1" customWidth="1"/>
    <col min="7694" max="7695" width="15" style="213" bestFit="1" customWidth="1"/>
    <col min="7696" max="7698" width="10.90625" style="213"/>
    <col min="7699" max="7699" width="11.453125" style="213" customWidth="1"/>
    <col min="7700" max="7700" width="15" style="213" bestFit="1" customWidth="1"/>
    <col min="7701" max="7701" width="12.36328125" style="213" bestFit="1" customWidth="1"/>
    <col min="7702" max="7703" width="15" style="213" bestFit="1" customWidth="1"/>
    <col min="7704" max="7706" width="10.90625" style="213"/>
    <col min="7707" max="7707" width="11.453125" style="213" customWidth="1"/>
    <col min="7708" max="7708" width="15" style="213" bestFit="1" customWidth="1"/>
    <col min="7709" max="7709" width="12.36328125" style="213" bestFit="1" customWidth="1"/>
    <col min="7710" max="7711" width="15" style="213" bestFit="1" customWidth="1"/>
    <col min="7712" max="7938" width="10.90625" style="213"/>
    <col min="7939" max="7939" width="11.453125" style="213" customWidth="1"/>
    <col min="7940" max="7940" width="15" style="213" bestFit="1" customWidth="1"/>
    <col min="7941" max="7941" width="12.36328125" style="213" bestFit="1" customWidth="1"/>
    <col min="7942" max="7943" width="15" style="213" bestFit="1" customWidth="1"/>
    <col min="7944" max="7946" width="10.90625" style="213"/>
    <col min="7947" max="7947" width="11.453125" style="213" customWidth="1"/>
    <col min="7948" max="7948" width="15" style="213" bestFit="1" customWidth="1"/>
    <col min="7949" max="7949" width="12.36328125" style="213" bestFit="1" customWidth="1"/>
    <col min="7950" max="7951" width="15" style="213" bestFit="1" customWidth="1"/>
    <col min="7952" max="7954" width="10.90625" style="213"/>
    <col min="7955" max="7955" width="11.453125" style="213" customWidth="1"/>
    <col min="7956" max="7956" width="15" style="213" bestFit="1" customWidth="1"/>
    <col min="7957" max="7957" width="12.36328125" style="213" bestFit="1" customWidth="1"/>
    <col min="7958" max="7959" width="15" style="213" bestFit="1" customWidth="1"/>
    <col min="7960" max="7962" width="10.90625" style="213"/>
    <col min="7963" max="7963" width="11.453125" style="213" customWidth="1"/>
    <col min="7964" max="7964" width="15" style="213" bestFit="1" customWidth="1"/>
    <col min="7965" max="7965" width="12.36328125" style="213" bestFit="1" customWidth="1"/>
    <col min="7966" max="7967" width="15" style="213" bestFit="1" customWidth="1"/>
    <col min="7968" max="8194" width="10.90625" style="213"/>
    <col min="8195" max="8195" width="11.453125" style="213" customWidth="1"/>
    <col min="8196" max="8196" width="15" style="213" bestFit="1" customWidth="1"/>
    <col min="8197" max="8197" width="12.36328125" style="213" bestFit="1" customWidth="1"/>
    <col min="8198" max="8199" width="15" style="213" bestFit="1" customWidth="1"/>
    <col min="8200" max="8202" width="10.90625" style="213"/>
    <col min="8203" max="8203" width="11.453125" style="213" customWidth="1"/>
    <col min="8204" max="8204" width="15" style="213" bestFit="1" customWidth="1"/>
    <col min="8205" max="8205" width="12.36328125" style="213" bestFit="1" customWidth="1"/>
    <col min="8206" max="8207" width="15" style="213" bestFit="1" customWidth="1"/>
    <col min="8208" max="8210" width="10.90625" style="213"/>
    <col min="8211" max="8211" width="11.453125" style="213" customWidth="1"/>
    <col min="8212" max="8212" width="15" style="213" bestFit="1" customWidth="1"/>
    <col min="8213" max="8213" width="12.36328125" style="213" bestFit="1" customWidth="1"/>
    <col min="8214" max="8215" width="15" style="213" bestFit="1" customWidth="1"/>
    <col min="8216" max="8218" width="10.90625" style="213"/>
    <col min="8219" max="8219" width="11.453125" style="213" customWidth="1"/>
    <col min="8220" max="8220" width="15" style="213" bestFit="1" customWidth="1"/>
    <col min="8221" max="8221" width="12.36328125" style="213" bestFit="1" customWidth="1"/>
    <col min="8222" max="8223" width="15" style="213" bestFit="1" customWidth="1"/>
    <col min="8224" max="8450" width="10.90625" style="213"/>
    <col min="8451" max="8451" width="11.453125" style="213" customWidth="1"/>
    <col min="8452" max="8452" width="15" style="213" bestFit="1" customWidth="1"/>
    <col min="8453" max="8453" width="12.36328125" style="213" bestFit="1" customWidth="1"/>
    <col min="8454" max="8455" width="15" style="213" bestFit="1" customWidth="1"/>
    <col min="8456" max="8458" width="10.90625" style="213"/>
    <col min="8459" max="8459" width="11.453125" style="213" customWidth="1"/>
    <col min="8460" max="8460" width="15" style="213" bestFit="1" customWidth="1"/>
    <col min="8461" max="8461" width="12.36328125" style="213" bestFit="1" customWidth="1"/>
    <col min="8462" max="8463" width="15" style="213" bestFit="1" customWidth="1"/>
    <col min="8464" max="8466" width="10.90625" style="213"/>
    <col min="8467" max="8467" width="11.453125" style="213" customWidth="1"/>
    <col min="8468" max="8468" width="15" style="213" bestFit="1" customWidth="1"/>
    <col min="8469" max="8469" width="12.36328125" style="213" bestFit="1" customWidth="1"/>
    <col min="8470" max="8471" width="15" style="213" bestFit="1" customWidth="1"/>
    <col min="8472" max="8474" width="10.90625" style="213"/>
    <col min="8475" max="8475" width="11.453125" style="213" customWidth="1"/>
    <col min="8476" max="8476" width="15" style="213" bestFit="1" customWidth="1"/>
    <col min="8477" max="8477" width="12.36328125" style="213" bestFit="1" customWidth="1"/>
    <col min="8478" max="8479" width="15" style="213" bestFit="1" customWidth="1"/>
    <col min="8480" max="8706" width="10.90625" style="213"/>
    <col min="8707" max="8707" width="11.453125" style="213" customWidth="1"/>
    <col min="8708" max="8708" width="15" style="213" bestFit="1" customWidth="1"/>
    <col min="8709" max="8709" width="12.36328125" style="213" bestFit="1" customWidth="1"/>
    <col min="8710" max="8711" width="15" style="213" bestFit="1" customWidth="1"/>
    <col min="8712" max="8714" width="10.90625" style="213"/>
    <col min="8715" max="8715" width="11.453125" style="213" customWidth="1"/>
    <col min="8716" max="8716" width="15" style="213" bestFit="1" customWidth="1"/>
    <col min="8717" max="8717" width="12.36328125" style="213" bestFit="1" customWidth="1"/>
    <col min="8718" max="8719" width="15" style="213" bestFit="1" customWidth="1"/>
    <col min="8720" max="8722" width="10.90625" style="213"/>
    <col min="8723" max="8723" width="11.453125" style="213" customWidth="1"/>
    <col min="8724" max="8724" width="15" style="213" bestFit="1" customWidth="1"/>
    <col min="8725" max="8725" width="12.36328125" style="213" bestFit="1" customWidth="1"/>
    <col min="8726" max="8727" width="15" style="213" bestFit="1" customWidth="1"/>
    <col min="8728" max="8730" width="10.90625" style="213"/>
    <col min="8731" max="8731" width="11.453125" style="213" customWidth="1"/>
    <col min="8732" max="8732" width="15" style="213" bestFit="1" customWidth="1"/>
    <col min="8733" max="8733" width="12.36328125" style="213" bestFit="1" customWidth="1"/>
    <col min="8734" max="8735" width="15" style="213" bestFit="1" customWidth="1"/>
    <col min="8736" max="8962" width="10.90625" style="213"/>
    <col min="8963" max="8963" width="11.453125" style="213" customWidth="1"/>
    <col min="8964" max="8964" width="15" style="213" bestFit="1" customWidth="1"/>
    <col min="8965" max="8965" width="12.36328125" style="213" bestFit="1" customWidth="1"/>
    <col min="8966" max="8967" width="15" style="213" bestFit="1" customWidth="1"/>
    <col min="8968" max="8970" width="10.90625" style="213"/>
    <col min="8971" max="8971" width="11.453125" style="213" customWidth="1"/>
    <col min="8972" max="8972" width="15" style="213" bestFit="1" customWidth="1"/>
    <col min="8973" max="8973" width="12.36328125" style="213" bestFit="1" customWidth="1"/>
    <col min="8974" max="8975" width="15" style="213" bestFit="1" customWidth="1"/>
    <col min="8976" max="8978" width="10.90625" style="213"/>
    <col min="8979" max="8979" width="11.453125" style="213" customWidth="1"/>
    <col min="8980" max="8980" width="15" style="213" bestFit="1" customWidth="1"/>
    <col min="8981" max="8981" width="12.36328125" style="213" bestFit="1" customWidth="1"/>
    <col min="8982" max="8983" width="15" style="213" bestFit="1" customWidth="1"/>
    <col min="8984" max="8986" width="10.90625" style="213"/>
    <col min="8987" max="8987" width="11.453125" style="213" customWidth="1"/>
    <col min="8988" max="8988" width="15" style="213" bestFit="1" customWidth="1"/>
    <col min="8989" max="8989" width="12.36328125" style="213" bestFit="1" customWidth="1"/>
    <col min="8990" max="8991" width="15" style="213" bestFit="1" customWidth="1"/>
    <col min="8992" max="9218" width="10.90625" style="213"/>
    <col min="9219" max="9219" width="11.453125" style="213" customWidth="1"/>
    <col min="9220" max="9220" width="15" style="213" bestFit="1" customWidth="1"/>
    <col min="9221" max="9221" width="12.36328125" style="213" bestFit="1" customWidth="1"/>
    <col min="9222" max="9223" width="15" style="213" bestFit="1" customWidth="1"/>
    <col min="9224" max="9226" width="10.90625" style="213"/>
    <col min="9227" max="9227" width="11.453125" style="213" customWidth="1"/>
    <col min="9228" max="9228" width="15" style="213" bestFit="1" customWidth="1"/>
    <col min="9229" max="9229" width="12.36328125" style="213" bestFit="1" customWidth="1"/>
    <col min="9230" max="9231" width="15" style="213" bestFit="1" customWidth="1"/>
    <col min="9232" max="9234" width="10.90625" style="213"/>
    <col min="9235" max="9235" width="11.453125" style="213" customWidth="1"/>
    <col min="9236" max="9236" width="15" style="213" bestFit="1" customWidth="1"/>
    <col min="9237" max="9237" width="12.36328125" style="213" bestFit="1" customWidth="1"/>
    <col min="9238" max="9239" width="15" style="213" bestFit="1" customWidth="1"/>
    <col min="9240" max="9242" width="10.90625" style="213"/>
    <col min="9243" max="9243" width="11.453125" style="213" customWidth="1"/>
    <col min="9244" max="9244" width="15" style="213" bestFit="1" customWidth="1"/>
    <col min="9245" max="9245" width="12.36328125" style="213" bestFit="1" customWidth="1"/>
    <col min="9246" max="9247" width="15" style="213" bestFit="1" customWidth="1"/>
    <col min="9248" max="9474" width="10.90625" style="213"/>
    <col min="9475" max="9475" width="11.453125" style="213" customWidth="1"/>
    <col min="9476" max="9476" width="15" style="213" bestFit="1" customWidth="1"/>
    <col min="9477" max="9477" width="12.36328125" style="213" bestFit="1" customWidth="1"/>
    <col min="9478" max="9479" width="15" style="213" bestFit="1" customWidth="1"/>
    <col min="9480" max="9482" width="10.90625" style="213"/>
    <col min="9483" max="9483" width="11.453125" style="213" customWidth="1"/>
    <col min="9484" max="9484" width="15" style="213" bestFit="1" customWidth="1"/>
    <col min="9485" max="9485" width="12.36328125" style="213" bestFit="1" customWidth="1"/>
    <col min="9486" max="9487" width="15" style="213" bestFit="1" customWidth="1"/>
    <col min="9488" max="9490" width="10.90625" style="213"/>
    <col min="9491" max="9491" width="11.453125" style="213" customWidth="1"/>
    <col min="9492" max="9492" width="15" style="213" bestFit="1" customWidth="1"/>
    <col min="9493" max="9493" width="12.36328125" style="213" bestFit="1" customWidth="1"/>
    <col min="9494" max="9495" width="15" style="213" bestFit="1" customWidth="1"/>
    <col min="9496" max="9498" width="10.90625" style="213"/>
    <col min="9499" max="9499" width="11.453125" style="213" customWidth="1"/>
    <col min="9500" max="9500" width="15" style="213" bestFit="1" customWidth="1"/>
    <col min="9501" max="9501" width="12.36328125" style="213" bestFit="1" customWidth="1"/>
    <col min="9502" max="9503" width="15" style="213" bestFit="1" customWidth="1"/>
    <col min="9504" max="9730" width="10.90625" style="213"/>
    <col min="9731" max="9731" width="11.453125" style="213" customWidth="1"/>
    <col min="9732" max="9732" width="15" style="213" bestFit="1" customWidth="1"/>
    <col min="9733" max="9733" width="12.36328125" style="213" bestFit="1" customWidth="1"/>
    <col min="9734" max="9735" width="15" style="213" bestFit="1" customWidth="1"/>
    <col min="9736" max="9738" width="10.90625" style="213"/>
    <col min="9739" max="9739" width="11.453125" style="213" customWidth="1"/>
    <col min="9740" max="9740" width="15" style="213" bestFit="1" customWidth="1"/>
    <col min="9741" max="9741" width="12.36328125" style="213" bestFit="1" customWidth="1"/>
    <col min="9742" max="9743" width="15" style="213" bestFit="1" customWidth="1"/>
    <col min="9744" max="9746" width="10.90625" style="213"/>
    <col min="9747" max="9747" width="11.453125" style="213" customWidth="1"/>
    <col min="9748" max="9748" width="15" style="213" bestFit="1" customWidth="1"/>
    <col min="9749" max="9749" width="12.36328125" style="213" bestFit="1" customWidth="1"/>
    <col min="9750" max="9751" width="15" style="213" bestFit="1" customWidth="1"/>
    <col min="9752" max="9754" width="10.90625" style="213"/>
    <col min="9755" max="9755" width="11.453125" style="213" customWidth="1"/>
    <col min="9756" max="9756" width="15" style="213" bestFit="1" customWidth="1"/>
    <col min="9757" max="9757" width="12.36328125" style="213" bestFit="1" customWidth="1"/>
    <col min="9758" max="9759" width="15" style="213" bestFit="1" customWidth="1"/>
    <col min="9760" max="9986" width="10.90625" style="213"/>
    <col min="9987" max="9987" width="11.453125" style="213" customWidth="1"/>
    <col min="9988" max="9988" width="15" style="213" bestFit="1" customWidth="1"/>
    <col min="9989" max="9989" width="12.36328125" style="213" bestFit="1" customWidth="1"/>
    <col min="9990" max="9991" width="15" style="213" bestFit="1" customWidth="1"/>
    <col min="9992" max="9994" width="10.90625" style="213"/>
    <col min="9995" max="9995" width="11.453125" style="213" customWidth="1"/>
    <col min="9996" max="9996" width="15" style="213" bestFit="1" customWidth="1"/>
    <col min="9997" max="9997" width="12.36328125" style="213" bestFit="1" customWidth="1"/>
    <col min="9998" max="9999" width="15" style="213" bestFit="1" customWidth="1"/>
    <col min="10000" max="10002" width="10.90625" style="213"/>
    <col min="10003" max="10003" width="11.453125" style="213" customWidth="1"/>
    <col min="10004" max="10004" width="15" style="213" bestFit="1" customWidth="1"/>
    <col min="10005" max="10005" width="12.36328125" style="213" bestFit="1" customWidth="1"/>
    <col min="10006" max="10007" width="15" style="213" bestFit="1" customWidth="1"/>
    <col min="10008" max="10010" width="10.90625" style="213"/>
    <col min="10011" max="10011" width="11.453125" style="213" customWidth="1"/>
    <col min="10012" max="10012" width="15" style="213" bestFit="1" customWidth="1"/>
    <col min="10013" max="10013" width="12.36328125" style="213" bestFit="1" customWidth="1"/>
    <col min="10014" max="10015" width="15" style="213" bestFit="1" customWidth="1"/>
    <col min="10016" max="10242" width="10.90625" style="213"/>
    <col min="10243" max="10243" width="11.453125" style="213" customWidth="1"/>
    <col min="10244" max="10244" width="15" style="213" bestFit="1" customWidth="1"/>
    <col min="10245" max="10245" width="12.36328125" style="213" bestFit="1" customWidth="1"/>
    <col min="10246" max="10247" width="15" style="213" bestFit="1" customWidth="1"/>
    <col min="10248" max="10250" width="10.90625" style="213"/>
    <col min="10251" max="10251" width="11.453125" style="213" customWidth="1"/>
    <col min="10252" max="10252" width="15" style="213" bestFit="1" customWidth="1"/>
    <col min="10253" max="10253" width="12.36328125" style="213" bestFit="1" customWidth="1"/>
    <col min="10254" max="10255" width="15" style="213" bestFit="1" customWidth="1"/>
    <col min="10256" max="10258" width="10.90625" style="213"/>
    <col min="10259" max="10259" width="11.453125" style="213" customWidth="1"/>
    <col min="10260" max="10260" width="15" style="213" bestFit="1" customWidth="1"/>
    <col min="10261" max="10261" width="12.36328125" style="213" bestFit="1" customWidth="1"/>
    <col min="10262" max="10263" width="15" style="213" bestFit="1" customWidth="1"/>
    <col min="10264" max="10266" width="10.90625" style="213"/>
    <col min="10267" max="10267" width="11.453125" style="213" customWidth="1"/>
    <col min="10268" max="10268" width="15" style="213" bestFit="1" customWidth="1"/>
    <col min="10269" max="10269" width="12.36328125" style="213" bestFit="1" customWidth="1"/>
    <col min="10270" max="10271" width="15" style="213" bestFit="1" customWidth="1"/>
    <col min="10272" max="10498" width="10.90625" style="213"/>
    <col min="10499" max="10499" width="11.453125" style="213" customWidth="1"/>
    <col min="10500" max="10500" width="15" style="213" bestFit="1" customWidth="1"/>
    <col min="10501" max="10501" width="12.36328125" style="213" bestFit="1" customWidth="1"/>
    <col min="10502" max="10503" width="15" style="213" bestFit="1" customWidth="1"/>
    <col min="10504" max="10506" width="10.90625" style="213"/>
    <col min="10507" max="10507" width="11.453125" style="213" customWidth="1"/>
    <col min="10508" max="10508" width="15" style="213" bestFit="1" customWidth="1"/>
    <col min="10509" max="10509" width="12.36328125" style="213" bestFit="1" customWidth="1"/>
    <col min="10510" max="10511" width="15" style="213" bestFit="1" customWidth="1"/>
    <col min="10512" max="10514" width="10.90625" style="213"/>
    <col min="10515" max="10515" width="11.453125" style="213" customWidth="1"/>
    <col min="10516" max="10516" width="15" style="213" bestFit="1" customWidth="1"/>
    <col min="10517" max="10517" width="12.36328125" style="213" bestFit="1" customWidth="1"/>
    <col min="10518" max="10519" width="15" style="213" bestFit="1" customWidth="1"/>
    <col min="10520" max="10522" width="10.90625" style="213"/>
    <col min="10523" max="10523" width="11.453125" style="213" customWidth="1"/>
    <col min="10524" max="10524" width="15" style="213" bestFit="1" customWidth="1"/>
    <col min="10525" max="10525" width="12.36328125" style="213" bestFit="1" customWidth="1"/>
    <col min="10526" max="10527" width="15" style="213" bestFit="1" customWidth="1"/>
    <col min="10528" max="10754" width="10.90625" style="213"/>
    <col min="10755" max="10755" width="11.453125" style="213" customWidth="1"/>
    <col min="10756" max="10756" width="15" style="213" bestFit="1" customWidth="1"/>
    <col min="10757" max="10757" width="12.36328125" style="213" bestFit="1" customWidth="1"/>
    <col min="10758" max="10759" width="15" style="213" bestFit="1" customWidth="1"/>
    <col min="10760" max="10762" width="10.90625" style="213"/>
    <col min="10763" max="10763" width="11.453125" style="213" customWidth="1"/>
    <col min="10764" max="10764" width="15" style="213" bestFit="1" customWidth="1"/>
    <col min="10765" max="10765" width="12.36328125" style="213" bestFit="1" customWidth="1"/>
    <col min="10766" max="10767" width="15" style="213" bestFit="1" customWidth="1"/>
    <col min="10768" max="10770" width="10.90625" style="213"/>
    <col min="10771" max="10771" width="11.453125" style="213" customWidth="1"/>
    <col min="10772" max="10772" width="15" style="213" bestFit="1" customWidth="1"/>
    <col min="10773" max="10773" width="12.36328125" style="213" bestFit="1" customWidth="1"/>
    <col min="10774" max="10775" width="15" style="213" bestFit="1" customWidth="1"/>
    <col min="10776" max="10778" width="10.90625" style="213"/>
    <col min="10779" max="10779" width="11.453125" style="213" customWidth="1"/>
    <col min="10780" max="10780" width="15" style="213" bestFit="1" customWidth="1"/>
    <col min="10781" max="10781" width="12.36328125" style="213" bestFit="1" customWidth="1"/>
    <col min="10782" max="10783" width="15" style="213" bestFit="1" customWidth="1"/>
    <col min="10784" max="11010" width="10.90625" style="213"/>
    <col min="11011" max="11011" width="11.453125" style="213" customWidth="1"/>
    <col min="11012" max="11012" width="15" style="213" bestFit="1" customWidth="1"/>
    <col min="11013" max="11013" width="12.36328125" style="213" bestFit="1" customWidth="1"/>
    <col min="11014" max="11015" width="15" style="213" bestFit="1" customWidth="1"/>
    <col min="11016" max="11018" width="10.90625" style="213"/>
    <col min="11019" max="11019" width="11.453125" style="213" customWidth="1"/>
    <col min="11020" max="11020" width="15" style="213" bestFit="1" customWidth="1"/>
    <col min="11021" max="11021" width="12.36328125" style="213" bestFit="1" customWidth="1"/>
    <col min="11022" max="11023" width="15" style="213" bestFit="1" customWidth="1"/>
    <col min="11024" max="11026" width="10.90625" style="213"/>
    <col min="11027" max="11027" width="11.453125" style="213" customWidth="1"/>
    <col min="11028" max="11028" width="15" style="213" bestFit="1" customWidth="1"/>
    <col min="11029" max="11029" width="12.36328125" style="213" bestFit="1" customWidth="1"/>
    <col min="11030" max="11031" width="15" style="213" bestFit="1" customWidth="1"/>
    <col min="11032" max="11034" width="10.90625" style="213"/>
    <col min="11035" max="11035" width="11.453125" style="213" customWidth="1"/>
    <col min="11036" max="11036" width="15" style="213" bestFit="1" customWidth="1"/>
    <col min="11037" max="11037" width="12.36328125" style="213" bestFit="1" customWidth="1"/>
    <col min="11038" max="11039" width="15" style="213" bestFit="1" customWidth="1"/>
    <col min="11040" max="11266" width="10.90625" style="213"/>
    <col min="11267" max="11267" width="11.453125" style="213" customWidth="1"/>
    <col min="11268" max="11268" width="15" style="213" bestFit="1" customWidth="1"/>
    <col min="11269" max="11269" width="12.36328125" style="213" bestFit="1" customWidth="1"/>
    <col min="11270" max="11271" width="15" style="213" bestFit="1" customWidth="1"/>
    <col min="11272" max="11274" width="10.90625" style="213"/>
    <col min="11275" max="11275" width="11.453125" style="213" customWidth="1"/>
    <col min="11276" max="11276" width="15" style="213" bestFit="1" customWidth="1"/>
    <col min="11277" max="11277" width="12.36328125" style="213" bestFit="1" customWidth="1"/>
    <col min="11278" max="11279" width="15" style="213" bestFit="1" customWidth="1"/>
    <col min="11280" max="11282" width="10.90625" style="213"/>
    <col min="11283" max="11283" width="11.453125" style="213" customWidth="1"/>
    <col min="11284" max="11284" width="15" style="213" bestFit="1" customWidth="1"/>
    <col min="11285" max="11285" width="12.36328125" style="213" bestFit="1" customWidth="1"/>
    <col min="11286" max="11287" width="15" style="213" bestFit="1" customWidth="1"/>
    <col min="11288" max="11290" width="10.90625" style="213"/>
    <col min="11291" max="11291" width="11.453125" style="213" customWidth="1"/>
    <col min="11292" max="11292" width="15" style="213" bestFit="1" customWidth="1"/>
    <col min="11293" max="11293" width="12.36328125" style="213" bestFit="1" customWidth="1"/>
    <col min="11294" max="11295" width="15" style="213" bestFit="1" customWidth="1"/>
    <col min="11296" max="11522" width="10.90625" style="213"/>
    <col min="11523" max="11523" width="11.453125" style="213" customWidth="1"/>
    <col min="11524" max="11524" width="15" style="213" bestFit="1" customWidth="1"/>
    <col min="11525" max="11525" width="12.36328125" style="213" bestFit="1" customWidth="1"/>
    <col min="11526" max="11527" width="15" style="213" bestFit="1" customWidth="1"/>
    <col min="11528" max="11530" width="10.90625" style="213"/>
    <col min="11531" max="11531" width="11.453125" style="213" customWidth="1"/>
    <col min="11532" max="11532" width="15" style="213" bestFit="1" customWidth="1"/>
    <col min="11533" max="11533" width="12.36328125" style="213" bestFit="1" customWidth="1"/>
    <col min="11534" max="11535" width="15" style="213" bestFit="1" customWidth="1"/>
    <col min="11536" max="11538" width="10.90625" style="213"/>
    <col min="11539" max="11539" width="11.453125" style="213" customWidth="1"/>
    <col min="11540" max="11540" width="15" style="213" bestFit="1" customWidth="1"/>
    <col min="11541" max="11541" width="12.36328125" style="213" bestFit="1" customWidth="1"/>
    <col min="11542" max="11543" width="15" style="213" bestFit="1" customWidth="1"/>
    <col min="11544" max="11546" width="10.90625" style="213"/>
    <col min="11547" max="11547" width="11.453125" style="213" customWidth="1"/>
    <col min="11548" max="11548" width="15" style="213" bestFit="1" customWidth="1"/>
    <col min="11549" max="11549" width="12.36328125" style="213" bestFit="1" customWidth="1"/>
    <col min="11550" max="11551" width="15" style="213" bestFit="1" customWidth="1"/>
    <col min="11552" max="11778" width="10.90625" style="213"/>
    <col min="11779" max="11779" width="11.453125" style="213" customWidth="1"/>
    <col min="11780" max="11780" width="15" style="213" bestFit="1" customWidth="1"/>
    <col min="11781" max="11781" width="12.36328125" style="213" bestFit="1" customWidth="1"/>
    <col min="11782" max="11783" width="15" style="213" bestFit="1" customWidth="1"/>
    <col min="11784" max="11786" width="10.90625" style="213"/>
    <col min="11787" max="11787" width="11.453125" style="213" customWidth="1"/>
    <col min="11788" max="11788" width="15" style="213" bestFit="1" customWidth="1"/>
    <col min="11789" max="11789" width="12.36328125" style="213" bestFit="1" customWidth="1"/>
    <col min="11790" max="11791" width="15" style="213" bestFit="1" customWidth="1"/>
    <col min="11792" max="11794" width="10.90625" style="213"/>
    <col min="11795" max="11795" width="11.453125" style="213" customWidth="1"/>
    <col min="11796" max="11796" width="15" style="213" bestFit="1" customWidth="1"/>
    <col min="11797" max="11797" width="12.36328125" style="213" bestFit="1" customWidth="1"/>
    <col min="11798" max="11799" width="15" style="213" bestFit="1" customWidth="1"/>
    <col min="11800" max="11802" width="10.90625" style="213"/>
    <col min="11803" max="11803" width="11.453125" style="213" customWidth="1"/>
    <col min="11804" max="11804" width="15" style="213" bestFit="1" customWidth="1"/>
    <col min="11805" max="11805" width="12.36328125" style="213" bestFit="1" customWidth="1"/>
    <col min="11806" max="11807" width="15" style="213" bestFit="1" customWidth="1"/>
    <col min="11808" max="12034" width="10.90625" style="213"/>
    <col min="12035" max="12035" width="11.453125" style="213" customWidth="1"/>
    <col min="12036" max="12036" width="15" style="213" bestFit="1" customWidth="1"/>
    <col min="12037" max="12037" width="12.36328125" style="213" bestFit="1" customWidth="1"/>
    <col min="12038" max="12039" width="15" style="213" bestFit="1" customWidth="1"/>
    <col min="12040" max="12042" width="10.90625" style="213"/>
    <col min="12043" max="12043" width="11.453125" style="213" customWidth="1"/>
    <col min="12044" max="12044" width="15" style="213" bestFit="1" customWidth="1"/>
    <col min="12045" max="12045" width="12.36328125" style="213" bestFit="1" customWidth="1"/>
    <col min="12046" max="12047" width="15" style="213" bestFit="1" customWidth="1"/>
    <col min="12048" max="12050" width="10.90625" style="213"/>
    <col min="12051" max="12051" width="11.453125" style="213" customWidth="1"/>
    <col min="12052" max="12052" width="15" style="213" bestFit="1" customWidth="1"/>
    <col min="12053" max="12053" width="12.36328125" style="213" bestFit="1" customWidth="1"/>
    <col min="12054" max="12055" width="15" style="213" bestFit="1" customWidth="1"/>
    <col min="12056" max="12058" width="10.90625" style="213"/>
    <col min="12059" max="12059" width="11.453125" style="213" customWidth="1"/>
    <col min="12060" max="12060" width="15" style="213" bestFit="1" customWidth="1"/>
    <col min="12061" max="12061" width="12.36328125" style="213" bestFit="1" customWidth="1"/>
    <col min="12062" max="12063" width="15" style="213" bestFit="1" customWidth="1"/>
    <col min="12064" max="12290" width="10.90625" style="213"/>
    <col min="12291" max="12291" width="11.453125" style="213" customWidth="1"/>
    <col min="12292" max="12292" width="15" style="213" bestFit="1" customWidth="1"/>
    <col min="12293" max="12293" width="12.36328125" style="213" bestFit="1" customWidth="1"/>
    <col min="12294" max="12295" width="15" style="213" bestFit="1" customWidth="1"/>
    <col min="12296" max="12298" width="10.90625" style="213"/>
    <col min="12299" max="12299" width="11.453125" style="213" customWidth="1"/>
    <col min="12300" max="12300" width="15" style="213" bestFit="1" customWidth="1"/>
    <col min="12301" max="12301" width="12.36328125" style="213" bestFit="1" customWidth="1"/>
    <col min="12302" max="12303" width="15" style="213" bestFit="1" customWidth="1"/>
    <col min="12304" max="12306" width="10.90625" style="213"/>
    <col min="12307" max="12307" width="11.453125" style="213" customWidth="1"/>
    <col min="12308" max="12308" width="15" style="213" bestFit="1" customWidth="1"/>
    <col min="12309" max="12309" width="12.36328125" style="213" bestFit="1" customWidth="1"/>
    <col min="12310" max="12311" width="15" style="213" bestFit="1" customWidth="1"/>
    <col min="12312" max="12314" width="10.90625" style="213"/>
    <col min="12315" max="12315" width="11.453125" style="213" customWidth="1"/>
    <col min="12316" max="12316" width="15" style="213" bestFit="1" customWidth="1"/>
    <col min="12317" max="12317" width="12.36328125" style="213" bestFit="1" customWidth="1"/>
    <col min="12318" max="12319" width="15" style="213" bestFit="1" customWidth="1"/>
    <col min="12320" max="12546" width="10.90625" style="213"/>
    <col min="12547" max="12547" width="11.453125" style="213" customWidth="1"/>
    <col min="12548" max="12548" width="15" style="213" bestFit="1" customWidth="1"/>
    <col min="12549" max="12549" width="12.36328125" style="213" bestFit="1" customWidth="1"/>
    <col min="12550" max="12551" width="15" style="213" bestFit="1" customWidth="1"/>
    <col min="12552" max="12554" width="10.90625" style="213"/>
    <col min="12555" max="12555" width="11.453125" style="213" customWidth="1"/>
    <col min="12556" max="12556" width="15" style="213" bestFit="1" customWidth="1"/>
    <col min="12557" max="12557" width="12.36328125" style="213" bestFit="1" customWidth="1"/>
    <col min="12558" max="12559" width="15" style="213" bestFit="1" customWidth="1"/>
    <col min="12560" max="12562" width="10.90625" style="213"/>
    <col min="12563" max="12563" width="11.453125" style="213" customWidth="1"/>
    <col min="12564" max="12564" width="15" style="213" bestFit="1" customWidth="1"/>
    <col min="12565" max="12565" width="12.36328125" style="213" bestFit="1" customWidth="1"/>
    <col min="12566" max="12567" width="15" style="213" bestFit="1" customWidth="1"/>
    <col min="12568" max="12570" width="10.90625" style="213"/>
    <col min="12571" max="12571" width="11.453125" style="213" customWidth="1"/>
    <col min="12572" max="12572" width="15" style="213" bestFit="1" customWidth="1"/>
    <col min="12573" max="12573" width="12.36328125" style="213" bestFit="1" customWidth="1"/>
    <col min="12574" max="12575" width="15" style="213" bestFit="1" customWidth="1"/>
    <col min="12576" max="12802" width="10.90625" style="213"/>
    <col min="12803" max="12803" width="11.453125" style="213" customWidth="1"/>
    <col min="12804" max="12804" width="15" style="213" bestFit="1" customWidth="1"/>
    <col min="12805" max="12805" width="12.36328125" style="213" bestFit="1" customWidth="1"/>
    <col min="12806" max="12807" width="15" style="213" bestFit="1" customWidth="1"/>
    <col min="12808" max="12810" width="10.90625" style="213"/>
    <col min="12811" max="12811" width="11.453125" style="213" customWidth="1"/>
    <col min="12812" max="12812" width="15" style="213" bestFit="1" customWidth="1"/>
    <col min="12813" max="12813" width="12.36328125" style="213" bestFit="1" customWidth="1"/>
    <col min="12814" max="12815" width="15" style="213" bestFit="1" customWidth="1"/>
    <col min="12816" max="12818" width="10.90625" style="213"/>
    <col min="12819" max="12819" width="11.453125" style="213" customWidth="1"/>
    <col min="12820" max="12820" width="15" style="213" bestFit="1" customWidth="1"/>
    <col min="12821" max="12821" width="12.36328125" style="213" bestFit="1" customWidth="1"/>
    <col min="12822" max="12823" width="15" style="213" bestFit="1" customWidth="1"/>
    <col min="12824" max="12826" width="10.90625" style="213"/>
    <col min="12827" max="12827" width="11.453125" style="213" customWidth="1"/>
    <col min="12828" max="12828" width="15" style="213" bestFit="1" customWidth="1"/>
    <col min="12829" max="12829" width="12.36328125" style="213" bestFit="1" customWidth="1"/>
    <col min="12830" max="12831" width="15" style="213" bestFit="1" customWidth="1"/>
    <col min="12832" max="13058" width="10.90625" style="213"/>
    <col min="13059" max="13059" width="11.453125" style="213" customWidth="1"/>
    <col min="13060" max="13060" width="15" style="213" bestFit="1" customWidth="1"/>
    <col min="13061" max="13061" width="12.36328125" style="213" bestFit="1" customWidth="1"/>
    <col min="13062" max="13063" width="15" style="213" bestFit="1" customWidth="1"/>
    <col min="13064" max="13066" width="10.90625" style="213"/>
    <col min="13067" max="13067" width="11.453125" style="213" customWidth="1"/>
    <col min="13068" max="13068" width="15" style="213" bestFit="1" customWidth="1"/>
    <col min="13069" max="13069" width="12.36328125" style="213" bestFit="1" customWidth="1"/>
    <col min="13070" max="13071" width="15" style="213" bestFit="1" customWidth="1"/>
    <col min="13072" max="13074" width="10.90625" style="213"/>
    <col min="13075" max="13075" width="11.453125" style="213" customWidth="1"/>
    <col min="13076" max="13076" width="15" style="213" bestFit="1" customWidth="1"/>
    <col min="13077" max="13077" width="12.36328125" style="213" bestFit="1" customWidth="1"/>
    <col min="13078" max="13079" width="15" style="213" bestFit="1" customWidth="1"/>
    <col min="13080" max="13082" width="10.90625" style="213"/>
    <col min="13083" max="13083" width="11.453125" style="213" customWidth="1"/>
    <col min="13084" max="13084" width="15" style="213" bestFit="1" customWidth="1"/>
    <col min="13085" max="13085" width="12.36328125" style="213" bestFit="1" customWidth="1"/>
    <col min="13086" max="13087" width="15" style="213" bestFit="1" customWidth="1"/>
    <col min="13088" max="13314" width="10.90625" style="213"/>
    <col min="13315" max="13315" width="11.453125" style="213" customWidth="1"/>
    <col min="13316" max="13316" width="15" style="213" bestFit="1" customWidth="1"/>
    <col min="13317" max="13317" width="12.36328125" style="213" bestFit="1" customWidth="1"/>
    <col min="13318" max="13319" width="15" style="213" bestFit="1" customWidth="1"/>
    <col min="13320" max="13322" width="10.90625" style="213"/>
    <col min="13323" max="13323" width="11.453125" style="213" customWidth="1"/>
    <col min="13324" max="13324" width="15" style="213" bestFit="1" customWidth="1"/>
    <col min="13325" max="13325" width="12.36328125" style="213" bestFit="1" customWidth="1"/>
    <col min="13326" max="13327" width="15" style="213" bestFit="1" customWidth="1"/>
    <col min="13328" max="13330" width="10.90625" style="213"/>
    <col min="13331" max="13331" width="11.453125" style="213" customWidth="1"/>
    <col min="13332" max="13332" width="15" style="213" bestFit="1" customWidth="1"/>
    <col min="13333" max="13333" width="12.36328125" style="213" bestFit="1" customWidth="1"/>
    <col min="13334" max="13335" width="15" style="213" bestFit="1" customWidth="1"/>
    <col min="13336" max="13338" width="10.90625" style="213"/>
    <col min="13339" max="13339" width="11.453125" style="213" customWidth="1"/>
    <col min="13340" max="13340" width="15" style="213" bestFit="1" customWidth="1"/>
    <col min="13341" max="13341" width="12.36328125" style="213" bestFit="1" customWidth="1"/>
    <col min="13342" max="13343" width="15" style="213" bestFit="1" customWidth="1"/>
    <col min="13344" max="13570" width="10.90625" style="213"/>
    <col min="13571" max="13571" width="11.453125" style="213" customWidth="1"/>
    <col min="13572" max="13572" width="15" style="213" bestFit="1" customWidth="1"/>
    <col min="13573" max="13573" width="12.36328125" style="213" bestFit="1" customWidth="1"/>
    <col min="13574" max="13575" width="15" style="213" bestFit="1" customWidth="1"/>
    <col min="13576" max="13578" width="10.90625" style="213"/>
    <col min="13579" max="13579" width="11.453125" style="213" customWidth="1"/>
    <col min="13580" max="13580" width="15" style="213" bestFit="1" customWidth="1"/>
    <col min="13581" max="13581" width="12.36328125" style="213" bestFit="1" customWidth="1"/>
    <col min="13582" max="13583" width="15" style="213" bestFit="1" customWidth="1"/>
    <col min="13584" max="13586" width="10.90625" style="213"/>
    <col min="13587" max="13587" width="11.453125" style="213" customWidth="1"/>
    <col min="13588" max="13588" width="15" style="213" bestFit="1" customWidth="1"/>
    <col min="13589" max="13589" width="12.36328125" style="213" bestFit="1" customWidth="1"/>
    <col min="13590" max="13591" width="15" style="213" bestFit="1" customWidth="1"/>
    <col min="13592" max="13594" width="10.90625" style="213"/>
    <col min="13595" max="13595" width="11.453125" style="213" customWidth="1"/>
    <col min="13596" max="13596" width="15" style="213" bestFit="1" customWidth="1"/>
    <col min="13597" max="13597" width="12.36328125" style="213" bestFit="1" customWidth="1"/>
    <col min="13598" max="13599" width="15" style="213" bestFit="1" customWidth="1"/>
    <col min="13600" max="13826" width="10.90625" style="213"/>
    <col min="13827" max="13827" width="11.453125" style="213" customWidth="1"/>
    <col min="13828" max="13828" width="15" style="213" bestFit="1" customWidth="1"/>
    <col min="13829" max="13829" width="12.36328125" style="213" bestFit="1" customWidth="1"/>
    <col min="13830" max="13831" width="15" style="213" bestFit="1" customWidth="1"/>
    <col min="13832" max="13834" width="10.90625" style="213"/>
    <col min="13835" max="13835" width="11.453125" style="213" customWidth="1"/>
    <col min="13836" max="13836" width="15" style="213" bestFit="1" customWidth="1"/>
    <col min="13837" max="13837" width="12.36328125" style="213" bestFit="1" customWidth="1"/>
    <col min="13838" max="13839" width="15" style="213" bestFit="1" customWidth="1"/>
    <col min="13840" max="13842" width="10.90625" style="213"/>
    <col min="13843" max="13843" width="11.453125" style="213" customWidth="1"/>
    <col min="13844" max="13844" width="15" style="213" bestFit="1" customWidth="1"/>
    <col min="13845" max="13845" width="12.36328125" style="213" bestFit="1" customWidth="1"/>
    <col min="13846" max="13847" width="15" style="213" bestFit="1" customWidth="1"/>
    <col min="13848" max="13850" width="10.90625" style="213"/>
    <col min="13851" max="13851" width="11.453125" style="213" customWidth="1"/>
    <col min="13852" max="13852" width="15" style="213" bestFit="1" customWidth="1"/>
    <col min="13853" max="13853" width="12.36328125" style="213" bestFit="1" customWidth="1"/>
    <col min="13854" max="13855" width="15" style="213" bestFit="1" customWidth="1"/>
    <col min="13856" max="14082" width="10.90625" style="213"/>
    <col min="14083" max="14083" width="11.453125" style="213" customWidth="1"/>
    <col min="14084" max="14084" width="15" style="213" bestFit="1" customWidth="1"/>
    <col min="14085" max="14085" width="12.36328125" style="213" bestFit="1" customWidth="1"/>
    <col min="14086" max="14087" width="15" style="213" bestFit="1" customWidth="1"/>
    <col min="14088" max="14090" width="10.90625" style="213"/>
    <col min="14091" max="14091" width="11.453125" style="213" customWidth="1"/>
    <col min="14092" max="14092" width="15" style="213" bestFit="1" customWidth="1"/>
    <col min="14093" max="14093" width="12.36328125" style="213" bestFit="1" customWidth="1"/>
    <col min="14094" max="14095" width="15" style="213" bestFit="1" customWidth="1"/>
    <col min="14096" max="14098" width="10.90625" style="213"/>
    <col min="14099" max="14099" width="11.453125" style="213" customWidth="1"/>
    <col min="14100" max="14100" width="15" style="213" bestFit="1" customWidth="1"/>
    <col min="14101" max="14101" width="12.36328125" style="213" bestFit="1" customWidth="1"/>
    <col min="14102" max="14103" width="15" style="213" bestFit="1" customWidth="1"/>
    <col min="14104" max="14106" width="10.90625" style="213"/>
    <col min="14107" max="14107" width="11.453125" style="213" customWidth="1"/>
    <col min="14108" max="14108" width="15" style="213" bestFit="1" customWidth="1"/>
    <col min="14109" max="14109" width="12.36328125" style="213" bestFit="1" customWidth="1"/>
    <col min="14110" max="14111" width="15" style="213" bestFit="1" customWidth="1"/>
    <col min="14112" max="14338" width="10.90625" style="213"/>
    <col min="14339" max="14339" width="11.453125" style="213" customWidth="1"/>
    <col min="14340" max="14340" width="15" style="213" bestFit="1" customWidth="1"/>
    <col min="14341" max="14341" width="12.36328125" style="213" bestFit="1" customWidth="1"/>
    <col min="14342" max="14343" width="15" style="213" bestFit="1" customWidth="1"/>
    <col min="14344" max="14346" width="10.90625" style="213"/>
    <col min="14347" max="14347" width="11.453125" style="213" customWidth="1"/>
    <col min="14348" max="14348" width="15" style="213" bestFit="1" customWidth="1"/>
    <col min="14349" max="14349" width="12.36328125" style="213" bestFit="1" customWidth="1"/>
    <col min="14350" max="14351" width="15" style="213" bestFit="1" customWidth="1"/>
    <col min="14352" max="14354" width="10.90625" style="213"/>
    <col min="14355" max="14355" width="11.453125" style="213" customWidth="1"/>
    <col min="14356" max="14356" width="15" style="213" bestFit="1" customWidth="1"/>
    <col min="14357" max="14357" width="12.36328125" style="213" bestFit="1" customWidth="1"/>
    <col min="14358" max="14359" width="15" style="213" bestFit="1" customWidth="1"/>
    <col min="14360" max="14362" width="10.90625" style="213"/>
    <col min="14363" max="14363" width="11.453125" style="213" customWidth="1"/>
    <col min="14364" max="14364" width="15" style="213" bestFit="1" customWidth="1"/>
    <col min="14365" max="14365" width="12.36328125" style="213" bestFit="1" customWidth="1"/>
    <col min="14366" max="14367" width="15" style="213" bestFit="1" customWidth="1"/>
    <col min="14368" max="14594" width="10.90625" style="213"/>
    <col min="14595" max="14595" width="11.453125" style="213" customWidth="1"/>
    <col min="14596" max="14596" width="15" style="213" bestFit="1" customWidth="1"/>
    <col min="14597" max="14597" width="12.36328125" style="213" bestFit="1" customWidth="1"/>
    <col min="14598" max="14599" width="15" style="213" bestFit="1" customWidth="1"/>
    <col min="14600" max="14602" width="10.90625" style="213"/>
    <col min="14603" max="14603" width="11.453125" style="213" customWidth="1"/>
    <col min="14604" max="14604" width="15" style="213" bestFit="1" customWidth="1"/>
    <col min="14605" max="14605" width="12.36328125" style="213" bestFit="1" customWidth="1"/>
    <col min="14606" max="14607" width="15" style="213" bestFit="1" customWidth="1"/>
    <col min="14608" max="14610" width="10.90625" style="213"/>
    <col min="14611" max="14611" width="11.453125" style="213" customWidth="1"/>
    <col min="14612" max="14612" width="15" style="213" bestFit="1" customWidth="1"/>
    <col min="14613" max="14613" width="12.36328125" style="213" bestFit="1" customWidth="1"/>
    <col min="14614" max="14615" width="15" style="213" bestFit="1" customWidth="1"/>
    <col min="14616" max="14618" width="10.90625" style="213"/>
    <col min="14619" max="14619" width="11.453125" style="213" customWidth="1"/>
    <col min="14620" max="14620" width="15" style="213" bestFit="1" customWidth="1"/>
    <col min="14621" max="14621" width="12.36328125" style="213" bestFit="1" customWidth="1"/>
    <col min="14622" max="14623" width="15" style="213" bestFit="1" customWidth="1"/>
    <col min="14624" max="14850" width="10.90625" style="213"/>
    <col min="14851" max="14851" width="11.453125" style="213" customWidth="1"/>
    <col min="14852" max="14852" width="15" style="213" bestFit="1" customWidth="1"/>
    <col min="14853" max="14853" width="12.36328125" style="213" bestFit="1" customWidth="1"/>
    <col min="14854" max="14855" width="15" style="213" bestFit="1" customWidth="1"/>
    <col min="14856" max="14858" width="10.90625" style="213"/>
    <col min="14859" max="14859" width="11.453125" style="213" customWidth="1"/>
    <col min="14860" max="14860" width="15" style="213" bestFit="1" customWidth="1"/>
    <col min="14861" max="14861" width="12.36328125" style="213" bestFit="1" customWidth="1"/>
    <col min="14862" max="14863" width="15" style="213" bestFit="1" customWidth="1"/>
    <col min="14864" max="14866" width="10.90625" style="213"/>
    <col min="14867" max="14867" width="11.453125" style="213" customWidth="1"/>
    <col min="14868" max="14868" width="15" style="213" bestFit="1" customWidth="1"/>
    <col min="14869" max="14869" width="12.36328125" style="213" bestFit="1" customWidth="1"/>
    <col min="14870" max="14871" width="15" style="213" bestFit="1" customWidth="1"/>
    <col min="14872" max="14874" width="10.90625" style="213"/>
    <col min="14875" max="14875" width="11.453125" style="213" customWidth="1"/>
    <col min="14876" max="14876" width="15" style="213" bestFit="1" customWidth="1"/>
    <col min="14877" max="14877" width="12.36328125" style="213" bestFit="1" customWidth="1"/>
    <col min="14878" max="14879" width="15" style="213" bestFit="1" customWidth="1"/>
    <col min="14880" max="15106" width="10.90625" style="213"/>
    <col min="15107" max="15107" width="11.453125" style="213" customWidth="1"/>
    <col min="15108" max="15108" width="15" style="213" bestFit="1" customWidth="1"/>
    <col min="15109" max="15109" width="12.36328125" style="213" bestFit="1" customWidth="1"/>
    <col min="15110" max="15111" width="15" style="213" bestFit="1" customWidth="1"/>
    <col min="15112" max="15114" width="10.90625" style="213"/>
    <col min="15115" max="15115" width="11.453125" style="213" customWidth="1"/>
    <col min="15116" max="15116" width="15" style="213" bestFit="1" customWidth="1"/>
    <col min="15117" max="15117" width="12.36328125" style="213" bestFit="1" customWidth="1"/>
    <col min="15118" max="15119" width="15" style="213" bestFit="1" customWidth="1"/>
    <col min="15120" max="15122" width="10.90625" style="213"/>
    <col min="15123" max="15123" width="11.453125" style="213" customWidth="1"/>
    <col min="15124" max="15124" width="15" style="213" bestFit="1" customWidth="1"/>
    <col min="15125" max="15125" width="12.36328125" style="213" bestFit="1" customWidth="1"/>
    <col min="15126" max="15127" width="15" style="213" bestFit="1" customWidth="1"/>
    <col min="15128" max="15130" width="10.90625" style="213"/>
    <col min="15131" max="15131" width="11.453125" style="213" customWidth="1"/>
    <col min="15132" max="15132" width="15" style="213" bestFit="1" customWidth="1"/>
    <col min="15133" max="15133" width="12.36328125" style="213" bestFit="1" customWidth="1"/>
    <col min="15134" max="15135" width="15" style="213" bestFit="1" customWidth="1"/>
    <col min="15136" max="15362" width="10.90625" style="213"/>
    <col min="15363" max="15363" width="11.453125" style="213" customWidth="1"/>
    <col min="15364" max="15364" width="15" style="213" bestFit="1" customWidth="1"/>
    <col min="15365" max="15365" width="12.36328125" style="213" bestFit="1" customWidth="1"/>
    <col min="15366" max="15367" width="15" style="213" bestFit="1" customWidth="1"/>
    <col min="15368" max="15370" width="10.90625" style="213"/>
    <col min="15371" max="15371" width="11.453125" style="213" customWidth="1"/>
    <col min="15372" max="15372" width="15" style="213" bestFit="1" customWidth="1"/>
    <col min="15373" max="15373" width="12.36328125" style="213" bestFit="1" customWidth="1"/>
    <col min="15374" max="15375" width="15" style="213" bestFit="1" customWidth="1"/>
    <col min="15376" max="15378" width="10.90625" style="213"/>
    <col min="15379" max="15379" width="11.453125" style="213" customWidth="1"/>
    <col min="15380" max="15380" width="15" style="213" bestFit="1" customWidth="1"/>
    <col min="15381" max="15381" width="12.36328125" style="213" bestFit="1" customWidth="1"/>
    <col min="15382" max="15383" width="15" style="213" bestFit="1" customWidth="1"/>
    <col min="15384" max="15386" width="10.90625" style="213"/>
    <col min="15387" max="15387" width="11.453125" style="213" customWidth="1"/>
    <col min="15388" max="15388" width="15" style="213" bestFit="1" customWidth="1"/>
    <col min="15389" max="15389" width="12.36328125" style="213" bestFit="1" customWidth="1"/>
    <col min="15390" max="15391" width="15" style="213" bestFit="1" customWidth="1"/>
    <col min="15392" max="15618" width="10.90625" style="213"/>
    <col min="15619" max="15619" width="11.453125" style="213" customWidth="1"/>
    <col min="15620" max="15620" width="15" style="213" bestFit="1" customWidth="1"/>
    <col min="15621" max="15621" width="12.36328125" style="213" bestFit="1" customWidth="1"/>
    <col min="15622" max="15623" width="15" style="213" bestFit="1" customWidth="1"/>
    <col min="15624" max="15626" width="10.90625" style="213"/>
    <col min="15627" max="15627" width="11.453125" style="213" customWidth="1"/>
    <col min="15628" max="15628" width="15" style="213" bestFit="1" customWidth="1"/>
    <col min="15629" max="15629" width="12.36328125" style="213" bestFit="1" customWidth="1"/>
    <col min="15630" max="15631" width="15" style="213" bestFit="1" customWidth="1"/>
    <col min="15632" max="15634" width="10.90625" style="213"/>
    <col min="15635" max="15635" width="11.453125" style="213" customWidth="1"/>
    <col min="15636" max="15636" width="15" style="213" bestFit="1" customWidth="1"/>
    <col min="15637" max="15637" width="12.36328125" style="213" bestFit="1" customWidth="1"/>
    <col min="15638" max="15639" width="15" style="213" bestFit="1" customWidth="1"/>
    <col min="15640" max="15642" width="10.90625" style="213"/>
    <col min="15643" max="15643" width="11.453125" style="213" customWidth="1"/>
    <col min="15644" max="15644" width="15" style="213" bestFit="1" customWidth="1"/>
    <col min="15645" max="15645" width="12.36328125" style="213" bestFit="1" customWidth="1"/>
    <col min="15646" max="15647" width="15" style="213" bestFit="1" customWidth="1"/>
    <col min="15648" max="15874" width="10.90625" style="213"/>
    <col min="15875" max="15875" width="11.453125" style="213" customWidth="1"/>
    <col min="15876" max="15876" width="15" style="213" bestFit="1" customWidth="1"/>
    <col min="15877" max="15877" width="12.36328125" style="213" bestFit="1" customWidth="1"/>
    <col min="15878" max="15879" width="15" style="213" bestFit="1" customWidth="1"/>
    <col min="15880" max="15882" width="10.90625" style="213"/>
    <col min="15883" max="15883" width="11.453125" style="213" customWidth="1"/>
    <col min="15884" max="15884" width="15" style="213" bestFit="1" customWidth="1"/>
    <col min="15885" max="15885" width="12.36328125" style="213" bestFit="1" customWidth="1"/>
    <col min="15886" max="15887" width="15" style="213" bestFit="1" customWidth="1"/>
    <col min="15888" max="15890" width="10.90625" style="213"/>
    <col min="15891" max="15891" width="11.453125" style="213" customWidth="1"/>
    <col min="15892" max="15892" width="15" style="213" bestFit="1" customWidth="1"/>
    <col min="15893" max="15893" width="12.36328125" style="213" bestFit="1" customWidth="1"/>
    <col min="15894" max="15895" width="15" style="213" bestFit="1" customWidth="1"/>
    <col min="15896" max="15898" width="10.90625" style="213"/>
    <col min="15899" max="15899" width="11.453125" style="213" customWidth="1"/>
    <col min="15900" max="15900" width="15" style="213" bestFit="1" customWidth="1"/>
    <col min="15901" max="15901" width="12.36328125" style="213" bestFit="1" customWidth="1"/>
    <col min="15902" max="15903" width="15" style="213" bestFit="1" customWidth="1"/>
    <col min="15904" max="16130" width="10.90625" style="213"/>
    <col min="16131" max="16131" width="11.453125" style="213" customWidth="1"/>
    <col min="16132" max="16132" width="15" style="213" bestFit="1" customWidth="1"/>
    <col min="16133" max="16133" width="12.36328125" style="213" bestFit="1" customWidth="1"/>
    <col min="16134" max="16135" width="15" style="213" bestFit="1" customWidth="1"/>
    <col min="16136" max="16138" width="10.90625" style="213"/>
    <col min="16139" max="16139" width="11.453125" style="213" customWidth="1"/>
    <col min="16140" max="16140" width="15" style="213" bestFit="1" customWidth="1"/>
    <col min="16141" max="16141" width="12.36328125" style="213" bestFit="1" customWidth="1"/>
    <col min="16142" max="16143" width="15" style="213" bestFit="1" customWidth="1"/>
    <col min="16144" max="16146" width="10.90625" style="213"/>
    <col min="16147" max="16147" width="11.453125" style="213" customWidth="1"/>
    <col min="16148" max="16148" width="15" style="213" bestFit="1" customWidth="1"/>
    <col min="16149" max="16149" width="12.36328125" style="213" bestFit="1" customWidth="1"/>
    <col min="16150" max="16151" width="15" style="213" bestFit="1" customWidth="1"/>
    <col min="16152" max="16154" width="10.90625" style="213"/>
    <col min="16155" max="16155" width="11.453125" style="213" customWidth="1"/>
    <col min="16156" max="16156" width="15" style="213" bestFit="1" customWidth="1"/>
    <col min="16157" max="16157" width="12.36328125" style="213" bestFit="1" customWidth="1"/>
    <col min="16158" max="16159" width="15" style="213" bestFit="1" customWidth="1"/>
    <col min="16160" max="16384" width="10.90625" style="213"/>
  </cols>
  <sheetData>
    <row r="1" spans="2:31" ht="13" x14ac:dyDescent="0.3">
      <c r="B1" s="337" t="s">
        <v>212</v>
      </c>
      <c r="J1" s="337" t="s">
        <v>214</v>
      </c>
      <c r="R1" s="220" t="s">
        <v>727</v>
      </c>
      <c r="S1" s="211"/>
    </row>
    <row r="2" spans="2:31" ht="13" thickBot="1" x14ac:dyDescent="0.3"/>
    <row r="3" spans="2:31" ht="15" thickBot="1" x14ac:dyDescent="0.4">
      <c r="B3" s="339"/>
      <c r="C3" s="340" t="s">
        <v>371</v>
      </c>
      <c r="D3" s="341">
        <f>'S4 - Montage financier'!D4</f>
        <v>59289.999999999993</v>
      </c>
      <c r="J3" s="339"/>
      <c r="K3" s="340" t="s">
        <v>371</v>
      </c>
      <c r="L3" s="342">
        <f>'S4 - Montage financier'!D5</f>
        <v>152007</v>
      </c>
      <c r="R3" s="339"/>
      <c r="S3" s="340" t="s">
        <v>371</v>
      </c>
      <c r="T3" s="342">
        <f>'S4 - Montage financier'!D2</f>
        <v>670000</v>
      </c>
      <c r="Z3" s="339"/>
      <c r="AA3" s="340" t="s">
        <v>371</v>
      </c>
      <c r="AB3" s="342">
        <v>0</v>
      </c>
    </row>
    <row r="4" spans="2:31" ht="15" thickBot="1" x14ac:dyDescent="0.4">
      <c r="B4" s="343"/>
      <c r="C4" s="344" t="s">
        <v>372</v>
      </c>
      <c r="D4" s="345">
        <v>0.06</v>
      </c>
      <c r="J4" s="343"/>
      <c r="K4" s="344" t="s">
        <v>372</v>
      </c>
      <c r="L4" s="345">
        <v>0.1</v>
      </c>
      <c r="R4" s="343"/>
      <c r="S4" s="344" t="s">
        <v>372</v>
      </c>
      <c r="T4" s="345">
        <v>0.06</v>
      </c>
      <c r="Z4" s="343"/>
      <c r="AA4" s="344" t="s">
        <v>372</v>
      </c>
      <c r="AB4" s="345">
        <v>0</v>
      </c>
    </row>
    <row r="5" spans="2:31" ht="13" thickBot="1" x14ac:dyDescent="0.3">
      <c r="B5" s="339"/>
      <c r="C5" s="344" t="s">
        <v>373</v>
      </c>
      <c r="D5" s="346">
        <v>10</v>
      </c>
      <c r="E5" s="347" t="s">
        <v>374</v>
      </c>
      <c r="J5" s="339"/>
      <c r="K5" s="344" t="s">
        <v>373</v>
      </c>
      <c r="L5" s="346">
        <v>10</v>
      </c>
      <c r="M5" s="347" t="s">
        <v>374</v>
      </c>
      <c r="R5" s="339"/>
      <c r="S5" s="344" t="s">
        <v>373</v>
      </c>
      <c r="T5" s="346">
        <v>10</v>
      </c>
      <c r="U5" s="347" t="s">
        <v>374</v>
      </c>
      <c r="Z5" s="339"/>
      <c r="AA5" s="344" t="s">
        <v>373</v>
      </c>
      <c r="AB5" s="346">
        <v>0</v>
      </c>
      <c r="AC5" s="347" t="s">
        <v>374</v>
      </c>
    </row>
    <row r="6" spans="2:31" ht="13" thickBot="1" x14ac:dyDescent="0.3">
      <c r="C6" s="348" t="s">
        <v>375</v>
      </c>
      <c r="D6" s="349">
        <f>-PMT(D4/12,D5*12,D3)</f>
        <v>658.24055601203952</v>
      </c>
      <c r="E6" s="350" t="s">
        <v>376</v>
      </c>
      <c r="K6" s="348" t="s">
        <v>375</v>
      </c>
      <c r="L6" s="349">
        <f>-PMT(L4/12,L5*12,L3)</f>
        <v>2008.7837061185944</v>
      </c>
      <c r="M6" s="350" t="s">
        <v>376</v>
      </c>
      <c r="S6" s="348" t="s">
        <v>375</v>
      </c>
      <c r="T6" s="349">
        <f>-PMT(T4/12,T5*12,T3)</f>
        <v>7438.373630090513</v>
      </c>
      <c r="U6" s="350" t="s">
        <v>376</v>
      </c>
      <c r="AA6" s="348" t="s">
        <v>375</v>
      </c>
      <c r="AB6" s="349" t="e">
        <f>-PMT(AB4/12,AB5*12,AB3)</f>
        <v>#NUM!</v>
      </c>
      <c r="AC6" s="350" t="s">
        <v>376</v>
      </c>
    </row>
    <row r="8" spans="2:31" ht="13" thickBot="1" x14ac:dyDescent="0.3"/>
    <row r="9" spans="2:31" ht="25.5" thickBot="1" x14ac:dyDescent="0.3">
      <c r="B9" s="351" t="s">
        <v>377</v>
      </c>
      <c r="C9" s="351" t="s">
        <v>378</v>
      </c>
      <c r="D9" s="352" t="s">
        <v>379</v>
      </c>
      <c r="E9" s="351" t="s">
        <v>380</v>
      </c>
      <c r="F9" s="352" t="s">
        <v>381</v>
      </c>
      <c r="G9" s="353" t="s">
        <v>382</v>
      </c>
      <c r="J9" s="351" t="s">
        <v>377</v>
      </c>
      <c r="K9" s="351" t="s">
        <v>378</v>
      </c>
      <c r="L9" s="352" t="s">
        <v>379</v>
      </c>
      <c r="M9" s="351" t="s">
        <v>380</v>
      </c>
      <c r="N9" s="352" t="s">
        <v>381</v>
      </c>
      <c r="O9" s="353" t="s">
        <v>382</v>
      </c>
      <c r="R9" s="351" t="s">
        <v>377</v>
      </c>
      <c r="S9" s="351" t="s">
        <v>378</v>
      </c>
      <c r="T9" s="352" t="s">
        <v>379</v>
      </c>
      <c r="U9" s="351" t="s">
        <v>380</v>
      </c>
      <c r="V9" s="352" t="s">
        <v>381</v>
      </c>
      <c r="W9" s="353" t="s">
        <v>382</v>
      </c>
      <c r="Z9" s="351" t="s">
        <v>377</v>
      </c>
      <c r="AA9" s="351" t="s">
        <v>378</v>
      </c>
      <c r="AB9" s="352" t="s">
        <v>379</v>
      </c>
      <c r="AC9" s="351" t="s">
        <v>380</v>
      </c>
      <c r="AD9" s="352" t="s">
        <v>381</v>
      </c>
      <c r="AE9" s="353" t="s">
        <v>382</v>
      </c>
    </row>
    <row r="10" spans="2:31" x14ac:dyDescent="0.25">
      <c r="B10" s="354" t="s">
        <v>383</v>
      </c>
      <c r="C10" s="355">
        <f>D6-D10</f>
        <v>361.79055601203953</v>
      </c>
      <c r="D10" s="481">
        <f>D4/12*D3</f>
        <v>296.45</v>
      </c>
      <c r="E10" s="357">
        <f>C10</f>
        <v>361.79055601203953</v>
      </c>
      <c r="F10" s="358">
        <f>D10</f>
        <v>296.45</v>
      </c>
      <c r="G10" s="359">
        <f>D3-C10</f>
        <v>58928.209443987951</v>
      </c>
      <c r="J10" s="354" t="str">
        <f t="shared" ref="J10:J73" si="0">B10</f>
        <v>M1</v>
      </c>
      <c r="K10" s="355">
        <f>L6-L10</f>
        <v>742.0587061185945</v>
      </c>
      <c r="L10" s="481">
        <f>L4/12*L3</f>
        <v>1266.7249999999999</v>
      </c>
      <c r="M10" s="357">
        <f>K10</f>
        <v>742.0587061185945</v>
      </c>
      <c r="N10" s="358">
        <f>L10</f>
        <v>1266.7249999999999</v>
      </c>
      <c r="O10" s="359">
        <f>L3-K10</f>
        <v>151264.94129388139</v>
      </c>
      <c r="R10" s="354"/>
      <c r="S10" s="355">
        <f>T6-T10</f>
        <v>4088.373630090513</v>
      </c>
      <c r="T10" s="356">
        <f>T4/12*T3</f>
        <v>3350</v>
      </c>
      <c r="U10" s="357">
        <f>S10</f>
        <v>4088.373630090513</v>
      </c>
      <c r="V10" s="358">
        <f>T10</f>
        <v>3350</v>
      </c>
      <c r="W10" s="359">
        <f>T3-S10</f>
        <v>665911.6263699095</v>
      </c>
      <c r="Z10" s="354"/>
      <c r="AA10" s="355" t="e">
        <f>AB6-AB10</f>
        <v>#NUM!</v>
      </c>
      <c r="AB10" s="356">
        <f>AB4/12*AB3</f>
        <v>0</v>
      </c>
      <c r="AC10" s="357" t="e">
        <f>AA10</f>
        <v>#NUM!</v>
      </c>
      <c r="AD10" s="358">
        <f>AB10</f>
        <v>0</v>
      </c>
      <c r="AE10" s="359" t="e">
        <f>AB3-AA10</f>
        <v>#NUM!</v>
      </c>
    </row>
    <row r="11" spans="2:31" x14ac:dyDescent="0.25">
      <c r="B11" s="354" t="s">
        <v>384</v>
      </c>
      <c r="C11" s="355">
        <f>$D$6-D11</f>
        <v>363.59950879209975</v>
      </c>
      <c r="D11" s="481">
        <f>$D$4/12*G10</f>
        <v>294.64104721993976</v>
      </c>
      <c r="E11" s="357">
        <f>E10+C11</f>
        <v>725.39006480413923</v>
      </c>
      <c r="F11" s="358">
        <f>F10+D11</f>
        <v>591.09104721993981</v>
      </c>
      <c r="G11" s="359">
        <f>G10-C11</f>
        <v>58564.609935195855</v>
      </c>
      <c r="J11" s="354" t="str">
        <f t="shared" si="0"/>
        <v>M2</v>
      </c>
      <c r="K11" s="355">
        <f>$L$6-L11</f>
        <v>748.24252866958273</v>
      </c>
      <c r="L11" s="481">
        <f>$L$4/12*O10</f>
        <v>1260.5411774490117</v>
      </c>
      <c r="M11" s="357">
        <f>M10+K11</f>
        <v>1490.3012347881772</v>
      </c>
      <c r="N11" s="358">
        <f>N10+L11</f>
        <v>2527.2661774490116</v>
      </c>
      <c r="O11" s="359">
        <f>O10-K11</f>
        <v>150516.6987652118</v>
      </c>
      <c r="R11" s="354"/>
      <c r="S11" s="355">
        <f>$T$6-T11</f>
        <v>4108.8154982409651</v>
      </c>
      <c r="T11" s="356">
        <f>$T$4/12*W10</f>
        <v>3329.5581318495474</v>
      </c>
      <c r="U11" s="357">
        <f t="shared" ref="U11:V26" si="1">U10+S11</f>
        <v>8197.1891283314781</v>
      </c>
      <c r="V11" s="358">
        <f t="shared" si="1"/>
        <v>6679.5581318495479</v>
      </c>
      <c r="W11" s="359">
        <f>W10-S11</f>
        <v>661802.81087166851</v>
      </c>
      <c r="Z11" s="354"/>
      <c r="AA11" s="355" t="e">
        <f>$AB$6-AB11</f>
        <v>#NUM!</v>
      </c>
      <c r="AB11" s="356" t="e">
        <f>$AB$4/12*AE10</f>
        <v>#NUM!</v>
      </c>
      <c r="AC11" s="357" t="e">
        <f t="shared" ref="AC11:AD26" si="2">AC10+AA11</f>
        <v>#NUM!</v>
      </c>
      <c r="AD11" s="358" t="e">
        <f t="shared" si="2"/>
        <v>#NUM!</v>
      </c>
      <c r="AE11" s="359" t="e">
        <f>AE10-AA11</f>
        <v>#NUM!</v>
      </c>
    </row>
    <row r="12" spans="2:31" x14ac:dyDescent="0.25">
      <c r="B12" s="354" t="s">
        <v>86</v>
      </c>
      <c r="C12" s="355">
        <f t="shared" ref="C12:C75" si="3">$D$6-D12</f>
        <v>365.41750633606023</v>
      </c>
      <c r="D12" s="481">
        <f t="shared" ref="D12:D75" si="4">$D$4/12*G11</f>
        <v>292.82304967597929</v>
      </c>
      <c r="E12" s="357">
        <f t="shared" ref="E12:F27" si="5">E11+C12</f>
        <v>1090.8075711401993</v>
      </c>
      <c r="F12" s="358">
        <f t="shared" si="5"/>
        <v>883.9140968959191</v>
      </c>
      <c r="G12" s="359">
        <f t="shared" ref="G12:G75" si="6">G11-C12</f>
        <v>58199.192428859795</v>
      </c>
      <c r="J12" s="354" t="str">
        <f t="shared" si="0"/>
        <v>M3</v>
      </c>
      <c r="K12" s="355">
        <f t="shared" ref="K12:K75" si="7">$L$6-L12</f>
        <v>754.47788307516271</v>
      </c>
      <c r="L12" s="481">
        <f>$L$4/12*O11</f>
        <v>1254.3058230434317</v>
      </c>
      <c r="M12" s="357">
        <f t="shared" ref="M12:N27" si="8">M11+K12</f>
        <v>2244.7791178633397</v>
      </c>
      <c r="N12" s="358">
        <f t="shared" si="8"/>
        <v>3781.5720004924433</v>
      </c>
      <c r="O12" s="359">
        <f t="shared" ref="O12:O75" si="9">O11-K12</f>
        <v>149762.22088213664</v>
      </c>
      <c r="R12" s="354"/>
      <c r="S12" s="355">
        <f t="shared" ref="S12:S75" si="10">$T$6-T12</f>
        <v>1923.350206159942</v>
      </c>
      <c r="T12" s="356">
        <f>$L$4/12*W11</f>
        <v>5515.023423930571</v>
      </c>
      <c r="U12" s="357">
        <f t="shared" si="1"/>
        <v>10120.539334491419</v>
      </c>
      <c r="V12" s="358">
        <f t="shared" si="1"/>
        <v>12194.581555780118</v>
      </c>
      <c r="W12" s="359">
        <f t="shared" ref="W12:W75" si="11">W11-S12</f>
        <v>659879.46066550852</v>
      </c>
      <c r="Z12" s="354"/>
      <c r="AA12" s="355" t="e">
        <f t="shared" ref="AA12:AA75" si="12">$T$6-AB12</f>
        <v>#NUM!</v>
      </c>
      <c r="AB12" s="356" t="e">
        <f t="shared" ref="AB12:AB75" si="13">$AB$4/12*AE11</f>
        <v>#NUM!</v>
      </c>
      <c r="AC12" s="357" t="e">
        <f t="shared" si="2"/>
        <v>#NUM!</v>
      </c>
      <c r="AD12" s="358" t="e">
        <f t="shared" si="2"/>
        <v>#NUM!</v>
      </c>
      <c r="AE12" s="359" t="e">
        <f t="shared" ref="AE12:AE75" si="14">AE11-AA12</f>
        <v>#NUM!</v>
      </c>
    </row>
    <row r="13" spans="2:31" x14ac:dyDescent="0.25">
      <c r="B13" s="354" t="s">
        <v>385</v>
      </c>
      <c r="C13" s="355">
        <f t="shared" si="3"/>
        <v>367.24459386774055</v>
      </c>
      <c r="D13" s="356">
        <f t="shared" si="4"/>
        <v>290.99596214429897</v>
      </c>
      <c r="E13" s="357">
        <f t="shared" si="5"/>
        <v>1458.0521650079399</v>
      </c>
      <c r="F13" s="358">
        <f t="shared" si="5"/>
        <v>1174.9100590402181</v>
      </c>
      <c r="G13" s="359">
        <f t="shared" si="6"/>
        <v>57831.947834992054</v>
      </c>
      <c r="J13" s="354" t="str">
        <f t="shared" si="0"/>
        <v>M4</v>
      </c>
      <c r="K13" s="355">
        <f t="shared" si="7"/>
        <v>760.76519876745579</v>
      </c>
      <c r="L13" s="356">
        <f t="shared" ref="L13:L76" si="15">$L$4/12*O12</f>
        <v>1248.0185073511386</v>
      </c>
      <c r="M13" s="357">
        <f t="shared" si="8"/>
        <v>3005.5443166307955</v>
      </c>
      <c r="N13" s="358">
        <f t="shared" si="8"/>
        <v>5029.5905078435817</v>
      </c>
      <c r="O13" s="359">
        <f t="shared" si="9"/>
        <v>149001.45568336919</v>
      </c>
      <c r="R13" s="354"/>
      <c r="S13" s="355">
        <f t="shared" si="10"/>
        <v>1939.3781245446089</v>
      </c>
      <c r="T13" s="356">
        <f t="shared" ref="T13:T76" si="16">$L$4/12*W12</f>
        <v>5498.9955055459041</v>
      </c>
      <c r="U13" s="357">
        <f t="shared" si="1"/>
        <v>12059.917459036027</v>
      </c>
      <c r="V13" s="358">
        <f t="shared" si="1"/>
        <v>17693.577061326021</v>
      </c>
      <c r="W13" s="359">
        <f t="shared" si="11"/>
        <v>657940.08254096389</v>
      </c>
      <c r="Z13" s="354"/>
      <c r="AA13" s="355" t="e">
        <f t="shared" si="12"/>
        <v>#NUM!</v>
      </c>
      <c r="AB13" s="356" t="e">
        <f t="shared" si="13"/>
        <v>#NUM!</v>
      </c>
      <c r="AC13" s="357" t="e">
        <f t="shared" si="2"/>
        <v>#NUM!</v>
      </c>
      <c r="AD13" s="358" t="e">
        <f t="shared" si="2"/>
        <v>#NUM!</v>
      </c>
      <c r="AE13" s="359" t="e">
        <f t="shared" si="14"/>
        <v>#NUM!</v>
      </c>
    </row>
    <row r="14" spans="2:31" x14ac:dyDescent="0.25">
      <c r="B14" s="354" t="s">
        <v>386</v>
      </c>
      <c r="C14" s="355">
        <f t="shared" si="3"/>
        <v>369.08081683707923</v>
      </c>
      <c r="D14" s="356">
        <f t="shared" si="4"/>
        <v>289.15973917496029</v>
      </c>
      <c r="E14" s="357">
        <f t="shared" si="5"/>
        <v>1827.1329818450192</v>
      </c>
      <c r="F14" s="358">
        <f t="shared" si="5"/>
        <v>1464.0697982151785</v>
      </c>
      <c r="G14" s="359">
        <f t="shared" si="6"/>
        <v>57462.867018154975</v>
      </c>
      <c r="J14" s="354" t="str">
        <f t="shared" si="0"/>
        <v>M5</v>
      </c>
      <c r="K14" s="355">
        <f t="shared" si="7"/>
        <v>767.1049087571846</v>
      </c>
      <c r="L14" s="356">
        <f t="shared" si="15"/>
        <v>1241.6787973614098</v>
      </c>
      <c r="M14" s="357">
        <f t="shared" si="8"/>
        <v>3772.6492253879801</v>
      </c>
      <c r="N14" s="358">
        <f>N13+L14</f>
        <v>6271.2693052049917</v>
      </c>
      <c r="O14" s="359">
        <f t="shared" si="9"/>
        <v>148234.35077461202</v>
      </c>
      <c r="R14" s="354"/>
      <c r="S14" s="355">
        <f t="shared" si="10"/>
        <v>1955.5396089158139</v>
      </c>
      <c r="T14" s="356">
        <f t="shared" si="16"/>
        <v>5482.834021174699</v>
      </c>
      <c r="U14" s="357">
        <f t="shared" si="1"/>
        <v>14015.45706795184</v>
      </c>
      <c r="V14" s="358">
        <f t="shared" si="1"/>
        <v>23176.411082500719</v>
      </c>
      <c r="W14" s="359">
        <f t="shared" si="11"/>
        <v>655984.54293204809</v>
      </c>
      <c r="Z14" s="354"/>
      <c r="AA14" s="355" t="e">
        <f t="shared" si="12"/>
        <v>#NUM!</v>
      </c>
      <c r="AB14" s="356" t="e">
        <f t="shared" si="13"/>
        <v>#NUM!</v>
      </c>
      <c r="AC14" s="357" t="e">
        <f t="shared" si="2"/>
        <v>#NUM!</v>
      </c>
      <c r="AD14" s="358" t="e">
        <f t="shared" si="2"/>
        <v>#NUM!</v>
      </c>
      <c r="AE14" s="359" t="e">
        <f t="shared" si="14"/>
        <v>#NUM!</v>
      </c>
    </row>
    <row r="15" spans="2:31" x14ac:dyDescent="0.25">
      <c r="B15" s="354" t="s">
        <v>387</v>
      </c>
      <c r="C15" s="355">
        <f t="shared" si="3"/>
        <v>370.92622092126464</v>
      </c>
      <c r="D15" s="356">
        <f t="shared" si="4"/>
        <v>287.31433509077488</v>
      </c>
      <c r="E15" s="357">
        <f t="shared" si="5"/>
        <v>2198.0592027662838</v>
      </c>
      <c r="F15" s="358">
        <f t="shared" si="5"/>
        <v>1751.3841333059534</v>
      </c>
      <c r="G15" s="359">
        <f t="shared" si="6"/>
        <v>57091.940797233714</v>
      </c>
      <c r="J15" s="354" t="str">
        <f t="shared" si="0"/>
        <v>M6</v>
      </c>
      <c r="K15" s="355">
        <f t="shared" si="7"/>
        <v>773.49744966349431</v>
      </c>
      <c r="L15" s="356">
        <f t="shared" si="15"/>
        <v>1235.2862564551001</v>
      </c>
      <c r="M15" s="357">
        <f>M14+K15</f>
        <v>4546.1466750514746</v>
      </c>
      <c r="N15" s="358">
        <f t="shared" si="8"/>
        <v>7506.5555616600923</v>
      </c>
      <c r="O15" s="359">
        <f t="shared" si="9"/>
        <v>147460.85332494852</v>
      </c>
      <c r="R15" s="354"/>
      <c r="S15" s="355">
        <f t="shared" si="10"/>
        <v>1971.8357723234458</v>
      </c>
      <c r="T15" s="356">
        <f t="shared" si="16"/>
        <v>5466.5378577670672</v>
      </c>
      <c r="U15" s="357">
        <f>U14+S15</f>
        <v>15987.292840275286</v>
      </c>
      <c r="V15" s="358">
        <f t="shared" si="1"/>
        <v>28642.948940267786</v>
      </c>
      <c r="W15" s="359">
        <f t="shared" si="11"/>
        <v>654012.70715972467</v>
      </c>
      <c r="Z15" s="354"/>
      <c r="AA15" s="355" t="e">
        <f t="shared" si="12"/>
        <v>#NUM!</v>
      </c>
      <c r="AB15" s="356" t="e">
        <f t="shared" si="13"/>
        <v>#NUM!</v>
      </c>
      <c r="AC15" s="357" t="e">
        <f>AC14+AA15</f>
        <v>#NUM!</v>
      </c>
      <c r="AD15" s="358" t="e">
        <f t="shared" si="2"/>
        <v>#NUM!</v>
      </c>
      <c r="AE15" s="359" t="e">
        <f t="shared" si="14"/>
        <v>#NUM!</v>
      </c>
    </row>
    <row r="16" spans="2:31" x14ac:dyDescent="0.25">
      <c r="B16" s="354" t="s">
        <v>388</v>
      </c>
      <c r="C16" s="355">
        <f t="shared" si="3"/>
        <v>372.78085202587096</v>
      </c>
      <c r="D16" s="356">
        <f t="shared" si="4"/>
        <v>285.45970398616856</v>
      </c>
      <c r="E16" s="357">
        <f t="shared" si="5"/>
        <v>2570.8400547921547</v>
      </c>
      <c r="F16" s="358">
        <f t="shared" si="5"/>
        <v>2036.8438372921219</v>
      </c>
      <c r="G16" s="359">
        <f t="shared" si="6"/>
        <v>56719.159945207844</v>
      </c>
      <c r="J16" s="354" t="str">
        <f t="shared" si="0"/>
        <v>M7</v>
      </c>
      <c r="K16" s="355">
        <f t="shared" si="7"/>
        <v>779.9432617440234</v>
      </c>
      <c r="L16" s="356">
        <f t="shared" si="15"/>
        <v>1228.840444374571</v>
      </c>
      <c r="M16" s="357">
        <f t="shared" si="8"/>
        <v>5326.089936795498</v>
      </c>
      <c r="N16" s="358">
        <f t="shared" si="8"/>
        <v>8735.3960060346635</v>
      </c>
      <c r="O16" s="359">
        <f t="shared" si="9"/>
        <v>146680.9100632045</v>
      </c>
      <c r="R16" s="354"/>
      <c r="S16" s="355">
        <f t="shared" si="10"/>
        <v>1988.2677370928077</v>
      </c>
      <c r="T16" s="356">
        <f t="shared" si="16"/>
        <v>5450.1058929977053</v>
      </c>
      <c r="U16" s="357">
        <f t="shared" ref="U16:V31" si="17">U15+S16</f>
        <v>17975.560577368095</v>
      </c>
      <c r="V16" s="358">
        <f t="shared" si="1"/>
        <v>34093.054833265494</v>
      </c>
      <c r="W16" s="359">
        <f t="shared" si="11"/>
        <v>652024.43942263187</v>
      </c>
      <c r="Z16" s="354"/>
      <c r="AA16" s="355" t="e">
        <f t="shared" si="12"/>
        <v>#NUM!</v>
      </c>
      <c r="AB16" s="356" t="e">
        <f t="shared" si="13"/>
        <v>#NUM!</v>
      </c>
      <c r="AC16" s="357" t="e">
        <f t="shared" ref="AC16:AD31" si="18">AC15+AA16</f>
        <v>#NUM!</v>
      </c>
      <c r="AD16" s="358" t="e">
        <f t="shared" si="2"/>
        <v>#NUM!</v>
      </c>
      <c r="AE16" s="359" t="e">
        <f t="shared" si="14"/>
        <v>#NUM!</v>
      </c>
    </row>
    <row r="17" spans="2:31" x14ac:dyDescent="0.25">
      <c r="B17" s="354" t="s">
        <v>389</v>
      </c>
      <c r="C17" s="355">
        <f t="shared" si="3"/>
        <v>374.6447562860003</v>
      </c>
      <c r="D17" s="356">
        <f t="shared" si="4"/>
        <v>283.59579972603922</v>
      </c>
      <c r="E17" s="357">
        <f t="shared" si="5"/>
        <v>2945.484811078155</v>
      </c>
      <c r="F17" s="358">
        <f t="shared" si="5"/>
        <v>2320.4396370181612</v>
      </c>
      <c r="G17" s="359">
        <f t="shared" si="6"/>
        <v>56344.515188921847</v>
      </c>
      <c r="J17" s="354" t="str">
        <f t="shared" si="0"/>
        <v>M8</v>
      </c>
      <c r="K17" s="355">
        <f t="shared" si="7"/>
        <v>786.44278892522357</v>
      </c>
      <c r="L17" s="356">
        <f t="shared" si="15"/>
        <v>1222.3409171933708</v>
      </c>
      <c r="M17" s="357">
        <f t="shared" si="8"/>
        <v>6112.5327257207218</v>
      </c>
      <c r="N17" s="358">
        <f t="shared" si="8"/>
        <v>9957.7369232280344</v>
      </c>
      <c r="O17" s="359">
        <f t="shared" si="9"/>
        <v>145894.46727427928</v>
      </c>
      <c r="R17" s="354"/>
      <c r="S17" s="355">
        <f t="shared" si="10"/>
        <v>2004.8366349019143</v>
      </c>
      <c r="T17" s="356">
        <f t="shared" si="16"/>
        <v>5433.5369951885987</v>
      </c>
      <c r="U17" s="357">
        <f t="shared" si="17"/>
        <v>19980.397212270007</v>
      </c>
      <c r="V17" s="358">
        <f t="shared" si="1"/>
        <v>39526.591828454097</v>
      </c>
      <c r="W17" s="359">
        <f t="shared" si="11"/>
        <v>650019.60278772993</v>
      </c>
      <c r="Z17" s="354"/>
      <c r="AA17" s="355" t="e">
        <f t="shared" si="12"/>
        <v>#NUM!</v>
      </c>
      <c r="AB17" s="356" t="e">
        <f t="shared" si="13"/>
        <v>#NUM!</v>
      </c>
      <c r="AC17" s="357" t="e">
        <f t="shared" si="18"/>
        <v>#NUM!</v>
      </c>
      <c r="AD17" s="358" t="e">
        <f t="shared" si="2"/>
        <v>#NUM!</v>
      </c>
      <c r="AE17" s="359" t="e">
        <f t="shared" si="14"/>
        <v>#NUM!</v>
      </c>
    </row>
    <row r="18" spans="2:31" x14ac:dyDescent="0.25">
      <c r="B18" s="354" t="s">
        <v>390</v>
      </c>
      <c r="C18" s="355">
        <f t="shared" si="3"/>
        <v>376.5179800674303</v>
      </c>
      <c r="D18" s="356">
        <f t="shared" si="4"/>
        <v>281.72257594460922</v>
      </c>
      <c r="E18" s="357">
        <f t="shared" si="5"/>
        <v>3322.0027911455854</v>
      </c>
      <c r="F18" s="358">
        <f t="shared" si="5"/>
        <v>2602.1622129627704</v>
      </c>
      <c r="G18" s="359">
        <f t="shared" si="6"/>
        <v>55967.997208854416</v>
      </c>
      <c r="J18" s="354" t="str">
        <f t="shared" si="0"/>
        <v>M9</v>
      </c>
      <c r="K18" s="355">
        <f t="shared" si="7"/>
        <v>792.99647883293369</v>
      </c>
      <c r="L18" s="356">
        <f t="shared" si="15"/>
        <v>1215.7872272856607</v>
      </c>
      <c r="M18" s="357">
        <f t="shared" si="8"/>
        <v>6905.5292045536553</v>
      </c>
      <c r="N18" s="358">
        <f t="shared" si="8"/>
        <v>11173.524150513695</v>
      </c>
      <c r="O18" s="359">
        <f t="shared" si="9"/>
        <v>145101.47079544634</v>
      </c>
      <c r="R18" s="354"/>
      <c r="S18" s="355">
        <f t="shared" si="10"/>
        <v>2021.5436068594299</v>
      </c>
      <c r="T18" s="356">
        <f t="shared" si="16"/>
        <v>5416.830023231083</v>
      </c>
      <c r="U18" s="357">
        <f t="shared" si="17"/>
        <v>22001.940819129435</v>
      </c>
      <c r="V18" s="358">
        <f t="shared" si="1"/>
        <v>44943.421851685183</v>
      </c>
      <c r="W18" s="359">
        <f t="shared" si="11"/>
        <v>647998.05918087054</v>
      </c>
      <c r="Z18" s="354"/>
      <c r="AA18" s="355" t="e">
        <f t="shared" si="12"/>
        <v>#NUM!</v>
      </c>
      <c r="AB18" s="356" t="e">
        <f t="shared" si="13"/>
        <v>#NUM!</v>
      </c>
      <c r="AC18" s="357" t="e">
        <f t="shared" si="18"/>
        <v>#NUM!</v>
      </c>
      <c r="AD18" s="358" t="e">
        <f t="shared" si="2"/>
        <v>#NUM!</v>
      </c>
      <c r="AE18" s="359" t="e">
        <f t="shared" si="14"/>
        <v>#NUM!</v>
      </c>
    </row>
    <row r="19" spans="2:31" x14ac:dyDescent="0.25">
      <c r="B19" s="354" t="s">
        <v>391</v>
      </c>
      <c r="C19" s="355">
        <f t="shared" si="3"/>
        <v>378.40056996776741</v>
      </c>
      <c r="D19" s="356">
        <f t="shared" si="4"/>
        <v>279.83998604427211</v>
      </c>
      <c r="E19" s="357">
        <f t="shared" si="5"/>
        <v>3700.4033611133527</v>
      </c>
      <c r="F19" s="358">
        <f t="shared" si="5"/>
        <v>2882.0021990070427</v>
      </c>
      <c r="G19" s="359">
        <f t="shared" si="6"/>
        <v>55589.596638886651</v>
      </c>
      <c r="J19" s="354" t="str">
        <f t="shared" si="0"/>
        <v>M10</v>
      </c>
      <c r="K19" s="355">
        <f t="shared" si="7"/>
        <v>799.60478282320832</v>
      </c>
      <c r="L19" s="356">
        <f t="shared" si="15"/>
        <v>1209.1789232953861</v>
      </c>
      <c r="M19" s="357">
        <f t="shared" si="8"/>
        <v>7705.1339873768638</v>
      </c>
      <c r="N19" s="358">
        <f t="shared" si="8"/>
        <v>12382.70307380908</v>
      </c>
      <c r="O19" s="359">
        <f t="shared" si="9"/>
        <v>144301.86601262313</v>
      </c>
      <c r="R19" s="354"/>
      <c r="S19" s="355">
        <f t="shared" si="10"/>
        <v>2038.389803583259</v>
      </c>
      <c r="T19" s="356">
        <f t="shared" si="16"/>
        <v>5399.983826507254</v>
      </c>
      <c r="U19" s="357">
        <f t="shared" si="17"/>
        <v>24040.330622712696</v>
      </c>
      <c r="V19" s="358">
        <f t="shared" si="1"/>
        <v>50343.405678192437</v>
      </c>
      <c r="W19" s="359">
        <f t="shared" si="11"/>
        <v>645959.66937728727</v>
      </c>
      <c r="Z19" s="354"/>
      <c r="AA19" s="355" t="e">
        <f t="shared" si="12"/>
        <v>#NUM!</v>
      </c>
      <c r="AB19" s="356" t="e">
        <f t="shared" si="13"/>
        <v>#NUM!</v>
      </c>
      <c r="AC19" s="357" t="e">
        <f t="shared" si="18"/>
        <v>#NUM!</v>
      </c>
      <c r="AD19" s="358" t="e">
        <f t="shared" si="2"/>
        <v>#NUM!</v>
      </c>
      <c r="AE19" s="359" t="e">
        <f t="shared" si="14"/>
        <v>#NUM!</v>
      </c>
    </row>
    <row r="20" spans="2:31" x14ac:dyDescent="0.25">
      <c r="B20" s="354" t="s">
        <v>392</v>
      </c>
      <c r="C20" s="355">
        <f t="shared" si="3"/>
        <v>380.29257281760624</v>
      </c>
      <c r="D20" s="356">
        <f t="shared" si="4"/>
        <v>277.94798319443328</v>
      </c>
      <c r="E20" s="357">
        <f t="shared" si="5"/>
        <v>4080.6959339309587</v>
      </c>
      <c r="F20" s="358">
        <f t="shared" si="5"/>
        <v>3159.9501822014759</v>
      </c>
      <c r="G20" s="359">
        <f t="shared" si="6"/>
        <v>55209.304066069046</v>
      </c>
      <c r="J20" s="354" t="str">
        <f t="shared" si="0"/>
        <v>M11</v>
      </c>
      <c r="K20" s="355">
        <f t="shared" si="7"/>
        <v>806.26815601340172</v>
      </c>
      <c r="L20" s="356">
        <f t="shared" si="15"/>
        <v>1202.5155501051927</v>
      </c>
      <c r="M20" s="357">
        <f t="shared" si="8"/>
        <v>8511.4021433902653</v>
      </c>
      <c r="N20" s="358">
        <f t="shared" si="8"/>
        <v>13585.218623914272</v>
      </c>
      <c r="O20" s="359">
        <f t="shared" si="9"/>
        <v>143495.59785660973</v>
      </c>
      <c r="R20" s="354"/>
      <c r="S20" s="355">
        <f t="shared" si="10"/>
        <v>2055.3763852797856</v>
      </c>
      <c r="T20" s="356">
        <f t="shared" si="16"/>
        <v>5382.9972448107274</v>
      </c>
      <c r="U20" s="357">
        <f t="shared" si="17"/>
        <v>26095.707007992482</v>
      </c>
      <c r="V20" s="358">
        <f t="shared" si="1"/>
        <v>55726.402923003167</v>
      </c>
      <c r="W20" s="359">
        <f t="shared" si="11"/>
        <v>643904.29299200745</v>
      </c>
      <c r="Z20" s="354"/>
      <c r="AA20" s="355" t="e">
        <f t="shared" si="12"/>
        <v>#NUM!</v>
      </c>
      <c r="AB20" s="356" t="e">
        <f t="shared" si="13"/>
        <v>#NUM!</v>
      </c>
      <c r="AC20" s="357" t="e">
        <f t="shared" si="18"/>
        <v>#NUM!</v>
      </c>
      <c r="AD20" s="358" t="e">
        <f t="shared" si="2"/>
        <v>#NUM!</v>
      </c>
      <c r="AE20" s="359" t="e">
        <f t="shared" si="14"/>
        <v>#NUM!</v>
      </c>
    </row>
    <row r="21" spans="2:31" x14ac:dyDescent="0.25">
      <c r="B21" s="354" t="s">
        <v>393</v>
      </c>
      <c r="C21" s="355">
        <f t="shared" si="3"/>
        <v>382.19403568169429</v>
      </c>
      <c r="D21" s="356">
        <f t="shared" si="4"/>
        <v>276.04652033034523</v>
      </c>
      <c r="E21" s="357">
        <f t="shared" si="5"/>
        <v>4462.8899696126527</v>
      </c>
      <c r="F21" s="358">
        <f t="shared" si="5"/>
        <v>3435.996702531821</v>
      </c>
      <c r="G21" s="359">
        <f t="shared" si="6"/>
        <v>54827.110030387354</v>
      </c>
      <c r="J21" s="354" t="str">
        <f t="shared" si="0"/>
        <v>M12</v>
      </c>
      <c r="K21" s="355">
        <f t="shared" si="7"/>
        <v>812.98705731351333</v>
      </c>
      <c r="L21" s="356">
        <f t="shared" si="15"/>
        <v>1195.7966488050811</v>
      </c>
      <c r="M21" s="357">
        <f t="shared" si="8"/>
        <v>9324.3892007037794</v>
      </c>
      <c r="N21" s="358">
        <f t="shared" si="8"/>
        <v>14781.015272719353</v>
      </c>
      <c r="O21" s="359">
        <f t="shared" si="9"/>
        <v>142682.61079929621</v>
      </c>
      <c r="R21" s="354"/>
      <c r="S21" s="355">
        <f t="shared" si="10"/>
        <v>2072.5045218237847</v>
      </c>
      <c r="T21" s="356">
        <f t="shared" si="16"/>
        <v>5365.8691082667283</v>
      </c>
      <c r="U21" s="357">
        <f t="shared" si="17"/>
        <v>28168.211529816268</v>
      </c>
      <c r="V21" s="358">
        <f t="shared" si="1"/>
        <v>61092.272031269895</v>
      </c>
      <c r="W21" s="359">
        <f t="shared" si="11"/>
        <v>641831.78847018362</v>
      </c>
      <c r="Z21" s="354"/>
      <c r="AA21" s="355" t="e">
        <f t="shared" si="12"/>
        <v>#NUM!</v>
      </c>
      <c r="AB21" s="356" t="e">
        <f t="shared" si="13"/>
        <v>#NUM!</v>
      </c>
      <c r="AC21" s="357" t="e">
        <f t="shared" si="18"/>
        <v>#NUM!</v>
      </c>
      <c r="AD21" s="358" t="e">
        <f t="shared" si="2"/>
        <v>#NUM!</v>
      </c>
      <c r="AE21" s="359" t="e">
        <f t="shared" si="14"/>
        <v>#NUM!</v>
      </c>
    </row>
    <row r="22" spans="2:31" x14ac:dyDescent="0.25">
      <c r="B22" s="354" t="s">
        <v>394</v>
      </c>
      <c r="C22" s="355">
        <f t="shared" si="3"/>
        <v>384.10500586010272</v>
      </c>
      <c r="D22" s="356">
        <f t="shared" si="4"/>
        <v>274.1355501519368</v>
      </c>
      <c r="E22" s="357">
        <f t="shared" si="5"/>
        <v>4846.9949754727559</v>
      </c>
      <c r="F22" s="358">
        <f t="shared" si="5"/>
        <v>3710.132252683758</v>
      </c>
      <c r="G22" s="359">
        <f t="shared" si="6"/>
        <v>54443.00502452725</v>
      </c>
      <c r="J22" s="354" t="str">
        <f t="shared" si="0"/>
        <v>M13</v>
      </c>
      <c r="K22" s="355">
        <f t="shared" si="7"/>
        <v>819.76194945779275</v>
      </c>
      <c r="L22" s="356">
        <f t="shared" si="15"/>
        <v>1189.0217566608017</v>
      </c>
      <c r="M22" s="357">
        <f t="shared" si="8"/>
        <v>10144.151150161571</v>
      </c>
      <c r="N22" s="358">
        <f t="shared" si="8"/>
        <v>15970.037029380153</v>
      </c>
      <c r="O22" s="359">
        <f t="shared" si="9"/>
        <v>141862.84884983842</v>
      </c>
      <c r="R22" s="354"/>
      <c r="S22" s="355">
        <f t="shared" si="10"/>
        <v>2089.775392838983</v>
      </c>
      <c r="T22" s="356">
        <f t="shared" si="16"/>
        <v>5348.59823725153</v>
      </c>
      <c r="U22" s="357">
        <f t="shared" si="17"/>
        <v>30257.986922655251</v>
      </c>
      <c r="V22" s="358">
        <f t="shared" si="1"/>
        <v>66440.870268521423</v>
      </c>
      <c r="W22" s="359">
        <f t="shared" si="11"/>
        <v>639742.01307734463</v>
      </c>
      <c r="Z22" s="354"/>
      <c r="AA22" s="355" t="e">
        <f t="shared" si="12"/>
        <v>#NUM!</v>
      </c>
      <c r="AB22" s="356" t="e">
        <f t="shared" si="13"/>
        <v>#NUM!</v>
      </c>
      <c r="AC22" s="357" t="e">
        <f t="shared" si="18"/>
        <v>#NUM!</v>
      </c>
      <c r="AD22" s="358" t="e">
        <f t="shared" si="2"/>
        <v>#NUM!</v>
      </c>
      <c r="AE22" s="359" t="e">
        <f t="shared" si="14"/>
        <v>#NUM!</v>
      </c>
    </row>
    <row r="23" spans="2:31" x14ac:dyDescent="0.25">
      <c r="B23" s="354" t="s">
        <v>395</v>
      </c>
      <c r="C23" s="355">
        <f t="shared" si="3"/>
        <v>386.02553088940329</v>
      </c>
      <c r="D23" s="356">
        <f t="shared" si="4"/>
        <v>272.21502512263623</v>
      </c>
      <c r="E23" s="357">
        <f t="shared" si="5"/>
        <v>5233.0205063621588</v>
      </c>
      <c r="F23" s="358">
        <f t="shared" si="5"/>
        <v>3982.3472778063942</v>
      </c>
      <c r="G23" s="359">
        <f t="shared" si="6"/>
        <v>54056.979493637846</v>
      </c>
      <c r="J23" s="354" t="str">
        <f t="shared" si="0"/>
        <v>M14</v>
      </c>
      <c r="K23" s="355">
        <f t="shared" si="7"/>
        <v>826.5932990366075</v>
      </c>
      <c r="L23" s="356">
        <f t="shared" si="15"/>
        <v>1182.1904070819869</v>
      </c>
      <c r="M23" s="357">
        <f t="shared" si="8"/>
        <v>10970.744449198179</v>
      </c>
      <c r="N23" s="358">
        <f t="shared" si="8"/>
        <v>17152.227436462141</v>
      </c>
      <c r="O23" s="359">
        <f t="shared" si="9"/>
        <v>141036.25555080181</v>
      </c>
      <c r="R23" s="354"/>
      <c r="S23" s="355">
        <f t="shared" si="10"/>
        <v>2107.190187779308</v>
      </c>
      <c r="T23" s="356">
        <f t="shared" si="16"/>
        <v>5331.183442311205</v>
      </c>
      <c r="U23" s="357">
        <f t="shared" si="17"/>
        <v>32365.177110434561</v>
      </c>
      <c r="V23" s="358">
        <f t="shared" si="1"/>
        <v>71772.053710832624</v>
      </c>
      <c r="W23" s="359">
        <f t="shared" si="11"/>
        <v>637634.82288956537</v>
      </c>
      <c r="Z23" s="354"/>
      <c r="AA23" s="355" t="e">
        <f t="shared" si="12"/>
        <v>#NUM!</v>
      </c>
      <c r="AB23" s="356" t="e">
        <f t="shared" si="13"/>
        <v>#NUM!</v>
      </c>
      <c r="AC23" s="357" t="e">
        <f t="shared" si="18"/>
        <v>#NUM!</v>
      </c>
      <c r="AD23" s="358" t="e">
        <f t="shared" si="2"/>
        <v>#NUM!</v>
      </c>
      <c r="AE23" s="359" t="e">
        <f t="shared" si="14"/>
        <v>#NUM!</v>
      </c>
    </row>
    <row r="24" spans="2:31" x14ac:dyDescent="0.25">
      <c r="B24" s="354" t="s">
        <v>396</v>
      </c>
      <c r="C24" s="355">
        <f t="shared" si="3"/>
        <v>387.95565854385029</v>
      </c>
      <c r="D24" s="356">
        <f t="shared" si="4"/>
        <v>270.28489746818923</v>
      </c>
      <c r="E24" s="357">
        <f t="shared" si="5"/>
        <v>5620.9761649060092</v>
      </c>
      <c r="F24" s="358">
        <f t="shared" si="5"/>
        <v>4252.6321752745835</v>
      </c>
      <c r="G24" s="359">
        <f t="shared" si="6"/>
        <v>53669.023835093998</v>
      </c>
      <c r="J24" s="354" t="str">
        <f t="shared" si="0"/>
        <v>M15</v>
      </c>
      <c r="K24" s="355">
        <f t="shared" si="7"/>
        <v>833.48157652857935</v>
      </c>
      <c r="L24" s="356">
        <f t="shared" si="15"/>
        <v>1175.3021295900151</v>
      </c>
      <c r="M24" s="357">
        <f t="shared" si="8"/>
        <v>11804.226025726759</v>
      </c>
      <c r="N24" s="358">
        <f t="shared" si="8"/>
        <v>18327.529566052155</v>
      </c>
      <c r="O24" s="359">
        <f t="shared" si="9"/>
        <v>140202.77397427324</v>
      </c>
      <c r="R24" s="354"/>
      <c r="S24" s="355">
        <f t="shared" si="10"/>
        <v>2124.7501060108016</v>
      </c>
      <c r="T24" s="356">
        <f t="shared" si="16"/>
        <v>5313.6235240797114</v>
      </c>
      <c r="U24" s="357">
        <f t="shared" si="17"/>
        <v>34489.927216445365</v>
      </c>
      <c r="V24" s="358">
        <f t="shared" si="1"/>
        <v>77085.677234912335</v>
      </c>
      <c r="W24" s="359">
        <f t="shared" si="11"/>
        <v>635510.07278355455</v>
      </c>
      <c r="Z24" s="354"/>
      <c r="AA24" s="355" t="e">
        <f t="shared" si="12"/>
        <v>#NUM!</v>
      </c>
      <c r="AB24" s="356" t="e">
        <f t="shared" si="13"/>
        <v>#NUM!</v>
      </c>
      <c r="AC24" s="357" t="e">
        <f t="shared" si="18"/>
        <v>#NUM!</v>
      </c>
      <c r="AD24" s="358" t="e">
        <f t="shared" si="2"/>
        <v>#NUM!</v>
      </c>
      <c r="AE24" s="359" t="e">
        <f t="shared" si="14"/>
        <v>#NUM!</v>
      </c>
    </row>
    <row r="25" spans="2:31" x14ac:dyDescent="0.25">
      <c r="B25" s="354" t="s">
        <v>397</v>
      </c>
      <c r="C25" s="355">
        <f t="shared" si="3"/>
        <v>389.8954368365695</v>
      </c>
      <c r="D25" s="356">
        <f t="shared" si="4"/>
        <v>268.34511917547002</v>
      </c>
      <c r="E25" s="357">
        <f t="shared" si="5"/>
        <v>6010.8716017425786</v>
      </c>
      <c r="F25" s="358">
        <f t="shared" si="5"/>
        <v>4520.9772944500537</v>
      </c>
      <c r="G25" s="359">
        <f t="shared" si="6"/>
        <v>53279.128398257431</v>
      </c>
      <c r="J25" s="354" t="str">
        <f t="shared" si="0"/>
        <v>M16</v>
      </c>
      <c r="K25" s="355">
        <f t="shared" si="7"/>
        <v>840.42725633298414</v>
      </c>
      <c r="L25" s="356">
        <f t="shared" si="15"/>
        <v>1168.3564497856103</v>
      </c>
      <c r="M25" s="357">
        <f t="shared" si="8"/>
        <v>12644.653282059742</v>
      </c>
      <c r="N25" s="358">
        <f t="shared" si="8"/>
        <v>19495.886015837765</v>
      </c>
      <c r="O25" s="359">
        <f t="shared" si="9"/>
        <v>139362.34671794027</v>
      </c>
      <c r="R25" s="354"/>
      <c r="S25" s="355">
        <f t="shared" si="10"/>
        <v>2142.4563568942249</v>
      </c>
      <c r="T25" s="356">
        <f t="shared" si="16"/>
        <v>5295.9172731962881</v>
      </c>
      <c r="U25" s="357">
        <f t="shared" si="17"/>
        <v>36632.38357333959</v>
      </c>
      <c r="V25" s="358">
        <f t="shared" si="1"/>
        <v>82381.594508108625</v>
      </c>
      <c r="W25" s="359">
        <f t="shared" si="11"/>
        <v>633367.61642666033</v>
      </c>
      <c r="Z25" s="354"/>
      <c r="AA25" s="355" t="e">
        <f t="shared" si="12"/>
        <v>#NUM!</v>
      </c>
      <c r="AB25" s="356" t="e">
        <f t="shared" si="13"/>
        <v>#NUM!</v>
      </c>
      <c r="AC25" s="357" t="e">
        <f t="shared" si="18"/>
        <v>#NUM!</v>
      </c>
      <c r="AD25" s="358" t="e">
        <f t="shared" si="2"/>
        <v>#NUM!</v>
      </c>
      <c r="AE25" s="359" t="e">
        <f t="shared" si="14"/>
        <v>#NUM!</v>
      </c>
    </row>
    <row r="26" spans="2:31" x14ac:dyDescent="0.25">
      <c r="B26" s="354" t="s">
        <v>398</v>
      </c>
      <c r="C26" s="355">
        <f t="shared" si="3"/>
        <v>391.84491402075236</v>
      </c>
      <c r="D26" s="356">
        <f t="shared" si="4"/>
        <v>266.39564199128716</v>
      </c>
      <c r="E26" s="357">
        <f t="shared" si="5"/>
        <v>6402.7165157633308</v>
      </c>
      <c r="F26" s="358">
        <f t="shared" si="5"/>
        <v>4787.3729364413412</v>
      </c>
      <c r="G26" s="359">
        <f t="shared" si="6"/>
        <v>52887.283484236679</v>
      </c>
      <c r="J26" s="354" t="str">
        <f t="shared" si="0"/>
        <v>M17</v>
      </c>
      <c r="K26" s="355">
        <f t="shared" si="7"/>
        <v>847.43081680242562</v>
      </c>
      <c r="L26" s="356">
        <f t="shared" si="15"/>
        <v>1161.3528893161688</v>
      </c>
      <c r="M26" s="357">
        <f t="shared" si="8"/>
        <v>13492.084098862168</v>
      </c>
      <c r="N26" s="358">
        <f t="shared" si="8"/>
        <v>20657.238905153932</v>
      </c>
      <c r="O26" s="359">
        <f t="shared" si="9"/>
        <v>138514.91590113784</v>
      </c>
      <c r="R26" s="354"/>
      <c r="S26" s="355">
        <f t="shared" si="10"/>
        <v>2160.3101598683434</v>
      </c>
      <c r="T26" s="356">
        <f t="shared" si="16"/>
        <v>5278.0634702221696</v>
      </c>
      <c r="U26" s="357">
        <f t="shared" si="17"/>
        <v>38792.693733207932</v>
      </c>
      <c r="V26" s="358">
        <f t="shared" si="1"/>
        <v>87659.657978330797</v>
      </c>
      <c r="W26" s="359">
        <f t="shared" si="11"/>
        <v>631207.306266792</v>
      </c>
      <c r="Z26" s="354"/>
      <c r="AA26" s="355" t="e">
        <f t="shared" si="12"/>
        <v>#NUM!</v>
      </c>
      <c r="AB26" s="356" t="e">
        <f t="shared" si="13"/>
        <v>#NUM!</v>
      </c>
      <c r="AC26" s="357" t="e">
        <f t="shared" si="18"/>
        <v>#NUM!</v>
      </c>
      <c r="AD26" s="358" t="e">
        <f t="shared" si="2"/>
        <v>#NUM!</v>
      </c>
      <c r="AE26" s="359" t="e">
        <f t="shared" si="14"/>
        <v>#NUM!</v>
      </c>
    </row>
    <row r="27" spans="2:31" x14ac:dyDescent="0.25">
      <c r="B27" s="354" t="s">
        <v>399</v>
      </c>
      <c r="C27" s="355">
        <f t="shared" si="3"/>
        <v>393.8041385908561</v>
      </c>
      <c r="D27" s="356">
        <f t="shared" si="4"/>
        <v>264.43641742118342</v>
      </c>
      <c r="E27" s="357">
        <f t="shared" si="5"/>
        <v>6796.5206543541872</v>
      </c>
      <c r="F27" s="358">
        <f t="shared" si="5"/>
        <v>5051.8093538625244</v>
      </c>
      <c r="G27" s="359">
        <f t="shared" si="6"/>
        <v>52493.479345645821</v>
      </c>
      <c r="J27" s="354" t="str">
        <f t="shared" si="0"/>
        <v>M18</v>
      </c>
      <c r="K27" s="355">
        <f t="shared" si="7"/>
        <v>854.49274027577917</v>
      </c>
      <c r="L27" s="356">
        <f t="shared" si="15"/>
        <v>1154.2909658428152</v>
      </c>
      <c r="M27" s="357">
        <f t="shared" si="8"/>
        <v>14346.576839137946</v>
      </c>
      <c r="N27" s="358">
        <f t="shared" si="8"/>
        <v>21811.529870996746</v>
      </c>
      <c r="O27" s="359">
        <f t="shared" si="9"/>
        <v>137660.42316086206</v>
      </c>
      <c r="R27" s="354"/>
      <c r="S27" s="355">
        <f t="shared" si="10"/>
        <v>2178.3127445339132</v>
      </c>
      <c r="T27" s="356">
        <f t="shared" si="16"/>
        <v>5260.0608855565997</v>
      </c>
      <c r="U27" s="357">
        <f t="shared" si="17"/>
        <v>40971.006477741845</v>
      </c>
      <c r="V27" s="358">
        <f t="shared" si="17"/>
        <v>92919.718863887392</v>
      </c>
      <c r="W27" s="359">
        <f t="shared" si="11"/>
        <v>629028.99352225813</v>
      </c>
      <c r="Z27" s="354"/>
      <c r="AA27" s="355" t="e">
        <f t="shared" si="12"/>
        <v>#NUM!</v>
      </c>
      <c r="AB27" s="356" t="e">
        <f t="shared" si="13"/>
        <v>#NUM!</v>
      </c>
      <c r="AC27" s="357" t="e">
        <f t="shared" si="18"/>
        <v>#NUM!</v>
      </c>
      <c r="AD27" s="358" t="e">
        <f t="shared" si="18"/>
        <v>#NUM!</v>
      </c>
      <c r="AE27" s="359" t="e">
        <f t="shared" si="14"/>
        <v>#NUM!</v>
      </c>
    </row>
    <row r="28" spans="2:31" x14ac:dyDescent="0.25">
      <c r="B28" s="354" t="s">
        <v>400</v>
      </c>
      <c r="C28" s="355">
        <f t="shared" si="3"/>
        <v>395.7731592838104</v>
      </c>
      <c r="D28" s="356">
        <f t="shared" si="4"/>
        <v>262.46739672822912</v>
      </c>
      <c r="E28" s="357">
        <f t="shared" ref="E28:F43" si="19">E27+C28</f>
        <v>7192.293813637998</v>
      </c>
      <c r="F28" s="358">
        <f t="shared" si="19"/>
        <v>5314.2767505907532</v>
      </c>
      <c r="G28" s="359">
        <f t="shared" si="6"/>
        <v>52097.706186362011</v>
      </c>
      <c r="J28" s="354" t="str">
        <f t="shared" si="0"/>
        <v>M19</v>
      </c>
      <c r="K28" s="355">
        <f t="shared" si="7"/>
        <v>861.61351311141061</v>
      </c>
      <c r="L28" s="356">
        <f t="shared" si="15"/>
        <v>1147.1701930071838</v>
      </c>
      <c r="M28" s="357">
        <f t="shared" ref="M28:N43" si="20">M27+K28</f>
        <v>15208.190352249356</v>
      </c>
      <c r="N28" s="358">
        <f t="shared" si="20"/>
        <v>22958.70006400393</v>
      </c>
      <c r="O28" s="359">
        <f t="shared" si="9"/>
        <v>136798.80964775066</v>
      </c>
      <c r="R28" s="354"/>
      <c r="S28" s="355">
        <f t="shared" si="10"/>
        <v>2196.4653507383618</v>
      </c>
      <c r="T28" s="356">
        <f t="shared" si="16"/>
        <v>5241.9082793521511</v>
      </c>
      <c r="U28" s="357">
        <f t="shared" si="17"/>
        <v>43167.471828480207</v>
      </c>
      <c r="V28" s="358">
        <f t="shared" si="17"/>
        <v>98161.627143239544</v>
      </c>
      <c r="W28" s="359">
        <f t="shared" si="11"/>
        <v>626832.52817151975</v>
      </c>
      <c r="Z28" s="354"/>
      <c r="AA28" s="355" t="e">
        <f t="shared" si="12"/>
        <v>#NUM!</v>
      </c>
      <c r="AB28" s="356" t="e">
        <f t="shared" si="13"/>
        <v>#NUM!</v>
      </c>
      <c r="AC28" s="357" t="e">
        <f t="shared" si="18"/>
        <v>#NUM!</v>
      </c>
      <c r="AD28" s="358" t="e">
        <f t="shared" si="18"/>
        <v>#NUM!</v>
      </c>
      <c r="AE28" s="359" t="e">
        <f t="shared" si="14"/>
        <v>#NUM!</v>
      </c>
    </row>
    <row r="29" spans="2:31" x14ac:dyDescent="0.25">
      <c r="B29" s="354" t="s">
        <v>401</v>
      </c>
      <c r="C29" s="355">
        <f t="shared" si="3"/>
        <v>397.75202508022949</v>
      </c>
      <c r="D29" s="356">
        <f t="shared" si="4"/>
        <v>260.48853093181003</v>
      </c>
      <c r="E29" s="357">
        <f t="shared" si="19"/>
        <v>7590.045838718228</v>
      </c>
      <c r="F29" s="358">
        <f t="shared" si="19"/>
        <v>5574.7652815225629</v>
      </c>
      <c r="G29" s="359">
        <f t="shared" si="6"/>
        <v>51699.954161281785</v>
      </c>
      <c r="J29" s="354" t="str">
        <f t="shared" si="0"/>
        <v>M20</v>
      </c>
      <c r="K29" s="355">
        <f t="shared" si="7"/>
        <v>868.79362572067225</v>
      </c>
      <c r="L29" s="356">
        <f t="shared" si="15"/>
        <v>1139.9900803979222</v>
      </c>
      <c r="M29" s="357">
        <f t="shared" si="20"/>
        <v>16076.983977970029</v>
      </c>
      <c r="N29" s="358">
        <f t="shared" si="20"/>
        <v>24098.690144401851</v>
      </c>
      <c r="O29" s="359">
        <f t="shared" si="9"/>
        <v>135930.01602203</v>
      </c>
      <c r="R29" s="354"/>
      <c r="S29" s="355">
        <f t="shared" si="10"/>
        <v>2214.7692286611818</v>
      </c>
      <c r="T29" s="356">
        <f t="shared" si="16"/>
        <v>5223.6044014293311</v>
      </c>
      <c r="U29" s="357">
        <f t="shared" si="17"/>
        <v>45382.241057141393</v>
      </c>
      <c r="V29" s="358">
        <f t="shared" si="17"/>
        <v>103385.23154466887</v>
      </c>
      <c r="W29" s="359">
        <f t="shared" si="11"/>
        <v>624617.75894285855</v>
      </c>
      <c r="Z29" s="354"/>
      <c r="AA29" s="355" t="e">
        <f t="shared" si="12"/>
        <v>#NUM!</v>
      </c>
      <c r="AB29" s="356" t="e">
        <f t="shared" si="13"/>
        <v>#NUM!</v>
      </c>
      <c r="AC29" s="357" t="e">
        <f t="shared" si="18"/>
        <v>#NUM!</v>
      </c>
      <c r="AD29" s="358" t="e">
        <f t="shared" si="18"/>
        <v>#NUM!</v>
      </c>
      <c r="AE29" s="359" t="e">
        <f t="shared" si="14"/>
        <v>#NUM!</v>
      </c>
    </row>
    <row r="30" spans="2:31" x14ac:dyDescent="0.25">
      <c r="B30" s="354" t="s">
        <v>402</v>
      </c>
      <c r="C30" s="355">
        <f t="shared" si="3"/>
        <v>399.74078520563057</v>
      </c>
      <c r="D30" s="356">
        <f t="shared" si="4"/>
        <v>258.49977080640895</v>
      </c>
      <c r="E30" s="357">
        <f t="shared" si="19"/>
        <v>7989.7866239238583</v>
      </c>
      <c r="F30" s="358">
        <f t="shared" si="19"/>
        <v>5833.2650523289722</v>
      </c>
      <c r="G30" s="359">
        <f t="shared" si="6"/>
        <v>51300.213376076157</v>
      </c>
      <c r="J30" s="354" t="str">
        <f t="shared" si="0"/>
        <v>M21</v>
      </c>
      <c r="K30" s="355">
        <f t="shared" si="7"/>
        <v>876.03357260167763</v>
      </c>
      <c r="L30" s="356">
        <f t="shared" si="15"/>
        <v>1132.7501335169168</v>
      </c>
      <c r="M30" s="357">
        <f t="shared" si="20"/>
        <v>16953.017550571705</v>
      </c>
      <c r="N30" s="358">
        <f t="shared" si="20"/>
        <v>25231.440277918769</v>
      </c>
      <c r="O30" s="359">
        <f t="shared" si="9"/>
        <v>135053.98244942832</v>
      </c>
      <c r="R30" s="354"/>
      <c r="S30" s="355">
        <f t="shared" si="10"/>
        <v>2233.2256389000249</v>
      </c>
      <c r="T30" s="356">
        <f t="shared" si="16"/>
        <v>5205.147991190488</v>
      </c>
      <c r="U30" s="357">
        <f t="shared" si="17"/>
        <v>47615.466696041418</v>
      </c>
      <c r="V30" s="358">
        <f t="shared" si="17"/>
        <v>108590.37953585936</v>
      </c>
      <c r="W30" s="359">
        <f t="shared" si="11"/>
        <v>622384.53330395848</v>
      </c>
      <c r="Z30" s="354"/>
      <c r="AA30" s="355" t="e">
        <f t="shared" si="12"/>
        <v>#NUM!</v>
      </c>
      <c r="AB30" s="356" t="e">
        <f t="shared" si="13"/>
        <v>#NUM!</v>
      </c>
      <c r="AC30" s="357" t="e">
        <f t="shared" si="18"/>
        <v>#NUM!</v>
      </c>
      <c r="AD30" s="358" t="e">
        <f t="shared" si="18"/>
        <v>#NUM!</v>
      </c>
      <c r="AE30" s="359" t="e">
        <f t="shared" si="14"/>
        <v>#NUM!</v>
      </c>
    </row>
    <row r="31" spans="2:31" x14ac:dyDescent="0.25">
      <c r="B31" s="354" t="s">
        <v>403</v>
      </c>
      <c r="C31" s="355">
        <f t="shared" si="3"/>
        <v>401.73948913165873</v>
      </c>
      <c r="D31" s="356">
        <f t="shared" si="4"/>
        <v>256.50106688038079</v>
      </c>
      <c r="E31" s="357">
        <f t="shared" si="19"/>
        <v>8391.5261130555173</v>
      </c>
      <c r="F31" s="358">
        <f t="shared" si="19"/>
        <v>6089.7661192093528</v>
      </c>
      <c r="G31" s="359">
        <f t="shared" si="6"/>
        <v>50898.473886944499</v>
      </c>
      <c r="J31" s="354" t="str">
        <f t="shared" si="0"/>
        <v>M22</v>
      </c>
      <c r="K31" s="355">
        <f t="shared" si="7"/>
        <v>883.33385237335847</v>
      </c>
      <c r="L31" s="356">
        <f t="shared" si="15"/>
        <v>1125.4498537452359</v>
      </c>
      <c r="M31" s="357">
        <f t="shared" si="20"/>
        <v>17836.351402945063</v>
      </c>
      <c r="N31" s="358">
        <f t="shared" si="20"/>
        <v>26356.890131664004</v>
      </c>
      <c r="O31" s="359">
        <f t="shared" si="9"/>
        <v>134170.64859705497</v>
      </c>
      <c r="R31" s="354"/>
      <c r="S31" s="355">
        <f t="shared" si="10"/>
        <v>2251.8358525575259</v>
      </c>
      <c r="T31" s="356">
        <f t="shared" si="16"/>
        <v>5186.5377775329871</v>
      </c>
      <c r="U31" s="357">
        <f t="shared" si="17"/>
        <v>49867.302548598942</v>
      </c>
      <c r="V31" s="358">
        <f t="shared" si="17"/>
        <v>113776.91731339235</v>
      </c>
      <c r="W31" s="359">
        <f t="shared" si="11"/>
        <v>620132.69745140092</v>
      </c>
      <c r="Z31" s="354"/>
      <c r="AA31" s="355" t="e">
        <f t="shared" si="12"/>
        <v>#NUM!</v>
      </c>
      <c r="AB31" s="356" t="e">
        <f t="shared" si="13"/>
        <v>#NUM!</v>
      </c>
      <c r="AC31" s="357" t="e">
        <f t="shared" si="18"/>
        <v>#NUM!</v>
      </c>
      <c r="AD31" s="358" t="e">
        <f t="shared" si="18"/>
        <v>#NUM!</v>
      </c>
      <c r="AE31" s="359" t="e">
        <f t="shared" si="14"/>
        <v>#NUM!</v>
      </c>
    </row>
    <row r="32" spans="2:31" x14ac:dyDescent="0.25">
      <c r="B32" s="354" t="s">
        <v>404</v>
      </c>
      <c r="C32" s="355">
        <f t="shared" si="3"/>
        <v>403.74818657731703</v>
      </c>
      <c r="D32" s="356">
        <f t="shared" si="4"/>
        <v>254.49236943472249</v>
      </c>
      <c r="E32" s="357">
        <f t="shared" si="19"/>
        <v>8795.2742996328343</v>
      </c>
      <c r="F32" s="358">
        <f t="shared" si="19"/>
        <v>6344.2584886440754</v>
      </c>
      <c r="G32" s="359">
        <f t="shared" si="6"/>
        <v>50494.725700367184</v>
      </c>
      <c r="J32" s="354" t="str">
        <f t="shared" si="0"/>
        <v>M23</v>
      </c>
      <c r="K32" s="355">
        <f t="shared" si="7"/>
        <v>890.69496780980307</v>
      </c>
      <c r="L32" s="356">
        <f t="shared" si="15"/>
        <v>1118.0887383087913</v>
      </c>
      <c r="M32" s="357">
        <f t="shared" si="20"/>
        <v>18727.046370754866</v>
      </c>
      <c r="N32" s="358">
        <f t="shared" si="20"/>
        <v>27474.978869972794</v>
      </c>
      <c r="O32" s="359">
        <f t="shared" si="9"/>
        <v>133279.95362924517</v>
      </c>
      <c r="R32" s="354"/>
      <c r="S32" s="355">
        <f t="shared" si="10"/>
        <v>2270.6011513288386</v>
      </c>
      <c r="T32" s="356">
        <f t="shared" si="16"/>
        <v>5167.7724787616744</v>
      </c>
      <c r="U32" s="357">
        <f t="shared" ref="U32:V47" si="21">U31+S32</f>
        <v>52137.903699927781</v>
      </c>
      <c r="V32" s="358">
        <f t="shared" si="21"/>
        <v>118944.68979215402</v>
      </c>
      <c r="W32" s="359">
        <f t="shared" si="11"/>
        <v>617862.09630007204</v>
      </c>
      <c r="Z32" s="354"/>
      <c r="AA32" s="355" t="e">
        <f t="shared" si="12"/>
        <v>#NUM!</v>
      </c>
      <c r="AB32" s="356" t="e">
        <f t="shared" si="13"/>
        <v>#NUM!</v>
      </c>
      <c r="AC32" s="357" t="e">
        <f t="shared" ref="AC32:AD47" si="22">AC31+AA32</f>
        <v>#NUM!</v>
      </c>
      <c r="AD32" s="358" t="e">
        <f t="shared" si="22"/>
        <v>#NUM!</v>
      </c>
      <c r="AE32" s="359" t="e">
        <f t="shared" si="14"/>
        <v>#NUM!</v>
      </c>
    </row>
    <row r="33" spans="2:31" x14ac:dyDescent="0.25">
      <c r="B33" s="354" t="s">
        <v>405</v>
      </c>
      <c r="C33" s="355">
        <f t="shared" si="3"/>
        <v>405.76692751020357</v>
      </c>
      <c r="D33" s="356">
        <f t="shared" si="4"/>
        <v>252.47362850183592</v>
      </c>
      <c r="E33" s="357">
        <f t="shared" si="19"/>
        <v>9201.0412271430378</v>
      </c>
      <c r="F33" s="358">
        <f t="shared" si="19"/>
        <v>6596.7321171459116</v>
      </c>
      <c r="G33" s="359">
        <f t="shared" si="6"/>
        <v>50088.958772856982</v>
      </c>
      <c r="J33" s="354" t="str">
        <f t="shared" si="0"/>
        <v>M24</v>
      </c>
      <c r="K33" s="355">
        <f t="shared" si="7"/>
        <v>898.1174258748847</v>
      </c>
      <c r="L33" s="356">
        <f t="shared" si="15"/>
        <v>1110.6662802437097</v>
      </c>
      <c r="M33" s="357">
        <f t="shared" si="20"/>
        <v>19625.163796629749</v>
      </c>
      <c r="N33" s="358">
        <f t="shared" si="20"/>
        <v>28585.645150216504</v>
      </c>
      <c r="O33" s="359">
        <f t="shared" si="9"/>
        <v>132381.83620337027</v>
      </c>
      <c r="R33" s="354"/>
      <c r="S33" s="355">
        <f t="shared" si="10"/>
        <v>2289.5228275899126</v>
      </c>
      <c r="T33" s="356">
        <f t="shared" si="16"/>
        <v>5148.8508025006004</v>
      </c>
      <c r="U33" s="357">
        <f t="shared" si="21"/>
        <v>54427.426527517695</v>
      </c>
      <c r="V33" s="358">
        <f t="shared" si="21"/>
        <v>124093.54059465462</v>
      </c>
      <c r="W33" s="359">
        <f t="shared" si="11"/>
        <v>615572.57347248215</v>
      </c>
      <c r="Z33" s="354"/>
      <c r="AA33" s="355" t="e">
        <f t="shared" si="12"/>
        <v>#NUM!</v>
      </c>
      <c r="AB33" s="356" t="e">
        <f t="shared" si="13"/>
        <v>#NUM!</v>
      </c>
      <c r="AC33" s="357" t="e">
        <f t="shared" si="22"/>
        <v>#NUM!</v>
      </c>
      <c r="AD33" s="358" t="e">
        <f t="shared" si="22"/>
        <v>#NUM!</v>
      </c>
      <c r="AE33" s="359" t="e">
        <f t="shared" si="14"/>
        <v>#NUM!</v>
      </c>
    </row>
    <row r="34" spans="2:31" x14ac:dyDescent="0.25">
      <c r="B34" s="354" t="s">
        <v>406</v>
      </c>
      <c r="C34" s="355">
        <f t="shared" si="3"/>
        <v>407.7957621477546</v>
      </c>
      <c r="D34" s="356">
        <f t="shared" si="4"/>
        <v>250.44479386428492</v>
      </c>
      <c r="E34" s="357">
        <f t="shared" si="19"/>
        <v>9608.8369892907922</v>
      </c>
      <c r="F34" s="358">
        <f t="shared" si="19"/>
        <v>6847.1769110101968</v>
      </c>
      <c r="G34" s="359">
        <f t="shared" si="6"/>
        <v>49681.163010709228</v>
      </c>
      <c r="J34" s="354" t="str">
        <f t="shared" si="0"/>
        <v>M25</v>
      </c>
      <c r="K34" s="355">
        <f t="shared" si="7"/>
        <v>905.60173775717544</v>
      </c>
      <c r="L34" s="356">
        <f t="shared" si="15"/>
        <v>1103.181968361419</v>
      </c>
      <c r="M34" s="357">
        <f t="shared" si="20"/>
        <v>20530.765534386926</v>
      </c>
      <c r="N34" s="358">
        <f t="shared" si="20"/>
        <v>29688.827118577923</v>
      </c>
      <c r="O34" s="359">
        <f t="shared" si="9"/>
        <v>131476.23446561309</v>
      </c>
      <c r="R34" s="354"/>
      <c r="S34" s="355">
        <f t="shared" si="10"/>
        <v>2308.6021844864954</v>
      </c>
      <c r="T34" s="356">
        <f t="shared" si="16"/>
        <v>5129.7714456040176</v>
      </c>
      <c r="U34" s="357">
        <f t="shared" si="21"/>
        <v>56736.02871200419</v>
      </c>
      <c r="V34" s="358">
        <f t="shared" si="21"/>
        <v>129223.31204025864</v>
      </c>
      <c r="W34" s="359">
        <f t="shared" si="11"/>
        <v>613263.97128799569</v>
      </c>
      <c r="Z34" s="354"/>
      <c r="AA34" s="355" t="e">
        <f t="shared" si="12"/>
        <v>#NUM!</v>
      </c>
      <c r="AB34" s="356" t="e">
        <f t="shared" si="13"/>
        <v>#NUM!</v>
      </c>
      <c r="AC34" s="357" t="e">
        <f t="shared" si="22"/>
        <v>#NUM!</v>
      </c>
      <c r="AD34" s="358" t="e">
        <f t="shared" si="22"/>
        <v>#NUM!</v>
      </c>
      <c r="AE34" s="359" t="e">
        <f t="shared" si="14"/>
        <v>#NUM!</v>
      </c>
    </row>
    <row r="35" spans="2:31" x14ac:dyDescent="0.25">
      <c r="B35" s="354" t="s">
        <v>407</v>
      </c>
      <c r="C35" s="355">
        <f t="shared" si="3"/>
        <v>409.8347409584934</v>
      </c>
      <c r="D35" s="356">
        <f t="shared" si="4"/>
        <v>248.40581505354615</v>
      </c>
      <c r="E35" s="357">
        <f t="shared" si="19"/>
        <v>10018.671730249285</v>
      </c>
      <c r="F35" s="358">
        <f t="shared" si="19"/>
        <v>7095.5827260637434</v>
      </c>
      <c r="G35" s="359">
        <f t="shared" si="6"/>
        <v>49271.328269750731</v>
      </c>
      <c r="J35" s="354" t="str">
        <f t="shared" si="0"/>
        <v>M26</v>
      </c>
      <c r="K35" s="355">
        <f t="shared" si="7"/>
        <v>913.14841890515208</v>
      </c>
      <c r="L35" s="356">
        <f t="shared" si="15"/>
        <v>1095.6352872134423</v>
      </c>
      <c r="M35" s="357">
        <f t="shared" si="20"/>
        <v>21443.913953292078</v>
      </c>
      <c r="N35" s="358">
        <f t="shared" si="20"/>
        <v>30784.462405791364</v>
      </c>
      <c r="O35" s="359">
        <f t="shared" si="9"/>
        <v>130563.08604670793</v>
      </c>
      <c r="R35" s="354"/>
      <c r="S35" s="355">
        <f t="shared" si="10"/>
        <v>2327.8405360238821</v>
      </c>
      <c r="T35" s="356">
        <f t="shared" si="16"/>
        <v>5110.5330940666308</v>
      </c>
      <c r="U35" s="357">
        <f t="shared" si="21"/>
        <v>59063.869248028073</v>
      </c>
      <c r="V35" s="358">
        <f t="shared" si="21"/>
        <v>134333.84513432527</v>
      </c>
      <c r="W35" s="359">
        <f t="shared" si="11"/>
        <v>610936.13075197185</v>
      </c>
      <c r="Z35" s="354"/>
      <c r="AA35" s="355" t="e">
        <f t="shared" si="12"/>
        <v>#NUM!</v>
      </c>
      <c r="AB35" s="356" t="e">
        <f t="shared" si="13"/>
        <v>#NUM!</v>
      </c>
      <c r="AC35" s="357" t="e">
        <f t="shared" si="22"/>
        <v>#NUM!</v>
      </c>
      <c r="AD35" s="358" t="e">
        <f t="shared" si="22"/>
        <v>#NUM!</v>
      </c>
      <c r="AE35" s="359" t="e">
        <f t="shared" si="14"/>
        <v>#NUM!</v>
      </c>
    </row>
    <row r="36" spans="2:31" x14ac:dyDescent="0.25">
      <c r="B36" s="354" t="s">
        <v>408</v>
      </c>
      <c r="C36" s="355">
        <f t="shared" si="3"/>
        <v>411.88391466328585</v>
      </c>
      <c r="D36" s="356">
        <f t="shared" si="4"/>
        <v>246.35664134875367</v>
      </c>
      <c r="E36" s="357">
        <f t="shared" si="19"/>
        <v>10430.555644912571</v>
      </c>
      <c r="F36" s="358">
        <f t="shared" si="19"/>
        <v>7341.9393674124967</v>
      </c>
      <c r="G36" s="359">
        <f t="shared" si="6"/>
        <v>48859.444355087442</v>
      </c>
      <c r="J36" s="354" t="str">
        <f t="shared" si="0"/>
        <v>M27</v>
      </c>
      <c r="K36" s="355">
        <f t="shared" si="7"/>
        <v>920.75798906269506</v>
      </c>
      <c r="L36" s="356">
        <f t="shared" si="15"/>
        <v>1088.0257170558993</v>
      </c>
      <c r="M36" s="357">
        <f t="shared" si="20"/>
        <v>22364.671942354773</v>
      </c>
      <c r="N36" s="358">
        <f t="shared" si="20"/>
        <v>31872.488122847262</v>
      </c>
      <c r="O36" s="359">
        <f t="shared" si="9"/>
        <v>129642.32805764524</v>
      </c>
      <c r="R36" s="354"/>
      <c r="S36" s="355">
        <f t="shared" si="10"/>
        <v>2347.2392071574141</v>
      </c>
      <c r="T36" s="356">
        <f t="shared" si="16"/>
        <v>5091.1344229330989</v>
      </c>
      <c r="U36" s="357">
        <f t="shared" si="21"/>
        <v>61411.108455185487</v>
      </c>
      <c r="V36" s="358">
        <f t="shared" si="21"/>
        <v>139424.97955725837</v>
      </c>
      <c r="W36" s="359">
        <f t="shared" si="11"/>
        <v>608588.89154481445</v>
      </c>
      <c r="Z36" s="354"/>
      <c r="AA36" s="355" t="e">
        <f t="shared" si="12"/>
        <v>#NUM!</v>
      </c>
      <c r="AB36" s="356" t="e">
        <f t="shared" si="13"/>
        <v>#NUM!</v>
      </c>
      <c r="AC36" s="357" t="e">
        <f t="shared" si="22"/>
        <v>#NUM!</v>
      </c>
      <c r="AD36" s="358" t="e">
        <f t="shared" si="22"/>
        <v>#NUM!</v>
      </c>
      <c r="AE36" s="359" t="e">
        <f t="shared" si="14"/>
        <v>#NUM!</v>
      </c>
    </row>
    <row r="37" spans="2:31" x14ac:dyDescent="0.25">
      <c r="B37" s="354" t="s">
        <v>409</v>
      </c>
      <c r="C37" s="355" t="e">
        <f t="shared" si="3"/>
        <v>#VALUE!</v>
      </c>
      <c r="D37" s="356" t="e">
        <f>B6*B37/I5</f>
        <v>#VALUE!</v>
      </c>
      <c r="E37" s="357" t="e">
        <f t="shared" si="19"/>
        <v>#VALUE!</v>
      </c>
      <c r="F37" s="358" t="e">
        <f t="shared" si="19"/>
        <v>#VALUE!</v>
      </c>
      <c r="G37" s="359" t="e">
        <f t="shared" si="6"/>
        <v>#VALUE!</v>
      </c>
      <c r="J37" s="354" t="str">
        <f t="shared" si="0"/>
        <v>M28</v>
      </c>
      <c r="K37" s="355">
        <f t="shared" si="7"/>
        <v>928.43097230488411</v>
      </c>
      <c r="L37" s="356">
        <f t="shared" si="15"/>
        <v>1080.3527338137103</v>
      </c>
      <c r="M37" s="357">
        <f t="shared" si="20"/>
        <v>23293.102914659656</v>
      </c>
      <c r="N37" s="358">
        <f t="shared" si="20"/>
        <v>32952.840856660972</v>
      </c>
      <c r="O37" s="359">
        <f t="shared" si="9"/>
        <v>128713.89708534036</v>
      </c>
      <c r="R37" s="354"/>
      <c r="S37" s="355">
        <f t="shared" si="10"/>
        <v>2366.7995338837263</v>
      </c>
      <c r="T37" s="356">
        <f t="shared" si="16"/>
        <v>5071.5740962067866</v>
      </c>
      <c r="U37" s="357">
        <f t="shared" si="21"/>
        <v>63777.907989069216</v>
      </c>
      <c r="V37" s="358">
        <f t="shared" si="21"/>
        <v>144496.55365346515</v>
      </c>
      <c r="W37" s="359">
        <f t="shared" si="11"/>
        <v>606222.09201093076</v>
      </c>
      <c r="Z37" s="354"/>
      <c r="AA37" s="355" t="e">
        <f t="shared" si="12"/>
        <v>#NUM!</v>
      </c>
      <c r="AB37" s="356" t="e">
        <f t="shared" si="13"/>
        <v>#NUM!</v>
      </c>
      <c r="AC37" s="357" t="e">
        <f t="shared" si="22"/>
        <v>#NUM!</v>
      </c>
      <c r="AD37" s="358" t="e">
        <f t="shared" si="22"/>
        <v>#NUM!</v>
      </c>
      <c r="AE37" s="359" t="e">
        <f t="shared" si="14"/>
        <v>#NUM!</v>
      </c>
    </row>
    <row r="38" spans="2:31" x14ac:dyDescent="0.25">
      <c r="B38" s="354" t="s">
        <v>410</v>
      </c>
      <c r="C38" s="355" t="e">
        <f t="shared" si="3"/>
        <v>#VALUE!</v>
      </c>
      <c r="D38" s="356" t="e">
        <f>H14*B38/I5</f>
        <v>#VALUE!</v>
      </c>
      <c r="E38" s="357" t="e">
        <f t="shared" si="19"/>
        <v>#VALUE!</v>
      </c>
      <c r="F38" s="358" t="e">
        <f t="shared" si="19"/>
        <v>#VALUE!</v>
      </c>
      <c r="G38" s="359" t="e">
        <f t="shared" si="6"/>
        <v>#VALUE!</v>
      </c>
      <c r="J38" s="354" t="str">
        <f t="shared" si="0"/>
        <v>M29</v>
      </c>
      <c r="K38" s="355">
        <f t="shared" si="7"/>
        <v>936.16789707409134</v>
      </c>
      <c r="L38" s="356">
        <f t="shared" si="15"/>
        <v>1072.6158090445031</v>
      </c>
      <c r="M38" s="357">
        <f t="shared" si="20"/>
        <v>24229.270811733746</v>
      </c>
      <c r="N38" s="358">
        <f t="shared" si="20"/>
        <v>34025.456665705475</v>
      </c>
      <c r="O38" s="359">
        <f t="shared" si="9"/>
        <v>127777.72918826627</v>
      </c>
      <c r="R38" s="354"/>
      <c r="S38" s="355">
        <f t="shared" si="10"/>
        <v>2386.522863332757</v>
      </c>
      <c r="T38" s="356">
        <f t="shared" si="16"/>
        <v>5051.850766757756</v>
      </c>
      <c r="U38" s="357">
        <f t="shared" si="21"/>
        <v>66164.430852401973</v>
      </c>
      <c r="V38" s="358">
        <f t="shared" si="21"/>
        <v>149548.40442022291</v>
      </c>
      <c r="W38" s="359">
        <f t="shared" si="11"/>
        <v>603835.569147598</v>
      </c>
      <c r="Z38" s="354"/>
      <c r="AA38" s="355" t="e">
        <f t="shared" si="12"/>
        <v>#NUM!</v>
      </c>
      <c r="AB38" s="356" t="e">
        <f t="shared" si="13"/>
        <v>#NUM!</v>
      </c>
      <c r="AC38" s="357" t="e">
        <f t="shared" si="22"/>
        <v>#NUM!</v>
      </c>
      <c r="AD38" s="358" t="e">
        <f t="shared" si="22"/>
        <v>#NUM!</v>
      </c>
      <c r="AE38" s="359" t="e">
        <f t="shared" si="14"/>
        <v>#NUM!</v>
      </c>
    </row>
    <row r="39" spans="2:31" x14ac:dyDescent="0.25">
      <c r="B39" s="354" t="s">
        <v>411</v>
      </c>
      <c r="C39" s="355" t="e">
        <f t="shared" si="3"/>
        <v>#VALUE!</v>
      </c>
      <c r="D39" s="356" t="e">
        <v>#VALUE!</v>
      </c>
      <c r="E39" s="357" t="e">
        <f t="shared" si="19"/>
        <v>#VALUE!</v>
      </c>
      <c r="F39" s="358" t="e">
        <f t="shared" si="19"/>
        <v>#VALUE!</v>
      </c>
      <c r="G39" s="359" t="e">
        <f t="shared" si="6"/>
        <v>#VALUE!</v>
      </c>
      <c r="J39" s="354" t="str">
        <f t="shared" si="0"/>
        <v>M30</v>
      </c>
      <c r="K39" s="355">
        <f t="shared" si="7"/>
        <v>943.9692962163756</v>
      </c>
      <c r="L39" s="356">
        <f t="shared" si="15"/>
        <v>1064.8144099022188</v>
      </c>
      <c r="M39" s="357">
        <f t="shared" si="20"/>
        <v>25173.240107950121</v>
      </c>
      <c r="N39" s="358">
        <f t="shared" si="20"/>
        <v>35090.271075607692</v>
      </c>
      <c r="O39" s="359">
        <f t="shared" si="9"/>
        <v>126833.75989204989</v>
      </c>
      <c r="R39" s="354"/>
      <c r="S39" s="355">
        <f t="shared" si="10"/>
        <v>2406.4105538605299</v>
      </c>
      <c r="T39" s="356">
        <f t="shared" si="16"/>
        <v>5031.963076229983</v>
      </c>
      <c r="U39" s="357">
        <f t="shared" si="21"/>
        <v>68570.841406262509</v>
      </c>
      <c r="V39" s="358">
        <f t="shared" si="21"/>
        <v>154580.36749645291</v>
      </c>
      <c r="W39" s="359">
        <f t="shared" si="11"/>
        <v>601429.15859373752</v>
      </c>
      <c r="Z39" s="354"/>
      <c r="AA39" s="355" t="e">
        <f t="shared" si="12"/>
        <v>#NUM!</v>
      </c>
      <c r="AB39" s="356" t="e">
        <f t="shared" si="13"/>
        <v>#NUM!</v>
      </c>
      <c r="AC39" s="357" t="e">
        <f t="shared" si="22"/>
        <v>#NUM!</v>
      </c>
      <c r="AD39" s="358" t="e">
        <f t="shared" si="22"/>
        <v>#NUM!</v>
      </c>
      <c r="AE39" s="359" t="e">
        <f t="shared" si="14"/>
        <v>#NUM!</v>
      </c>
    </row>
    <row r="40" spans="2:31" x14ac:dyDescent="0.25">
      <c r="B40" s="354" t="s">
        <v>412</v>
      </c>
      <c r="C40" s="355" t="e">
        <f t="shared" si="3"/>
        <v>#VALUE!</v>
      </c>
      <c r="D40" s="356" t="e">
        <f t="shared" si="4"/>
        <v>#VALUE!</v>
      </c>
      <c r="E40" s="357" t="e">
        <f t="shared" si="19"/>
        <v>#VALUE!</v>
      </c>
      <c r="F40" s="358" t="e">
        <f t="shared" si="19"/>
        <v>#VALUE!</v>
      </c>
      <c r="G40" s="359" t="e">
        <f t="shared" si="6"/>
        <v>#VALUE!</v>
      </c>
      <c r="J40" s="354" t="str">
        <f t="shared" si="0"/>
        <v>M31</v>
      </c>
      <c r="K40" s="355">
        <f t="shared" si="7"/>
        <v>951.83570701817871</v>
      </c>
      <c r="L40" s="356">
        <f t="shared" si="15"/>
        <v>1056.9479991004157</v>
      </c>
      <c r="M40" s="357">
        <f t="shared" si="20"/>
        <v>26125.075814968299</v>
      </c>
      <c r="N40" s="358">
        <f t="shared" si="20"/>
        <v>36147.219074708111</v>
      </c>
      <c r="O40" s="359">
        <f t="shared" si="9"/>
        <v>125881.9241850317</v>
      </c>
      <c r="R40" s="354"/>
      <c r="S40" s="355">
        <f t="shared" si="10"/>
        <v>2426.4639751427003</v>
      </c>
      <c r="T40" s="356">
        <f t="shared" si="16"/>
        <v>5011.9096549478127</v>
      </c>
      <c r="U40" s="357">
        <f t="shared" si="21"/>
        <v>70997.305381405211</v>
      </c>
      <c r="V40" s="358">
        <f t="shared" si="21"/>
        <v>159592.27715140072</v>
      </c>
      <c r="W40" s="359">
        <f t="shared" si="11"/>
        <v>599002.69461859483</v>
      </c>
      <c r="Z40" s="354"/>
      <c r="AA40" s="355" t="e">
        <f t="shared" si="12"/>
        <v>#NUM!</v>
      </c>
      <c r="AB40" s="356" t="e">
        <f t="shared" si="13"/>
        <v>#NUM!</v>
      </c>
      <c r="AC40" s="357" t="e">
        <f t="shared" si="22"/>
        <v>#NUM!</v>
      </c>
      <c r="AD40" s="358" t="e">
        <f t="shared" si="22"/>
        <v>#NUM!</v>
      </c>
      <c r="AE40" s="359" t="e">
        <f t="shared" si="14"/>
        <v>#NUM!</v>
      </c>
    </row>
    <row r="41" spans="2:31" x14ac:dyDescent="0.25">
      <c r="B41" s="354" t="s">
        <v>413</v>
      </c>
      <c r="C41" s="355" t="e">
        <f t="shared" si="3"/>
        <v>#VALUE!</v>
      </c>
      <c r="D41" s="356" t="e">
        <f t="shared" si="4"/>
        <v>#VALUE!</v>
      </c>
      <c r="E41" s="357" t="e">
        <f t="shared" si="19"/>
        <v>#VALUE!</v>
      </c>
      <c r="F41" s="358" t="e">
        <f t="shared" si="19"/>
        <v>#VALUE!</v>
      </c>
      <c r="G41" s="359" t="e">
        <f t="shared" si="6"/>
        <v>#VALUE!</v>
      </c>
      <c r="J41" s="354" t="str">
        <f t="shared" si="0"/>
        <v>M32</v>
      </c>
      <c r="K41" s="355">
        <f t="shared" si="7"/>
        <v>959.76767124333014</v>
      </c>
      <c r="L41" s="356">
        <f t="shared" si="15"/>
        <v>1049.0160348752643</v>
      </c>
      <c r="M41" s="357">
        <f t="shared" si="20"/>
        <v>27084.84348621163</v>
      </c>
      <c r="N41" s="358">
        <f t="shared" si="20"/>
        <v>37196.235109583373</v>
      </c>
      <c r="O41" s="359">
        <f t="shared" si="9"/>
        <v>124922.15651378837</v>
      </c>
      <c r="R41" s="354"/>
      <c r="S41" s="355">
        <f t="shared" si="10"/>
        <v>2446.6845082688897</v>
      </c>
      <c r="T41" s="356">
        <f t="shared" si="16"/>
        <v>4991.6891218216233</v>
      </c>
      <c r="U41" s="357">
        <f t="shared" si="21"/>
        <v>73443.989889674107</v>
      </c>
      <c r="V41" s="358">
        <f t="shared" si="21"/>
        <v>164583.96627322235</v>
      </c>
      <c r="W41" s="359">
        <f t="shared" si="11"/>
        <v>596556.01011032599</v>
      </c>
      <c r="Z41" s="354"/>
      <c r="AA41" s="355" t="e">
        <f t="shared" si="12"/>
        <v>#NUM!</v>
      </c>
      <c r="AB41" s="356" t="e">
        <f t="shared" si="13"/>
        <v>#NUM!</v>
      </c>
      <c r="AC41" s="357" t="e">
        <f t="shared" si="22"/>
        <v>#NUM!</v>
      </c>
      <c r="AD41" s="358" t="e">
        <f t="shared" si="22"/>
        <v>#NUM!</v>
      </c>
      <c r="AE41" s="359" t="e">
        <f t="shared" si="14"/>
        <v>#NUM!</v>
      </c>
    </row>
    <row r="42" spans="2:31" x14ac:dyDescent="0.25">
      <c r="B42" s="354" t="s">
        <v>414</v>
      </c>
      <c r="C42" s="355" t="e">
        <f t="shared" si="3"/>
        <v>#VALUE!</v>
      </c>
      <c r="D42" s="356" t="e">
        <f t="shared" si="4"/>
        <v>#VALUE!</v>
      </c>
      <c r="E42" s="357" t="e">
        <f t="shared" si="19"/>
        <v>#VALUE!</v>
      </c>
      <c r="F42" s="358" t="e">
        <f t="shared" si="19"/>
        <v>#VALUE!</v>
      </c>
      <c r="G42" s="359" t="e">
        <f t="shared" si="6"/>
        <v>#VALUE!</v>
      </c>
      <c r="J42" s="354" t="str">
        <f t="shared" si="0"/>
        <v>M33</v>
      </c>
      <c r="K42" s="355">
        <f t="shared" si="7"/>
        <v>967.76573517035808</v>
      </c>
      <c r="L42" s="356">
        <f t="shared" si="15"/>
        <v>1041.0179709482363</v>
      </c>
      <c r="M42" s="357">
        <f t="shared" si="20"/>
        <v>28052.609221381987</v>
      </c>
      <c r="N42" s="358">
        <f t="shared" si="20"/>
        <v>38237.253080531606</v>
      </c>
      <c r="O42" s="359">
        <f t="shared" si="9"/>
        <v>123954.39077861802</v>
      </c>
      <c r="R42" s="354"/>
      <c r="S42" s="355">
        <f t="shared" si="10"/>
        <v>2467.0735458377967</v>
      </c>
      <c r="T42" s="356">
        <f t="shared" si="16"/>
        <v>4971.3000842527163</v>
      </c>
      <c r="U42" s="357">
        <f t="shared" si="21"/>
        <v>75911.063435511896</v>
      </c>
      <c r="V42" s="358">
        <f t="shared" si="21"/>
        <v>169555.26635747508</v>
      </c>
      <c r="W42" s="359">
        <f t="shared" si="11"/>
        <v>594088.93656448822</v>
      </c>
      <c r="Z42" s="354"/>
      <c r="AA42" s="355" t="e">
        <f t="shared" si="12"/>
        <v>#NUM!</v>
      </c>
      <c r="AB42" s="356" t="e">
        <f t="shared" si="13"/>
        <v>#NUM!</v>
      </c>
      <c r="AC42" s="357" t="e">
        <f t="shared" si="22"/>
        <v>#NUM!</v>
      </c>
      <c r="AD42" s="358" t="e">
        <f t="shared" si="22"/>
        <v>#NUM!</v>
      </c>
      <c r="AE42" s="359" t="e">
        <f t="shared" si="14"/>
        <v>#NUM!</v>
      </c>
    </row>
    <row r="43" spans="2:31" x14ac:dyDescent="0.25">
      <c r="B43" s="354" t="s">
        <v>415</v>
      </c>
      <c r="C43" s="355" t="e">
        <f t="shared" si="3"/>
        <v>#VALUE!</v>
      </c>
      <c r="D43" s="356" t="e">
        <f t="shared" si="4"/>
        <v>#VALUE!</v>
      </c>
      <c r="E43" s="357" t="e">
        <f t="shared" si="19"/>
        <v>#VALUE!</v>
      </c>
      <c r="F43" s="358" t="e">
        <f t="shared" si="19"/>
        <v>#VALUE!</v>
      </c>
      <c r="G43" s="359" t="e">
        <f t="shared" si="6"/>
        <v>#VALUE!</v>
      </c>
      <c r="J43" s="354" t="str">
        <f t="shared" si="0"/>
        <v>M34</v>
      </c>
      <c r="K43" s="355">
        <f t="shared" si="7"/>
        <v>975.83044963011093</v>
      </c>
      <c r="L43" s="356">
        <f t="shared" si="15"/>
        <v>1032.9532564884835</v>
      </c>
      <c r="M43" s="357">
        <f t="shared" si="20"/>
        <v>29028.439671012096</v>
      </c>
      <c r="N43" s="358">
        <f t="shared" si="20"/>
        <v>39270.206337020092</v>
      </c>
      <c r="O43" s="359">
        <f t="shared" si="9"/>
        <v>122978.56032898791</v>
      </c>
      <c r="R43" s="354"/>
      <c r="S43" s="355">
        <f t="shared" si="10"/>
        <v>2487.6324920531115</v>
      </c>
      <c r="T43" s="356">
        <f t="shared" si="16"/>
        <v>4950.7411380374015</v>
      </c>
      <c r="U43" s="357">
        <f t="shared" si="21"/>
        <v>78398.695927565015</v>
      </c>
      <c r="V43" s="358">
        <f t="shared" si="21"/>
        <v>174506.00749551249</v>
      </c>
      <c r="W43" s="359">
        <f t="shared" si="11"/>
        <v>591601.30407243513</v>
      </c>
      <c r="Z43" s="354"/>
      <c r="AA43" s="355" t="e">
        <f t="shared" si="12"/>
        <v>#NUM!</v>
      </c>
      <c r="AB43" s="356" t="e">
        <f t="shared" si="13"/>
        <v>#NUM!</v>
      </c>
      <c r="AC43" s="357" t="e">
        <f t="shared" si="22"/>
        <v>#NUM!</v>
      </c>
      <c r="AD43" s="358" t="e">
        <f t="shared" si="22"/>
        <v>#NUM!</v>
      </c>
      <c r="AE43" s="359" t="e">
        <f t="shared" si="14"/>
        <v>#NUM!</v>
      </c>
    </row>
    <row r="44" spans="2:31" x14ac:dyDescent="0.25">
      <c r="B44" s="354" t="s">
        <v>416</v>
      </c>
      <c r="C44" s="355" t="e">
        <f t="shared" si="3"/>
        <v>#VALUE!</v>
      </c>
      <c r="D44" s="356" t="e">
        <f t="shared" si="4"/>
        <v>#VALUE!</v>
      </c>
      <c r="E44" s="357" t="e">
        <f t="shared" ref="E44:F59" si="23">E43+C44</f>
        <v>#VALUE!</v>
      </c>
      <c r="F44" s="358" t="e">
        <f t="shared" si="23"/>
        <v>#VALUE!</v>
      </c>
      <c r="G44" s="359" t="e">
        <f t="shared" si="6"/>
        <v>#VALUE!</v>
      </c>
      <c r="J44" s="354" t="str">
        <f t="shared" si="0"/>
        <v>M35</v>
      </c>
      <c r="K44" s="355">
        <f t="shared" si="7"/>
        <v>983.96237004369527</v>
      </c>
      <c r="L44" s="356">
        <f t="shared" si="15"/>
        <v>1024.8213360748991</v>
      </c>
      <c r="M44" s="357">
        <f t="shared" ref="M44:N59" si="24">M43+K44</f>
        <v>30012.402041055793</v>
      </c>
      <c r="N44" s="358">
        <f t="shared" si="24"/>
        <v>40295.027673094992</v>
      </c>
      <c r="O44" s="359">
        <f t="shared" si="9"/>
        <v>121994.59795894421</v>
      </c>
      <c r="R44" s="354"/>
      <c r="S44" s="355">
        <f t="shared" si="10"/>
        <v>2508.3627628202203</v>
      </c>
      <c r="T44" s="356">
        <f t="shared" si="16"/>
        <v>4930.0108672702927</v>
      </c>
      <c r="U44" s="357">
        <f t="shared" si="21"/>
        <v>80907.058690385238</v>
      </c>
      <c r="V44" s="358">
        <f t="shared" si="21"/>
        <v>179436.01836278278</v>
      </c>
      <c r="W44" s="359">
        <f t="shared" si="11"/>
        <v>589092.94130961492</v>
      </c>
      <c r="Z44" s="354"/>
      <c r="AA44" s="355" t="e">
        <f t="shared" si="12"/>
        <v>#NUM!</v>
      </c>
      <c r="AB44" s="356" t="e">
        <f t="shared" si="13"/>
        <v>#NUM!</v>
      </c>
      <c r="AC44" s="357" t="e">
        <f t="shared" si="22"/>
        <v>#NUM!</v>
      </c>
      <c r="AD44" s="358" t="e">
        <f t="shared" si="22"/>
        <v>#NUM!</v>
      </c>
      <c r="AE44" s="359" t="e">
        <f t="shared" si="14"/>
        <v>#NUM!</v>
      </c>
    </row>
    <row r="45" spans="2:31" x14ac:dyDescent="0.25">
      <c r="B45" s="354" t="s">
        <v>417</v>
      </c>
      <c r="C45" s="355" t="e">
        <f t="shared" si="3"/>
        <v>#VALUE!</v>
      </c>
      <c r="D45" s="356" t="e">
        <f t="shared" si="4"/>
        <v>#VALUE!</v>
      </c>
      <c r="E45" s="357" t="e">
        <f t="shared" si="23"/>
        <v>#VALUE!</v>
      </c>
      <c r="F45" s="358" t="e">
        <f t="shared" si="23"/>
        <v>#VALUE!</v>
      </c>
      <c r="G45" s="359" t="e">
        <f t="shared" si="6"/>
        <v>#VALUE!</v>
      </c>
      <c r="J45" s="354" t="str">
        <f t="shared" si="0"/>
        <v>M36</v>
      </c>
      <c r="K45" s="355">
        <f t="shared" si="7"/>
        <v>992.16205646072592</v>
      </c>
      <c r="L45" s="356">
        <f t="shared" si="15"/>
        <v>1016.6216496578685</v>
      </c>
      <c r="M45" s="357">
        <f t="shared" si="24"/>
        <v>31004.564097516519</v>
      </c>
      <c r="N45" s="358">
        <f t="shared" si="24"/>
        <v>41311.649322752863</v>
      </c>
      <c r="O45" s="359">
        <f t="shared" si="9"/>
        <v>121002.43590248348</v>
      </c>
      <c r="R45" s="354"/>
      <c r="S45" s="355">
        <f t="shared" si="10"/>
        <v>2529.2657858437224</v>
      </c>
      <c r="T45" s="356">
        <f t="shared" si="16"/>
        <v>4909.1078442467906</v>
      </c>
      <c r="U45" s="357">
        <f t="shared" si="21"/>
        <v>83436.324476228954</v>
      </c>
      <c r="V45" s="358">
        <f t="shared" si="21"/>
        <v>184345.12620702956</v>
      </c>
      <c r="W45" s="359">
        <f t="shared" si="11"/>
        <v>586563.67552377121</v>
      </c>
      <c r="Z45" s="354"/>
      <c r="AA45" s="355" t="e">
        <f t="shared" si="12"/>
        <v>#NUM!</v>
      </c>
      <c r="AB45" s="356" t="e">
        <f t="shared" si="13"/>
        <v>#NUM!</v>
      </c>
      <c r="AC45" s="357" t="e">
        <f t="shared" si="22"/>
        <v>#NUM!</v>
      </c>
      <c r="AD45" s="358" t="e">
        <f t="shared" si="22"/>
        <v>#NUM!</v>
      </c>
      <c r="AE45" s="359" t="e">
        <f t="shared" si="14"/>
        <v>#NUM!</v>
      </c>
    </row>
    <row r="46" spans="2:31" x14ac:dyDescent="0.25">
      <c r="B46" s="354" t="s">
        <v>418</v>
      </c>
      <c r="C46" s="355" t="e">
        <f t="shared" si="3"/>
        <v>#VALUE!</v>
      </c>
      <c r="D46" s="356" t="e">
        <f t="shared" si="4"/>
        <v>#VALUE!</v>
      </c>
      <c r="E46" s="357" t="e">
        <f t="shared" si="23"/>
        <v>#VALUE!</v>
      </c>
      <c r="F46" s="358" t="e">
        <f t="shared" si="23"/>
        <v>#VALUE!</v>
      </c>
      <c r="G46" s="359" t="e">
        <f t="shared" si="6"/>
        <v>#VALUE!</v>
      </c>
      <c r="J46" s="354" t="str">
        <f t="shared" si="0"/>
        <v>M37</v>
      </c>
      <c r="K46" s="355">
        <f t="shared" si="7"/>
        <v>1000.4300735978987</v>
      </c>
      <c r="L46" s="356">
        <f t="shared" si="15"/>
        <v>1008.3536325206957</v>
      </c>
      <c r="M46" s="357">
        <f t="shared" si="24"/>
        <v>32004.994171114417</v>
      </c>
      <c r="N46" s="358">
        <f t="shared" si="24"/>
        <v>42320.002955273558</v>
      </c>
      <c r="O46" s="359">
        <f t="shared" si="9"/>
        <v>120002.00582888558</v>
      </c>
      <c r="R46" s="354"/>
      <c r="S46" s="355">
        <f t="shared" si="10"/>
        <v>2550.343000725753</v>
      </c>
      <c r="T46" s="356">
        <f t="shared" si="16"/>
        <v>4888.03062936476</v>
      </c>
      <c r="U46" s="357">
        <f t="shared" si="21"/>
        <v>85986.66747695471</v>
      </c>
      <c r="V46" s="358">
        <f t="shared" si="21"/>
        <v>189233.15683639434</v>
      </c>
      <c r="W46" s="359">
        <f t="shared" si="11"/>
        <v>584013.33252304548</v>
      </c>
      <c r="Z46" s="354"/>
      <c r="AA46" s="355" t="e">
        <f t="shared" si="12"/>
        <v>#NUM!</v>
      </c>
      <c r="AB46" s="356" t="e">
        <f t="shared" si="13"/>
        <v>#NUM!</v>
      </c>
      <c r="AC46" s="357" t="e">
        <f t="shared" si="22"/>
        <v>#NUM!</v>
      </c>
      <c r="AD46" s="358" t="e">
        <f t="shared" si="22"/>
        <v>#NUM!</v>
      </c>
      <c r="AE46" s="359" t="e">
        <f t="shared" si="14"/>
        <v>#NUM!</v>
      </c>
    </row>
    <row r="47" spans="2:31" x14ac:dyDescent="0.25">
      <c r="B47" s="354" t="s">
        <v>419</v>
      </c>
      <c r="C47" s="355" t="e">
        <f t="shared" si="3"/>
        <v>#VALUE!</v>
      </c>
      <c r="D47" s="356" t="e">
        <f t="shared" si="4"/>
        <v>#VALUE!</v>
      </c>
      <c r="E47" s="357" t="e">
        <f t="shared" si="23"/>
        <v>#VALUE!</v>
      </c>
      <c r="F47" s="358" t="e">
        <f t="shared" si="23"/>
        <v>#VALUE!</v>
      </c>
      <c r="G47" s="359" t="e">
        <f t="shared" si="6"/>
        <v>#VALUE!</v>
      </c>
      <c r="J47" s="354" t="str">
        <f t="shared" si="0"/>
        <v>M38</v>
      </c>
      <c r="K47" s="355">
        <f t="shared" si="7"/>
        <v>1008.7669908778813</v>
      </c>
      <c r="L47" s="356">
        <f t="shared" si="15"/>
        <v>1000.0167152407131</v>
      </c>
      <c r="M47" s="357">
        <f t="shared" si="24"/>
        <v>33013.761161992297</v>
      </c>
      <c r="N47" s="358">
        <f t="shared" si="24"/>
        <v>43320.019670514273</v>
      </c>
      <c r="O47" s="359">
        <f t="shared" si="9"/>
        <v>118993.2388380077</v>
      </c>
      <c r="R47" s="354"/>
      <c r="S47" s="355">
        <f t="shared" si="10"/>
        <v>2571.5958590651344</v>
      </c>
      <c r="T47" s="356">
        <f t="shared" si="16"/>
        <v>4866.7777710253786</v>
      </c>
      <c r="U47" s="357">
        <f t="shared" si="21"/>
        <v>88558.263336019838</v>
      </c>
      <c r="V47" s="358">
        <f t="shared" si="21"/>
        <v>194099.93460741971</v>
      </c>
      <c r="W47" s="359">
        <f t="shared" si="11"/>
        <v>581441.73666398029</v>
      </c>
      <c r="Z47" s="354"/>
      <c r="AA47" s="355" t="e">
        <f t="shared" si="12"/>
        <v>#NUM!</v>
      </c>
      <c r="AB47" s="356" t="e">
        <f t="shared" si="13"/>
        <v>#NUM!</v>
      </c>
      <c r="AC47" s="357" t="e">
        <f t="shared" si="22"/>
        <v>#NUM!</v>
      </c>
      <c r="AD47" s="358" t="e">
        <f t="shared" si="22"/>
        <v>#NUM!</v>
      </c>
      <c r="AE47" s="359" t="e">
        <f t="shared" si="14"/>
        <v>#NUM!</v>
      </c>
    </row>
    <row r="48" spans="2:31" x14ac:dyDescent="0.25">
      <c r="B48" s="354" t="s">
        <v>420</v>
      </c>
      <c r="C48" s="355" t="e">
        <f t="shared" si="3"/>
        <v>#VALUE!</v>
      </c>
      <c r="D48" s="356" t="e">
        <f t="shared" si="4"/>
        <v>#VALUE!</v>
      </c>
      <c r="E48" s="357" t="e">
        <f t="shared" si="23"/>
        <v>#VALUE!</v>
      </c>
      <c r="F48" s="358" t="e">
        <f t="shared" si="23"/>
        <v>#VALUE!</v>
      </c>
      <c r="G48" s="359" t="e">
        <f t="shared" si="6"/>
        <v>#VALUE!</v>
      </c>
      <c r="J48" s="354" t="str">
        <f t="shared" si="0"/>
        <v>M39</v>
      </c>
      <c r="K48" s="355">
        <f t="shared" si="7"/>
        <v>1017.1733824685302</v>
      </c>
      <c r="L48" s="356">
        <f t="shared" si="15"/>
        <v>991.61032365006417</v>
      </c>
      <c r="M48" s="357">
        <f t="shared" si="24"/>
        <v>34030.934544460826</v>
      </c>
      <c r="N48" s="358">
        <f t="shared" si="24"/>
        <v>44311.629994164337</v>
      </c>
      <c r="O48" s="359">
        <f t="shared" si="9"/>
        <v>117976.06545553917</v>
      </c>
      <c r="R48" s="354"/>
      <c r="S48" s="355">
        <f t="shared" si="10"/>
        <v>2593.0258245573441</v>
      </c>
      <c r="T48" s="356">
        <f t="shared" si="16"/>
        <v>4845.3478055331689</v>
      </c>
      <c r="U48" s="357">
        <f t="shared" ref="U48:V63" si="25">U47+S48</f>
        <v>91151.289160577187</v>
      </c>
      <c r="V48" s="358">
        <f t="shared" si="25"/>
        <v>198945.28241295289</v>
      </c>
      <c r="W48" s="359">
        <f t="shared" si="11"/>
        <v>578848.710839423</v>
      </c>
      <c r="Z48" s="354"/>
      <c r="AA48" s="355" t="e">
        <f t="shared" si="12"/>
        <v>#NUM!</v>
      </c>
      <c r="AB48" s="356" t="e">
        <f t="shared" si="13"/>
        <v>#NUM!</v>
      </c>
      <c r="AC48" s="357" t="e">
        <f t="shared" ref="AC48:AD63" si="26">AC47+AA48</f>
        <v>#NUM!</v>
      </c>
      <c r="AD48" s="358" t="e">
        <f t="shared" si="26"/>
        <v>#NUM!</v>
      </c>
      <c r="AE48" s="359" t="e">
        <f t="shared" si="14"/>
        <v>#NUM!</v>
      </c>
    </row>
    <row r="49" spans="2:31" x14ac:dyDescent="0.25">
      <c r="B49" s="354" t="s">
        <v>421</v>
      </c>
      <c r="C49" s="355" t="e">
        <f t="shared" si="3"/>
        <v>#VALUE!</v>
      </c>
      <c r="D49" s="356" t="e">
        <f t="shared" si="4"/>
        <v>#VALUE!</v>
      </c>
      <c r="E49" s="357" t="e">
        <f t="shared" si="23"/>
        <v>#VALUE!</v>
      </c>
      <c r="F49" s="358" t="e">
        <f t="shared" si="23"/>
        <v>#VALUE!</v>
      </c>
      <c r="G49" s="359" t="e">
        <f t="shared" si="6"/>
        <v>#VALUE!</v>
      </c>
      <c r="J49" s="354" t="str">
        <f t="shared" si="0"/>
        <v>M40</v>
      </c>
      <c r="K49" s="355">
        <f t="shared" si="7"/>
        <v>1025.6498273224347</v>
      </c>
      <c r="L49" s="356">
        <f t="shared" si="15"/>
        <v>983.13387879615971</v>
      </c>
      <c r="M49" s="357">
        <f t="shared" si="24"/>
        <v>35056.584371783261</v>
      </c>
      <c r="N49" s="358">
        <f t="shared" si="24"/>
        <v>45294.763872960495</v>
      </c>
      <c r="O49" s="359">
        <f t="shared" si="9"/>
        <v>116950.41562821674</v>
      </c>
      <c r="R49" s="354"/>
      <c r="S49" s="355">
        <f t="shared" si="10"/>
        <v>2614.6343730953213</v>
      </c>
      <c r="T49" s="356">
        <f t="shared" si="16"/>
        <v>4823.7392569951917</v>
      </c>
      <c r="U49" s="357">
        <f t="shared" si="25"/>
        <v>93765.923533672511</v>
      </c>
      <c r="V49" s="358">
        <f t="shared" si="25"/>
        <v>203769.02166994807</v>
      </c>
      <c r="W49" s="359">
        <f t="shared" si="11"/>
        <v>576234.07646632765</v>
      </c>
      <c r="Z49" s="354"/>
      <c r="AA49" s="355" t="e">
        <f t="shared" si="12"/>
        <v>#NUM!</v>
      </c>
      <c r="AB49" s="356" t="e">
        <f t="shared" si="13"/>
        <v>#NUM!</v>
      </c>
      <c r="AC49" s="357" t="e">
        <f t="shared" si="26"/>
        <v>#NUM!</v>
      </c>
      <c r="AD49" s="358" t="e">
        <f t="shared" si="26"/>
        <v>#NUM!</v>
      </c>
      <c r="AE49" s="359" t="e">
        <f t="shared" si="14"/>
        <v>#NUM!</v>
      </c>
    </row>
    <row r="50" spans="2:31" x14ac:dyDescent="0.25">
      <c r="B50" s="354" t="s">
        <v>422</v>
      </c>
      <c r="C50" s="355" t="e">
        <f t="shared" si="3"/>
        <v>#VALUE!</v>
      </c>
      <c r="D50" s="356" t="e">
        <f t="shared" si="4"/>
        <v>#VALUE!</v>
      </c>
      <c r="E50" s="357" t="e">
        <f t="shared" si="23"/>
        <v>#VALUE!</v>
      </c>
      <c r="F50" s="358" t="e">
        <f t="shared" si="23"/>
        <v>#VALUE!</v>
      </c>
      <c r="G50" s="359" t="e">
        <f t="shared" si="6"/>
        <v>#VALUE!</v>
      </c>
      <c r="J50" s="354" t="str">
        <f t="shared" si="0"/>
        <v>M41</v>
      </c>
      <c r="K50" s="355">
        <f t="shared" si="7"/>
        <v>1034.1969092167883</v>
      </c>
      <c r="L50" s="356">
        <f t="shared" si="15"/>
        <v>974.58679690180611</v>
      </c>
      <c r="M50" s="357">
        <f t="shared" si="24"/>
        <v>36090.781281000047</v>
      </c>
      <c r="N50" s="358">
        <f t="shared" si="24"/>
        <v>46269.350669862302</v>
      </c>
      <c r="O50" s="359">
        <f t="shared" si="9"/>
        <v>115916.21871899995</v>
      </c>
      <c r="R50" s="354"/>
      <c r="S50" s="355">
        <f t="shared" si="10"/>
        <v>2636.4229928711156</v>
      </c>
      <c r="T50" s="356">
        <f t="shared" si="16"/>
        <v>4801.9506372193973</v>
      </c>
      <c r="U50" s="357">
        <f t="shared" si="25"/>
        <v>96402.346526543624</v>
      </c>
      <c r="V50" s="358">
        <f t="shared" si="25"/>
        <v>208570.97230716745</v>
      </c>
      <c r="W50" s="359">
        <f t="shared" si="11"/>
        <v>573597.65347345651</v>
      </c>
      <c r="Z50" s="354"/>
      <c r="AA50" s="355" t="e">
        <f t="shared" si="12"/>
        <v>#NUM!</v>
      </c>
      <c r="AB50" s="356" t="e">
        <f t="shared" si="13"/>
        <v>#NUM!</v>
      </c>
      <c r="AC50" s="357" t="e">
        <f t="shared" si="26"/>
        <v>#NUM!</v>
      </c>
      <c r="AD50" s="358" t="e">
        <f t="shared" si="26"/>
        <v>#NUM!</v>
      </c>
      <c r="AE50" s="359" t="e">
        <f t="shared" si="14"/>
        <v>#NUM!</v>
      </c>
    </row>
    <row r="51" spans="2:31" x14ac:dyDescent="0.25">
      <c r="B51" s="354" t="s">
        <v>423</v>
      </c>
      <c r="C51" s="355" t="e">
        <f t="shared" si="3"/>
        <v>#VALUE!</v>
      </c>
      <c r="D51" s="356" t="e">
        <f t="shared" si="4"/>
        <v>#VALUE!</v>
      </c>
      <c r="E51" s="357" t="e">
        <f t="shared" si="23"/>
        <v>#VALUE!</v>
      </c>
      <c r="F51" s="358" t="e">
        <f t="shared" si="23"/>
        <v>#VALUE!</v>
      </c>
      <c r="G51" s="359" t="e">
        <f t="shared" si="6"/>
        <v>#VALUE!</v>
      </c>
      <c r="J51" s="354" t="str">
        <f t="shared" si="0"/>
        <v>M42</v>
      </c>
      <c r="K51" s="355">
        <f t="shared" si="7"/>
        <v>1042.8152167935948</v>
      </c>
      <c r="L51" s="356">
        <f t="shared" si="15"/>
        <v>965.96848932499961</v>
      </c>
      <c r="M51" s="357">
        <f t="shared" si="24"/>
        <v>37133.596497793638</v>
      </c>
      <c r="N51" s="358">
        <f t="shared" si="24"/>
        <v>47235.319159187304</v>
      </c>
      <c r="O51" s="359">
        <f t="shared" si="9"/>
        <v>114873.40350220636</v>
      </c>
      <c r="R51" s="354"/>
      <c r="S51" s="355">
        <f t="shared" si="10"/>
        <v>2658.3931844783756</v>
      </c>
      <c r="T51" s="356">
        <f t="shared" si="16"/>
        <v>4779.9804456121374</v>
      </c>
      <c r="U51" s="357">
        <f t="shared" si="25"/>
        <v>99060.739711022004</v>
      </c>
      <c r="V51" s="358">
        <f t="shared" si="25"/>
        <v>213350.95275277959</v>
      </c>
      <c r="W51" s="359">
        <f t="shared" si="11"/>
        <v>570939.26028897811</v>
      </c>
      <c r="Z51" s="354"/>
      <c r="AA51" s="355" t="e">
        <f t="shared" si="12"/>
        <v>#NUM!</v>
      </c>
      <c r="AB51" s="356" t="e">
        <f t="shared" si="13"/>
        <v>#NUM!</v>
      </c>
      <c r="AC51" s="357" t="e">
        <f t="shared" si="26"/>
        <v>#NUM!</v>
      </c>
      <c r="AD51" s="358" t="e">
        <f t="shared" si="26"/>
        <v>#NUM!</v>
      </c>
      <c r="AE51" s="359" t="e">
        <f t="shared" si="14"/>
        <v>#NUM!</v>
      </c>
    </row>
    <row r="52" spans="2:31" x14ac:dyDescent="0.25">
      <c r="B52" s="354" t="s">
        <v>424</v>
      </c>
      <c r="C52" s="355" t="e">
        <f t="shared" si="3"/>
        <v>#VALUE!</v>
      </c>
      <c r="D52" s="356" t="e">
        <f t="shared" si="4"/>
        <v>#VALUE!</v>
      </c>
      <c r="E52" s="357" t="e">
        <f t="shared" si="23"/>
        <v>#VALUE!</v>
      </c>
      <c r="F52" s="358" t="e">
        <f t="shared" si="23"/>
        <v>#VALUE!</v>
      </c>
      <c r="G52" s="359" t="e">
        <f t="shared" si="6"/>
        <v>#VALUE!</v>
      </c>
      <c r="J52" s="354" t="str">
        <f t="shared" si="0"/>
        <v>M43</v>
      </c>
      <c r="K52" s="355">
        <f t="shared" si="7"/>
        <v>1051.5053436002081</v>
      </c>
      <c r="L52" s="356">
        <f t="shared" si="15"/>
        <v>957.2783625183863</v>
      </c>
      <c r="M52" s="357">
        <f t="shared" si="24"/>
        <v>38185.101841393844</v>
      </c>
      <c r="N52" s="358">
        <f t="shared" si="24"/>
        <v>48192.597521705691</v>
      </c>
      <c r="O52" s="359">
        <f t="shared" si="9"/>
        <v>113821.89815860616</v>
      </c>
      <c r="R52" s="354"/>
      <c r="S52" s="355">
        <f t="shared" si="10"/>
        <v>2680.5464610156951</v>
      </c>
      <c r="T52" s="356">
        <f t="shared" si="16"/>
        <v>4757.8271690748179</v>
      </c>
      <c r="U52" s="357">
        <f t="shared" si="25"/>
        <v>101741.2861720377</v>
      </c>
      <c r="V52" s="358">
        <f t="shared" si="25"/>
        <v>218108.77992185441</v>
      </c>
      <c r="W52" s="359">
        <f t="shared" si="11"/>
        <v>568258.71382796241</v>
      </c>
      <c r="Z52" s="354"/>
      <c r="AA52" s="355" t="e">
        <f t="shared" si="12"/>
        <v>#NUM!</v>
      </c>
      <c r="AB52" s="356" t="e">
        <f t="shared" si="13"/>
        <v>#NUM!</v>
      </c>
      <c r="AC52" s="357" t="e">
        <f t="shared" si="26"/>
        <v>#NUM!</v>
      </c>
      <c r="AD52" s="358" t="e">
        <f t="shared" si="26"/>
        <v>#NUM!</v>
      </c>
      <c r="AE52" s="359" t="e">
        <f t="shared" si="14"/>
        <v>#NUM!</v>
      </c>
    </row>
    <row r="53" spans="2:31" x14ac:dyDescent="0.25">
      <c r="B53" s="354" t="s">
        <v>425</v>
      </c>
      <c r="C53" s="355" t="e">
        <f t="shared" si="3"/>
        <v>#VALUE!</v>
      </c>
      <c r="D53" s="356" t="e">
        <f>B44*B53/I5</f>
        <v>#VALUE!</v>
      </c>
      <c r="E53" s="357" t="e">
        <f t="shared" si="23"/>
        <v>#VALUE!</v>
      </c>
      <c r="F53" s="358" t="e">
        <f t="shared" si="23"/>
        <v>#VALUE!</v>
      </c>
      <c r="G53" s="359" t="e">
        <f t="shared" si="6"/>
        <v>#VALUE!</v>
      </c>
      <c r="J53" s="354" t="str">
        <f t="shared" si="0"/>
        <v>M44</v>
      </c>
      <c r="K53" s="355">
        <f t="shared" si="7"/>
        <v>1060.2678881302099</v>
      </c>
      <c r="L53" s="356">
        <f t="shared" si="15"/>
        <v>948.51581798838458</v>
      </c>
      <c r="M53" s="357">
        <f t="shared" si="24"/>
        <v>39245.369729524056</v>
      </c>
      <c r="N53" s="358">
        <f t="shared" si="24"/>
        <v>49141.113339694079</v>
      </c>
      <c r="O53" s="359">
        <f t="shared" si="9"/>
        <v>112761.63027047594</v>
      </c>
      <c r="R53" s="354"/>
      <c r="S53" s="355">
        <f t="shared" si="10"/>
        <v>2702.8843481908261</v>
      </c>
      <c r="T53" s="356">
        <f t="shared" si="16"/>
        <v>4735.4892818996868</v>
      </c>
      <c r="U53" s="357">
        <f t="shared" si="25"/>
        <v>104444.17052022852</v>
      </c>
      <c r="V53" s="358">
        <f t="shared" si="25"/>
        <v>222844.26920375408</v>
      </c>
      <c r="W53" s="359">
        <f t="shared" si="11"/>
        <v>565555.82947977155</v>
      </c>
      <c r="Z53" s="354"/>
      <c r="AA53" s="355" t="e">
        <f t="shared" si="12"/>
        <v>#NUM!</v>
      </c>
      <c r="AB53" s="356" t="e">
        <f t="shared" si="13"/>
        <v>#NUM!</v>
      </c>
      <c r="AC53" s="357" t="e">
        <f t="shared" si="26"/>
        <v>#NUM!</v>
      </c>
      <c r="AD53" s="358" t="e">
        <f t="shared" si="26"/>
        <v>#NUM!</v>
      </c>
      <c r="AE53" s="359" t="e">
        <f t="shared" si="14"/>
        <v>#NUM!</v>
      </c>
    </row>
    <row r="54" spans="2:31" x14ac:dyDescent="0.25">
      <c r="B54" s="354" t="s">
        <v>426</v>
      </c>
      <c r="C54" s="355" t="e">
        <f t="shared" si="3"/>
        <v>#VALUE!</v>
      </c>
      <c r="D54" s="356" t="e">
        <f t="shared" si="4"/>
        <v>#VALUE!</v>
      </c>
      <c r="E54" s="357" t="e">
        <f t="shared" si="23"/>
        <v>#VALUE!</v>
      </c>
      <c r="F54" s="358" t="e">
        <f t="shared" si="23"/>
        <v>#VALUE!</v>
      </c>
      <c r="G54" s="359" t="e">
        <f t="shared" si="6"/>
        <v>#VALUE!</v>
      </c>
      <c r="J54" s="354" t="str">
        <f t="shared" si="0"/>
        <v>M45</v>
      </c>
      <c r="K54" s="355">
        <f t="shared" si="7"/>
        <v>1069.1034538646281</v>
      </c>
      <c r="L54" s="356">
        <f t="shared" si="15"/>
        <v>939.68025225396616</v>
      </c>
      <c r="M54" s="357">
        <f t="shared" si="24"/>
        <v>40314.473183388684</v>
      </c>
      <c r="N54" s="358">
        <f t="shared" si="24"/>
        <v>50080.793591948044</v>
      </c>
      <c r="O54" s="359">
        <f t="shared" si="9"/>
        <v>111692.52681661131</v>
      </c>
      <c r="R54" s="354"/>
      <c r="S54" s="355">
        <f t="shared" si="10"/>
        <v>2725.4083844257502</v>
      </c>
      <c r="T54" s="356">
        <f t="shared" si="16"/>
        <v>4712.9652456647627</v>
      </c>
      <c r="U54" s="357">
        <f t="shared" si="25"/>
        <v>107169.57890465428</v>
      </c>
      <c r="V54" s="358">
        <f t="shared" si="25"/>
        <v>227557.23444941884</v>
      </c>
      <c r="W54" s="359">
        <f t="shared" si="11"/>
        <v>562830.42109534575</v>
      </c>
      <c r="Z54" s="354"/>
      <c r="AA54" s="355" t="e">
        <f t="shared" si="12"/>
        <v>#NUM!</v>
      </c>
      <c r="AB54" s="356" t="e">
        <f t="shared" si="13"/>
        <v>#NUM!</v>
      </c>
      <c r="AC54" s="357" t="e">
        <f t="shared" si="26"/>
        <v>#NUM!</v>
      </c>
      <c r="AD54" s="358" t="e">
        <f t="shared" si="26"/>
        <v>#NUM!</v>
      </c>
      <c r="AE54" s="359" t="e">
        <f t="shared" si="14"/>
        <v>#NUM!</v>
      </c>
    </row>
    <row r="55" spans="2:31" x14ac:dyDescent="0.25">
      <c r="B55" s="354" t="s">
        <v>427</v>
      </c>
      <c r="C55" s="355" t="e">
        <f t="shared" si="3"/>
        <v>#VALUE!</v>
      </c>
      <c r="D55" s="356" t="e">
        <f t="shared" si="4"/>
        <v>#VALUE!</v>
      </c>
      <c r="E55" s="357" t="e">
        <f t="shared" si="23"/>
        <v>#VALUE!</v>
      </c>
      <c r="F55" s="358" t="e">
        <f t="shared" si="23"/>
        <v>#VALUE!</v>
      </c>
      <c r="G55" s="359" t="e">
        <f t="shared" si="6"/>
        <v>#VALUE!</v>
      </c>
      <c r="J55" s="354" t="str">
        <f t="shared" si="0"/>
        <v>M46</v>
      </c>
      <c r="K55" s="355">
        <f t="shared" si="7"/>
        <v>1078.0126493135003</v>
      </c>
      <c r="L55" s="356">
        <f t="shared" si="15"/>
        <v>930.77105680509419</v>
      </c>
      <c r="M55" s="357">
        <f t="shared" si="24"/>
        <v>41392.485832702187</v>
      </c>
      <c r="N55" s="358">
        <f t="shared" si="24"/>
        <v>51011.564648753141</v>
      </c>
      <c r="O55" s="359">
        <f t="shared" si="9"/>
        <v>110614.51416729781</v>
      </c>
      <c r="R55" s="354"/>
      <c r="S55" s="355">
        <f t="shared" si="10"/>
        <v>2748.1201209626315</v>
      </c>
      <c r="T55" s="356">
        <f t="shared" si="16"/>
        <v>4690.2535091278814</v>
      </c>
      <c r="U55" s="357">
        <f t="shared" si="25"/>
        <v>109917.69902561691</v>
      </c>
      <c r="V55" s="358">
        <f t="shared" si="25"/>
        <v>232247.48795854673</v>
      </c>
      <c r="W55" s="359">
        <f t="shared" si="11"/>
        <v>560082.30097438314</v>
      </c>
      <c r="Z55" s="354"/>
      <c r="AA55" s="355" t="e">
        <f t="shared" si="12"/>
        <v>#NUM!</v>
      </c>
      <c r="AB55" s="356" t="e">
        <f t="shared" si="13"/>
        <v>#NUM!</v>
      </c>
      <c r="AC55" s="357" t="e">
        <f t="shared" si="26"/>
        <v>#NUM!</v>
      </c>
      <c r="AD55" s="358" t="e">
        <f t="shared" si="26"/>
        <v>#NUM!</v>
      </c>
      <c r="AE55" s="359" t="e">
        <f t="shared" si="14"/>
        <v>#NUM!</v>
      </c>
    </row>
    <row r="56" spans="2:31" x14ac:dyDescent="0.25">
      <c r="B56" s="354" t="s">
        <v>428</v>
      </c>
      <c r="C56" s="355" t="e">
        <f t="shared" si="3"/>
        <v>#VALUE!</v>
      </c>
      <c r="D56" s="356" t="e">
        <f t="shared" si="4"/>
        <v>#VALUE!</v>
      </c>
      <c r="E56" s="357" t="e">
        <f t="shared" si="23"/>
        <v>#VALUE!</v>
      </c>
      <c r="F56" s="358" t="e">
        <f t="shared" si="23"/>
        <v>#VALUE!</v>
      </c>
      <c r="G56" s="359" t="e">
        <f t="shared" si="6"/>
        <v>#VALUE!</v>
      </c>
      <c r="J56" s="354" t="str">
        <f t="shared" si="0"/>
        <v>M47</v>
      </c>
      <c r="K56" s="355">
        <f t="shared" si="7"/>
        <v>1086.9960880577794</v>
      </c>
      <c r="L56" s="356">
        <f t="shared" si="15"/>
        <v>921.78761806081502</v>
      </c>
      <c r="M56" s="357">
        <f t="shared" si="24"/>
        <v>42479.481920759965</v>
      </c>
      <c r="N56" s="358">
        <f t="shared" si="24"/>
        <v>51933.352266813956</v>
      </c>
      <c r="O56" s="359">
        <f t="shared" si="9"/>
        <v>109527.51807924002</v>
      </c>
      <c r="R56" s="354"/>
      <c r="S56" s="355">
        <f t="shared" si="10"/>
        <v>2771.0211219706534</v>
      </c>
      <c r="T56" s="356">
        <f t="shared" si="16"/>
        <v>4667.3525081198595</v>
      </c>
      <c r="U56" s="357">
        <f t="shared" si="25"/>
        <v>112688.72014758756</v>
      </c>
      <c r="V56" s="358">
        <f t="shared" si="25"/>
        <v>236914.84046666659</v>
      </c>
      <c r="W56" s="359">
        <f t="shared" si="11"/>
        <v>557311.27985241252</v>
      </c>
      <c r="Z56" s="354"/>
      <c r="AA56" s="355" t="e">
        <f t="shared" si="12"/>
        <v>#NUM!</v>
      </c>
      <c r="AB56" s="356" t="e">
        <f t="shared" si="13"/>
        <v>#NUM!</v>
      </c>
      <c r="AC56" s="357" t="e">
        <f t="shared" si="26"/>
        <v>#NUM!</v>
      </c>
      <c r="AD56" s="358" t="e">
        <f t="shared" si="26"/>
        <v>#NUM!</v>
      </c>
      <c r="AE56" s="359" t="e">
        <f t="shared" si="14"/>
        <v>#NUM!</v>
      </c>
    </row>
    <row r="57" spans="2:31" x14ac:dyDescent="0.25">
      <c r="B57" s="354" t="s">
        <v>429</v>
      </c>
      <c r="C57" s="355" t="e">
        <f t="shared" si="3"/>
        <v>#VALUE!</v>
      </c>
      <c r="D57" s="356" t="e">
        <f t="shared" si="4"/>
        <v>#VALUE!</v>
      </c>
      <c r="E57" s="357" t="e">
        <f t="shared" si="23"/>
        <v>#VALUE!</v>
      </c>
      <c r="F57" s="358" t="e">
        <f t="shared" si="23"/>
        <v>#VALUE!</v>
      </c>
      <c r="G57" s="359" t="e">
        <f t="shared" si="6"/>
        <v>#VALUE!</v>
      </c>
      <c r="J57" s="354" t="str">
        <f t="shared" si="0"/>
        <v>M48</v>
      </c>
      <c r="K57" s="355">
        <f t="shared" si="7"/>
        <v>1096.0543887915942</v>
      </c>
      <c r="L57" s="356">
        <f t="shared" si="15"/>
        <v>912.7293173270001</v>
      </c>
      <c r="M57" s="357">
        <f t="shared" si="24"/>
        <v>43575.536309551557</v>
      </c>
      <c r="N57" s="358">
        <f t="shared" si="24"/>
        <v>52846.081584140957</v>
      </c>
      <c r="O57" s="359">
        <f t="shared" si="9"/>
        <v>108431.46369044842</v>
      </c>
      <c r="R57" s="354"/>
      <c r="S57" s="355">
        <f t="shared" si="10"/>
        <v>2794.112964653742</v>
      </c>
      <c r="T57" s="356">
        <f t="shared" si="16"/>
        <v>4644.260665436771</v>
      </c>
      <c r="U57" s="357">
        <f t="shared" si="25"/>
        <v>115482.83311224131</v>
      </c>
      <c r="V57" s="358">
        <f t="shared" si="25"/>
        <v>241559.10113210336</v>
      </c>
      <c r="W57" s="359">
        <f t="shared" si="11"/>
        <v>554517.16688775877</v>
      </c>
      <c r="Z57" s="354"/>
      <c r="AA57" s="355" t="e">
        <f t="shared" si="12"/>
        <v>#NUM!</v>
      </c>
      <c r="AB57" s="356" t="e">
        <f t="shared" si="13"/>
        <v>#NUM!</v>
      </c>
      <c r="AC57" s="357" t="e">
        <f t="shared" si="26"/>
        <v>#NUM!</v>
      </c>
      <c r="AD57" s="358" t="e">
        <f t="shared" si="26"/>
        <v>#NUM!</v>
      </c>
      <c r="AE57" s="359" t="e">
        <f t="shared" si="14"/>
        <v>#NUM!</v>
      </c>
    </row>
    <row r="58" spans="2:31" x14ac:dyDescent="0.25">
      <c r="B58" s="354" t="s">
        <v>430</v>
      </c>
      <c r="C58" s="355" t="e">
        <f t="shared" si="3"/>
        <v>#VALUE!</v>
      </c>
      <c r="D58" s="356" t="e">
        <f t="shared" si="4"/>
        <v>#VALUE!</v>
      </c>
      <c r="E58" s="357" t="e">
        <f t="shared" si="23"/>
        <v>#VALUE!</v>
      </c>
      <c r="F58" s="358" t="e">
        <f t="shared" si="23"/>
        <v>#VALUE!</v>
      </c>
      <c r="G58" s="359" t="e">
        <f t="shared" si="6"/>
        <v>#VALUE!</v>
      </c>
      <c r="J58" s="354" t="str">
        <f t="shared" si="0"/>
        <v>M49</v>
      </c>
      <c r="K58" s="355">
        <f t="shared" si="7"/>
        <v>1105.1881753648577</v>
      </c>
      <c r="L58" s="356">
        <f t="shared" si="15"/>
        <v>903.59553075373685</v>
      </c>
      <c r="M58" s="357">
        <f t="shared" si="24"/>
        <v>44680.724484916413</v>
      </c>
      <c r="N58" s="358">
        <f t="shared" si="24"/>
        <v>53749.677114894694</v>
      </c>
      <c r="O58" s="359">
        <f t="shared" si="9"/>
        <v>107326.27551508356</v>
      </c>
      <c r="R58" s="354"/>
      <c r="S58" s="355">
        <f t="shared" si="10"/>
        <v>2817.3972393591903</v>
      </c>
      <c r="T58" s="356">
        <f t="shared" si="16"/>
        <v>4620.9763907313227</v>
      </c>
      <c r="U58" s="357">
        <f t="shared" si="25"/>
        <v>118300.2303516005</v>
      </c>
      <c r="V58" s="358">
        <f t="shared" si="25"/>
        <v>246180.07752283468</v>
      </c>
      <c r="W58" s="359">
        <f t="shared" si="11"/>
        <v>551699.76964839955</v>
      </c>
      <c r="Z58" s="354"/>
      <c r="AA58" s="355" t="e">
        <f t="shared" si="12"/>
        <v>#NUM!</v>
      </c>
      <c r="AB58" s="356" t="e">
        <f t="shared" si="13"/>
        <v>#NUM!</v>
      </c>
      <c r="AC58" s="357" t="e">
        <f t="shared" si="26"/>
        <v>#NUM!</v>
      </c>
      <c r="AD58" s="358" t="e">
        <f t="shared" si="26"/>
        <v>#NUM!</v>
      </c>
      <c r="AE58" s="359" t="e">
        <f t="shared" si="14"/>
        <v>#NUM!</v>
      </c>
    </row>
    <row r="59" spans="2:31" x14ac:dyDescent="0.25">
      <c r="B59" s="354" t="s">
        <v>431</v>
      </c>
      <c r="C59" s="355" t="e">
        <f t="shared" si="3"/>
        <v>#VALUE!</v>
      </c>
      <c r="D59" s="356" t="e">
        <f t="shared" si="4"/>
        <v>#VALUE!</v>
      </c>
      <c r="E59" s="357" t="e">
        <f t="shared" si="23"/>
        <v>#VALUE!</v>
      </c>
      <c r="F59" s="358" t="e">
        <f t="shared" si="23"/>
        <v>#VALUE!</v>
      </c>
      <c r="G59" s="359" t="e">
        <f t="shared" si="6"/>
        <v>#VALUE!</v>
      </c>
      <c r="J59" s="354" t="str">
        <f t="shared" si="0"/>
        <v>M50</v>
      </c>
      <c r="K59" s="355">
        <f t="shared" si="7"/>
        <v>1114.3980768262313</v>
      </c>
      <c r="L59" s="356">
        <f t="shared" si="15"/>
        <v>894.38562929236298</v>
      </c>
      <c r="M59" s="357">
        <f t="shared" si="24"/>
        <v>45795.122561742646</v>
      </c>
      <c r="N59" s="358">
        <f t="shared" si="24"/>
        <v>54644.06274418706</v>
      </c>
      <c r="O59" s="359">
        <f t="shared" si="9"/>
        <v>106211.87743825733</v>
      </c>
      <c r="R59" s="354"/>
      <c r="S59" s="355">
        <f t="shared" si="10"/>
        <v>2840.8755496871836</v>
      </c>
      <c r="T59" s="356">
        <f t="shared" si="16"/>
        <v>4597.4980804033294</v>
      </c>
      <c r="U59" s="357">
        <f t="shared" si="25"/>
        <v>121141.10590128769</v>
      </c>
      <c r="V59" s="358">
        <f t="shared" si="25"/>
        <v>250777.57560323802</v>
      </c>
      <c r="W59" s="359">
        <f t="shared" si="11"/>
        <v>548858.89409871236</v>
      </c>
      <c r="Z59" s="354"/>
      <c r="AA59" s="355" t="e">
        <f t="shared" si="12"/>
        <v>#NUM!</v>
      </c>
      <c r="AB59" s="356" t="e">
        <f t="shared" si="13"/>
        <v>#NUM!</v>
      </c>
      <c r="AC59" s="357" t="e">
        <f t="shared" si="26"/>
        <v>#NUM!</v>
      </c>
      <c r="AD59" s="358" t="e">
        <f t="shared" si="26"/>
        <v>#NUM!</v>
      </c>
      <c r="AE59" s="359" t="e">
        <f t="shared" si="14"/>
        <v>#NUM!</v>
      </c>
    </row>
    <row r="60" spans="2:31" x14ac:dyDescent="0.25">
      <c r="B60" s="354" t="s">
        <v>432</v>
      </c>
      <c r="C60" s="355" t="e">
        <f t="shared" si="3"/>
        <v>#VALUE!</v>
      </c>
      <c r="D60" s="356" t="e">
        <f t="shared" si="4"/>
        <v>#VALUE!</v>
      </c>
      <c r="E60" s="357" t="e">
        <f t="shared" ref="E60:F75" si="27">E59+C60</f>
        <v>#VALUE!</v>
      </c>
      <c r="F60" s="358" t="e">
        <f t="shared" si="27"/>
        <v>#VALUE!</v>
      </c>
      <c r="G60" s="359" t="e">
        <f t="shared" si="6"/>
        <v>#VALUE!</v>
      </c>
      <c r="J60" s="354" t="str">
        <f t="shared" si="0"/>
        <v>M51</v>
      </c>
      <c r="K60" s="355">
        <f t="shared" si="7"/>
        <v>1123.6847274664501</v>
      </c>
      <c r="L60" s="356">
        <f t="shared" si="15"/>
        <v>885.09897865214441</v>
      </c>
      <c r="M60" s="357">
        <f t="shared" ref="M60:N75" si="28">M59+K60</f>
        <v>46918.807289209093</v>
      </c>
      <c r="N60" s="358">
        <f t="shared" si="28"/>
        <v>55529.161722839206</v>
      </c>
      <c r="O60" s="359">
        <f t="shared" si="9"/>
        <v>105088.19271079089</v>
      </c>
      <c r="R60" s="354"/>
      <c r="S60" s="355">
        <f t="shared" si="10"/>
        <v>2864.5495126012429</v>
      </c>
      <c r="T60" s="356">
        <f t="shared" si="16"/>
        <v>4573.8241174892701</v>
      </c>
      <c r="U60" s="357">
        <f t="shared" si="25"/>
        <v>124005.65541388893</v>
      </c>
      <c r="V60" s="358">
        <f t="shared" si="25"/>
        <v>255351.39972072729</v>
      </c>
      <c r="W60" s="359">
        <f t="shared" si="11"/>
        <v>545994.34458611114</v>
      </c>
      <c r="Z60" s="354"/>
      <c r="AA60" s="355" t="e">
        <f t="shared" si="12"/>
        <v>#NUM!</v>
      </c>
      <c r="AB60" s="356" t="e">
        <f t="shared" si="13"/>
        <v>#NUM!</v>
      </c>
      <c r="AC60" s="357" t="e">
        <f t="shared" si="26"/>
        <v>#NUM!</v>
      </c>
      <c r="AD60" s="358" t="e">
        <f t="shared" si="26"/>
        <v>#NUM!</v>
      </c>
      <c r="AE60" s="359" t="e">
        <f t="shared" si="14"/>
        <v>#NUM!</v>
      </c>
    </row>
    <row r="61" spans="2:31" x14ac:dyDescent="0.25">
      <c r="B61" s="354" t="s">
        <v>433</v>
      </c>
      <c r="C61" s="355" t="e">
        <f t="shared" si="3"/>
        <v>#VALUE!</v>
      </c>
      <c r="D61" s="356" t="e">
        <f t="shared" si="4"/>
        <v>#VALUE!</v>
      </c>
      <c r="E61" s="357" t="e">
        <f t="shared" si="27"/>
        <v>#VALUE!</v>
      </c>
      <c r="F61" s="358" t="e">
        <f t="shared" si="27"/>
        <v>#VALUE!</v>
      </c>
      <c r="G61" s="359" t="e">
        <f t="shared" si="6"/>
        <v>#VALUE!</v>
      </c>
      <c r="J61" s="354" t="str">
        <f t="shared" si="0"/>
        <v>M52</v>
      </c>
      <c r="K61" s="355">
        <f t="shared" si="7"/>
        <v>1133.0487668620037</v>
      </c>
      <c r="L61" s="356">
        <f t="shared" si="15"/>
        <v>875.73493925659068</v>
      </c>
      <c r="M61" s="357">
        <f t="shared" si="28"/>
        <v>48051.856056071098</v>
      </c>
      <c r="N61" s="358">
        <f t="shared" si="28"/>
        <v>56404.896662095794</v>
      </c>
      <c r="O61" s="359">
        <f t="shared" si="9"/>
        <v>103955.14394392888</v>
      </c>
      <c r="R61" s="354"/>
      <c r="S61" s="355">
        <f t="shared" si="10"/>
        <v>2888.420758539587</v>
      </c>
      <c r="T61" s="356">
        <f t="shared" si="16"/>
        <v>4549.9528715509259</v>
      </c>
      <c r="U61" s="357">
        <f t="shared" si="25"/>
        <v>126894.07617242853</v>
      </c>
      <c r="V61" s="358">
        <f t="shared" si="25"/>
        <v>259901.35259227821</v>
      </c>
      <c r="W61" s="359">
        <f t="shared" si="11"/>
        <v>543105.92382757156</v>
      </c>
      <c r="Z61" s="354"/>
      <c r="AA61" s="355" t="e">
        <f t="shared" si="12"/>
        <v>#NUM!</v>
      </c>
      <c r="AB61" s="356" t="e">
        <f t="shared" si="13"/>
        <v>#NUM!</v>
      </c>
      <c r="AC61" s="357" t="e">
        <f t="shared" si="26"/>
        <v>#NUM!</v>
      </c>
      <c r="AD61" s="358" t="e">
        <f t="shared" si="26"/>
        <v>#NUM!</v>
      </c>
      <c r="AE61" s="359" t="e">
        <f t="shared" si="14"/>
        <v>#NUM!</v>
      </c>
    </row>
    <row r="62" spans="2:31" x14ac:dyDescent="0.25">
      <c r="B62" s="354" t="s">
        <v>434</v>
      </c>
      <c r="C62" s="355" t="e">
        <f t="shared" si="3"/>
        <v>#VALUE!</v>
      </c>
      <c r="D62" s="356" t="e">
        <f t="shared" si="4"/>
        <v>#VALUE!</v>
      </c>
      <c r="E62" s="357" t="e">
        <f t="shared" si="27"/>
        <v>#VALUE!</v>
      </c>
      <c r="F62" s="358" t="e">
        <f t="shared" si="27"/>
        <v>#VALUE!</v>
      </c>
      <c r="G62" s="359" t="e">
        <f t="shared" si="6"/>
        <v>#VALUE!</v>
      </c>
      <c r="J62" s="354" t="str">
        <f t="shared" si="0"/>
        <v>M53</v>
      </c>
      <c r="K62" s="355">
        <f t="shared" si="7"/>
        <v>1142.4908399191872</v>
      </c>
      <c r="L62" s="356">
        <f t="shared" si="15"/>
        <v>866.29286619940729</v>
      </c>
      <c r="M62" s="357">
        <f t="shared" si="28"/>
        <v>49194.346895990282</v>
      </c>
      <c r="N62" s="358">
        <f t="shared" si="28"/>
        <v>57271.189528295203</v>
      </c>
      <c r="O62" s="359">
        <f t="shared" si="9"/>
        <v>102812.65310400969</v>
      </c>
      <c r="R62" s="354"/>
      <c r="S62" s="355">
        <f t="shared" si="10"/>
        <v>2912.4909315274163</v>
      </c>
      <c r="T62" s="356">
        <f t="shared" si="16"/>
        <v>4525.8826985630967</v>
      </c>
      <c r="U62" s="357">
        <f t="shared" si="25"/>
        <v>129806.56710395594</v>
      </c>
      <c r="V62" s="358">
        <f t="shared" si="25"/>
        <v>264427.23529084132</v>
      </c>
      <c r="W62" s="359">
        <f t="shared" si="11"/>
        <v>540193.43289604411</v>
      </c>
      <c r="Z62" s="354"/>
      <c r="AA62" s="355" t="e">
        <f t="shared" si="12"/>
        <v>#NUM!</v>
      </c>
      <c r="AB62" s="356" t="e">
        <f t="shared" si="13"/>
        <v>#NUM!</v>
      </c>
      <c r="AC62" s="357" t="e">
        <f t="shared" si="26"/>
        <v>#NUM!</v>
      </c>
      <c r="AD62" s="358" t="e">
        <f t="shared" si="26"/>
        <v>#NUM!</v>
      </c>
      <c r="AE62" s="359" t="e">
        <f t="shared" si="14"/>
        <v>#NUM!</v>
      </c>
    </row>
    <row r="63" spans="2:31" x14ac:dyDescent="0.25">
      <c r="B63" s="354" t="s">
        <v>435</v>
      </c>
      <c r="C63" s="355" t="e">
        <f t="shared" si="3"/>
        <v>#VALUE!</v>
      </c>
      <c r="D63" s="356" t="e">
        <f t="shared" si="4"/>
        <v>#VALUE!</v>
      </c>
      <c r="E63" s="357" t="e">
        <f t="shared" si="27"/>
        <v>#VALUE!</v>
      </c>
      <c r="F63" s="358" t="e">
        <f t="shared" si="27"/>
        <v>#VALUE!</v>
      </c>
      <c r="G63" s="359" t="e">
        <f t="shared" si="6"/>
        <v>#VALUE!</v>
      </c>
      <c r="J63" s="354" t="str">
        <f t="shared" si="0"/>
        <v>M54</v>
      </c>
      <c r="K63" s="355">
        <f t="shared" si="7"/>
        <v>1152.0115969185135</v>
      </c>
      <c r="L63" s="356">
        <f t="shared" si="15"/>
        <v>856.77210920008076</v>
      </c>
      <c r="M63" s="357">
        <f t="shared" si="28"/>
        <v>50346.358492908796</v>
      </c>
      <c r="N63" s="358">
        <f t="shared" si="28"/>
        <v>58127.961637495282</v>
      </c>
      <c r="O63" s="359">
        <f t="shared" si="9"/>
        <v>101660.64150709118</v>
      </c>
      <c r="R63" s="354"/>
      <c r="S63" s="355">
        <f t="shared" si="10"/>
        <v>2936.7616892901451</v>
      </c>
      <c r="T63" s="356">
        <f t="shared" si="16"/>
        <v>4501.6119408003678</v>
      </c>
      <c r="U63" s="357">
        <f t="shared" si="25"/>
        <v>132743.3287932461</v>
      </c>
      <c r="V63" s="358">
        <f t="shared" si="25"/>
        <v>268928.8472316417</v>
      </c>
      <c r="W63" s="359">
        <f t="shared" si="11"/>
        <v>537256.67120675393</v>
      </c>
      <c r="Z63" s="354"/>
      <c r="AA63" s="355" t="e">
        <f t="shared" si="12"/>
        <v>#NUM!</v>
      </c>
      <c r="AB63" s="356" t="e">
        <f t="shared" si="13"/>
        <v>#NUM!</v>
      </c>
      <c r="AC63" s="357" t="e">
        <f t="shared" si="26"/>
        <v>#NUM!</v>
      </c>
      <c r="AD63" s="358" t="e">
        <f t="shared" si="26"/>
        <v>#NUM!</v>
      </c>
      <c r="AE63" s="359" t="e">
        <f t="shared" si="14"/>
        <v>#NUM!</v>
      </c>
    </row>
    <row r="64" spans="2:31" x14ac:dyDescent="0.25">
      <c r="B64" s="354" t="s">
        <v>436</v>
      </c>
      <c r="C64" s="355" t="e">
        <f t="shared" si="3"/>
        <v>#VALUE!</v>
      </c>
      <c r="D64" s="356" t="e">
        <f t="shared" si="4"/>
        <v>#VALUE!</v>
      </c>
      <c r="E64" s="357" t="e">
        <f t="shared" si="27"/>
        <v>#VALUE!</v>
      </c>
      <c r="F64" s="358" t="e">
        <f t="shared" si="27"/>
        <v>#VALUE!</v>
      </c>
      <c r="G64" s="359" t="e">
        <f t="shared" si="6"/>
        <v>#VALUE!</v>
      </c>
      <c r="J64" s="354" t="str">
        <f t="shared" si="0"/>
        <v>M55</v>
      </c>
      <c r="K64" s="355">
        <f t="shared" si="7"/>
        <v>1161.6116935595014</v>
      </c>
      <c r="L64" s="356">
        <f t="shared" si="15"/>
        <v>847.1720125590931</v>
      </c>
      <c r="M64" s="357">
        <f t="shared" si="28"/>
        <v>51507.970186468294</v>
      </c>
      <c r="N64" s="358">
        <f t="shared" si="28"/>
        <v>58975.133650054377</v>
      </c>
      <c r="O64" s="359">
        <f t="shared" si="9"/>
        <v>100499.02981353167</v>
      </c>
      <c r="R64" s="354"/>
      <c r="S64" s="355">
        <f t="shared" si="10"/>
        <v>2961.2347033675633</v>
      </c>
      <c r="T64" s="356">
        <f t="shared" si="16"/>
        <v>4477.1389267229497</v>
      </c>
      <c r="U64" s="357">
        <f t="shared" ref="U64:V79" si="29">U63+S64</f>
        <v>135704.56349661367</v>
      </c>
      <c r="V64" s="358">
        <f t="shared" si="29"/>
        <v>273405.98615836463</v>
      </c>
      <c r="W64" s="359">
        <f t="shared" si="11"/>
        <v>534295.43650338636</v>
      </c>
      <c r="Z64" s="354"/>
      <c r="AA64" s="355" t="e">
        <f t="shared" si="12"/>
        <v>#NUM!</v>
      </c>
      <c r="AB64" s="356" t="e">
        <f t="shared" si="13"/>
        <v>#NUM!</v>
      </c>
      <c r="AC64" s="357" t="e">
        <f t="shared" ref="AC64:AD79" si="30">AC63+AA64</f>
        <v>#NUM!</v>
      </c>
      <c r="AD64" s="358" t="e">
        <f t="shared" si="30"/>
        <v>#NUM!</v>
      </c>
      <c r="AE64" s="359" t="e">
        <f t="shared" si="14"/>
        <v>#NUM!</v>
      </c>
    </row>
    <row r="65" spans="2:31" x14ac:dyDescent="0.25">
      <c r="B65" s="354" t="s">
        <v>437</v>
      </c>
      <c r="C65" s="355" t="e">
        <f t="shared" si="3"/>
        <v>#VALUE!</v>
      </c>
      <c r="D65" s="356" t="e">
        <f t="shared" si="4"/>
        <v>#VALUE!</v>
      </c>
      <c r="E65" s="357" t="e">
        <f t="shared" si="27"/>
        <v>#VALUE!</v>
      </c>
      <c r="F65" s="358" t="e">
        <f t="shared" si="27"/>
        <v>#VALUE!</v>
      </c>
      <c r="G65" s="359" t="e">
        <f t="shared" si="6"/>
        <v>#VALUE!</v>
      </c>
      <c r="J65" s="354" t="str">
        <f t="shared" si="0"/>
        <v>M56</v>
      </c>
      <c r="K65" s="355">
        <f t="shared" si="7"/>
        <v>1171.2917910058304</v>
      </c>
      <c r="L65" s="356">
        <f t="shared" si="15"/>
        <v>837.49191511276388</v>
      </c>
      <c r="M65" s="357">
        <f t="shared" si="28"/>
        <v>52679.261977474125</v>
      </c>
      <c r="N65" s="358">
        <f t="shared" si="28"/>
        <v>59812.625565167138</v>
      </c>
      <c r="O65" s="359">
        <f t="shared" si="9"/>
        <v>99327.738022525838</v>
      </c>
      <c r="R65" s="354"/>
      <c r="S65" s="355">
        <f t="shared" si="10"/>
        <v>2985.9116592289602</v>
      </c>
      <c r="T65" s="356">
        <f t="shared" si="16"/>
        <v>4452.4619708615528</v>
      </c>
      <c r="U65" s="357">
        <f t="shared" si="29"/>
        <v>138690.47515584264</v>
      </c>
      <c r="V65" s="358">
        <f t="shared" si="29"/>
        <v>277858.44812922616</v>
      </c>
      <c r="W65" s="359">
        <f t="shared" si="11"/>
        <v>531309.52484415739</v>
      </c>
      <c r="Z65" s="354"/>
      <c r="AA65" s="355" t="e">
        <f t="shared" si="12"/>
        <v>#NUM!</v>
      </c>
      <c r="AB65" s="356" t="e">
        <f t="shared" si="13"/>
        <v>#NUM!</v>
      </c>
      <c r="AC65" s="357" t="e">
        <f t="shared" si="30"/>
        <v>#NUM!</v>
      </c>
      <c r="AD65" s="358" t="e">
        <f t="shared" si="30"/>
        <v>#NUM!</v>
      </c>
      <c r="AE65" s="359" t="e">
        <f t="shared" si="14"/>
        <v>#NUM!</v>
      </c>
    </row>
    <row r="66" spans="2:31" x14ac:dyDescent="0.25">
      <c r="B66" s="354" t="s">
        <v>438</v>
      </c>
      <c r="C66" s="355" t="e">
        <f t="shared" si="3"/>
        <v>#VALUE!</v>
      </c>
      <c r="D66" s="356" t="e">
        <f t="shared" si="4"/>
        <v>#VALUE!</v>
      </c>
      <c r="E66" s="357" t="e">
        <f t="shared" si="27"/>
        <v>#VALUE!</v>
      </c>
      <c r="F66" s="358" t="e">
        <f t="shared" si="27"/>
        <v>#VALUE!</v>
      </c>
      <c r="G66" s="359" t="e">
        <f t="shared" si="6"/>
        <v>#VALUE!</v>
      </c>
      <c r="J66" s="354" t="str">
        <f t="shared" si="0"/>
        <v>M57</v>
      </c>
      <c r="K66" s="355">
        <f t="shared" si="7"/>
        <v>1181.052555930879</v>
      </c>
      <c r="L66" s="356">
        <f t="shared" si="15"/>
        <v>827.73115018771534</v>
      </c>
      <c r="M66" s="357">
        <f t="shared" si="28"/>
        <v>53860.314533405006</v>
      </c>
      <c r="N66" s="358">
        <f t="shared" si="28"/>
        <v>60640.35671535485</v>
      </c>
      <c r="O66" s="359">
        <f t="shared" si="9"/>
        <v>98146.685466594965</v>
      </c>
      <c r="R66" s="354"/>
      <c r="S66" s="355">
        <f t="shared" si="10"/>
        <v>3010.7942563892011</v>
      </c>
      <c r="T66" s="356">
        <f t="shared" si="16"/>
        <v>4427.5793737013119</v>
      </c>
      <c r="U66" s="357">
        <f t="shared" si="29"/>
        <v>141701.26941223184</v>
      </c>
      <c r="V66" s="358">
        <f t="shared" si="29"/>
        <v>282286.02750292746</v>
      </c>
      <c r="W66" s="359">
        <f t="shared" si="11"/>
        <v>528298.73058776814</v>
      </c>
      <c r="Z66" s="354"/>
      <c r="AA66" s="355" t="e">
        <f t="shared" si="12"/>
        <v>#NUM!</v>
      </c>
      <c r="AB66" s="356" t="e">
        <f t="shared" si="13"/>
        <v>#NUM!</v>
      </c>
      <c r="AC66" s="357" t="e">
        <f t="shared" si="30"/>
        <v>#NUM!</v>
      </c>
      <c r="AD66" s="358" t="e">
        <f t="shared" si="30"/>
        <v>#NUM!</v>
      </c>
      <c r="AE66" s="359" t="e">
        <f t="shared" si="14"/>
        <v>#NUM!</v>
      </c>
    </row>
    <row r="67" spans="2:31" x14ac:dyDescent="0.25">
      <c r="B67" s="354" t="s">
        <v>439</v>
      </c>
      <c r="C67" s="355" t="e">
        <f t="shared" si="3"/>
        <v>#VALUE!</v>
      </c>
      <c r="D67" s="356" t="e">
        <f t="shared" si="4"/>
        <v>#VALUE!</v>
      </c>
      <c r="E67" s="357" t="e">
        <f t="shared" si="27"/>
        <v>#VALUE!</v>
      </c>
      <c r="F67" s="358" t="e">
        <f t="shared" si="27"/>
        <v>#VALUE!</v>
      </c>
      <c r="G67" s="359" t="e">
        <f t="shared" si="6"/>
        <v>#VALUE!</v>
      </c>
      <c r="J67" s="354" t="str">
        <f t="shared" si="0"/>
        <v>M58</v>
      </c>
      <c r="K67" s="355">
        <f t="shared" si="7"/>
        <v>1190.8946605636365</v>
      </c>
      <c r="L67" s="356">
        <f t="shared" si="15"/>
        <v>817.88904555495799</v>
      </c>
      <c r="M67" s="357">
        <f t="shared" si="28"/>
        <v>55051.209193968643</v>
      </c>
      <c r="N67" s="358">
        <f t="shared" si="28"/>
        <v>61458.245760909806</v>
      </c>
      <c r="O67" s="359">
        <f t="shared" si="9"/>
        <v>96955.790806031335</v>
      </c>
      <c r="R67" s="354"/>
      <c r="S67" s="355">
        <f t="shared" si="10"/>
        <v>3035.8842085257784</v>
      </c>
      <c r="T67" s="356">
        <f t="shared" si="16"/>
        <v>4402.4894215647346</v>
      </c>
      <c r="U67" s="357">
        <f t="shared" si="29"/>
        <v>144737.15362075763</v>
      </c>
      <c r="V67" s="358">
        <f t="shared" si="29"/>
        <v>286688.5169244922</v>
      </c>
      <c r="W67" s="359">
        <f t="shared" si="11"/>
        <v>525262.84637924237</v>
      </c>
      <c r="Z67" s="354"/>
      <c r="AA67" s="355" t="e">
        <f t="shared" si="12"/>
        <v>#NUM!</v>
      </c>
      <c r="AB67" s="356" t="e">
        <f t="shared" si="13"/>
        <v>#NUM!</v>
      </c>
      <c r="AC67" s="357" t="e">
        <f t="shared" si="30"/>
        <v>#NUM!</v>
      </c>
      <c r="AD67" s="358" t="e">
        <f t="shared" si="30"/>
        <v>#NUM!</v>
      </c>
      <c r="AE67" s="359" t="e">
        <f t="shared" si="14"/>
        <v>#NUM!</v>
      </c>
    </row>
    <row r="68" spans="2:31" x14ac:dyDescent="0.25">
      <c r="B68" s="354" t="s">
        <v>440</v>
      </c>
      <c r="C68" s="355" t="e">
        <f t="shared" si="3"/>
        <v>#VALUE!</v>
      </c>
      <c r="D68" s="356" t="e">
        <f t="shared" si="4"/>
        <v>#VALUE!</v>
      </c>
      <c r="E68" s="357" t="e">
        <f t="shared" si="27"/>
        <v>#VALUE!</v>
      </c>
      <c r="F68" s="358" t="e">
        <f t="shared" si="27"/>
        <v>#VALUE!</v>
      </c>
      <c r="G68" s="359" t="e">
        <f t="shared" si="6"/>
        <v>#VALUE!</v>
      </c>
      <c r="J68" s="354" t="str">
        <f t="shared" si="0"/>
        <v>M59</v>
      </c>
      <c r="K68" s="355">
        <f t="shared" si="7"/>
        <v>1200.818782735</v>
      </c>
      <c r="L68" s="356">
        <f t="shared" si="15"/>
        <v>807.9649233835944</v>
      </c>
      <c r="M68" s="357">
        <f t="shared" si="28"/>
        <v>56252.027976703641</v>
      </c>
      <c r="N68" s="358">
        <f t="shared" si="28"/>
        <v>62266.210684293401</v>
      </c>
      <c r="O68" s="359">
        <f t="shared" si="9"/>
        <v>95754.97202329633</v>
      </c>
      <c r="R68" s="354"/>
      <c r="S68" s="355">
        <f t="shared" si="10"/>
        <v>3061.1832435968263</v>
      </c>
      <c r="T68" s="356">
        <f t="shared" si="16"/>
        <v>4377.1903864936867</v>
      </c>
      <c r="U68" s="357">
        <f t="shared" si="29"/>
        <v>147798.33686435447</v>
      </c>
      <c r="V68" s="358">
        <f t="shared" si="29"/>
        <v>291065.70731098589</v>
      </c>
      <c r="W68" s="359">
        <f t="shared" si="11"/>
        <v>522201.66313564556</v>
      </c>
      <c r="Z68" s="354"/>
      <c r="AA68" s="355" t="e">
        <f t="shared" si="12"/>
        <v>#NUM!</v>
      </c>
      <c r="AB68" s="356" t="e">
        <f t="shared" si="13"/>
        <v>#NUM!</v>
      </c>
      <c r="AC68" s="357" t="e">
        <f t="shared" si="30"/>
        <v>#NUM!</v>
      </c>
      <c r="AD68" s="358" t="e">
        <f t="shared" si="30"/>
        <v>#NUM!</v>
      </c>
      <c r="AE68" s="359" t="e">
        <f t="shared" si="14"/>
        <v>#NUM!</v>
      </c>
    </row>
    <row r="69" spans="2:31" x14ac:dyDescent="0.25">
      <c r="B69" s="354" t="s">
        <v>441</v>
      </c>
      <c r="C69" s="355" t="e">
        <f t="shared" si="3"/>
        <v>#VALUE!</v>
      </c>
      <c r="D69" s="356" t="e">
        <f t="shared" si="4"/>
        <v>#VALUE!</v>
      </c>
      <c r="E69" s="357" t="e">
        <f t="shared" si="27"/>
        <v>#VALUE!</v>
      </c>
      <c r="F69" s="358" t="e">
        <f t="shared" si="27"/>
        <v>#VALUE!</v>
      </c>
      <c r="G69" s="359" t="e">
        <f t="shared" si="6"/>
        <v>#VALUE!</v>
      </c>
      <c r="J69" s="354" t="str">
        <f t="shared" si="0"/>
        <v>M60</v>
      </c>
      <c r="K69" s="355">
        <f t="shared" si="7"/>
        <v>1210.8256059244584</v>
      </c>
      <c r="L69" s="356">
        <f t="shared" si="15"/>
        <v>797.95810019413602</v>
      </c>
      <c r="M69" s="357">
        <f t="shared" si="28"/>
        <v>57462.8535826281</v>
      </c>
      <c r="N69" s="358">
        <f t="shared" si="28"/>
        <v>63064.168784487534</v>
      </c>
      <c r="O69" s="359">
        <f t="shared" si="9"/>
        <v>94544.14641737187</v>
      </c>
      <c r="R69" s="354"/>
      <c r="S69" s="355">
        <f t="shared" si="10"/>
        <v>3086.6931039601332</v>
      </c>
      <c r="T69" s="356">
        <f t="shared" si="16"/>
        <v>4351.6805261303798</v>
      </c>
      <c r="U69" s="357">
        <f t="shared" si="29"/>
        <v>150885.0299683146</v>
      </c>
      <c r="V69" s="358">
        <f t="shared" si="29"/>
        <v>295417.38783711626</v>
      </c>
      <c r="W69" s="359">
        <f t="shared" si="11"/>
        <v>519114.97003168543</v>
      </c>
      <c r="Z69" s="354"/>
      <c r="AA69" s="355" t="e">
        <f t="shared" si="12"/>
        <v>#NUM!</v>
      </c>
      <c r="AB69" s="356" t="e">
        <f t="shared" si="13"/>
        <v>#NUM!</v>
      </c>
      <c r="AC69" s="357" t="e">
        <f t="shared" si="30"/>
        <v>#NUM!</v>
      </c>
      <c r="AD69" s="358" t="e">
        <f t="shared" si="30"/>
        <v>#NUM!</v>
      </c>
      <c r="AE69" s="359" t="e">
        <f t="shared" si="14"/>
        <v>#NUM!</v>
      </c>
    </row>
    <row r="70" spans="2:31" x14ac:dyDescent="0.25">
      <c r="B70" s="354" t="s">
        <v>442</v>
      </c>
      <c r="C70" s="355" t="e">
        <f t="shared" si="3"/>
        <v>#VALUE!</v>
      </c>
      <c r="D70" s="356" t="e">
        <f t="shared" si="4"/>
        <v>#VALUE!</v>
      </c>
      <c r="E70" s="357" t="e">
        <f t="shared" si="27"/>
        <v>#VALUE!</v>
      </c>
      <c r="F70" s="358" t="e">
        <f t="shared" si="27"/>
        <v>#VALUE!</v>
      </c>
      <c r="G70" s="359" t="e">
        <f t="shared" si="6"/>
        <v>#VALUE!</v>
      </c>
      <c r="J70" s="354" t="str">
        <f t="shared" si="0"/>
        <v>M61</v>
      </c>
      <c r="K70" s="355">
        <f t="shared" si="7"/>
        <v>1220.9158193071621</v>
      </c>
      <c r="L70" s="356">
        <f t="shared" si="15"/>
        <v>787.8678868114323</v>
      </c>
      <c r="M70" s="357">
        <f t="shared" si="28"/>
        <v>58683.769401935264</v>
      </c>
      <c r="N70" s="358">
        <f t="shared" si="28"/>
        <v>63852.036671298963</v>
      </c>
      <c r="O70" s="359">
        <f t="shared" si="9"/>
        <v>93323.230598064707</v>
      </c>
      <c r="R70" s="354"/>
      <c r="S70" s="355">
        <f t="shared" si="10"/>
        <v>3112.4155464931346</v>
      </c>
      <c r="T70" s="356">
        <f t="shared" si="16"/>
        <v>4325.9580835973784</v>
      </c>
      <c r="U70" s="357">
        <f t="shared" si="29"/>
        <v>153997.44551480774</v>
      </c>
      <c r="V70" s="358">
        <f t="shared" si="29"/>
        <v>299743.34592071362</v>
      </c>
      <c r="W70" s="359">
        <f t="shared" si="11"/>
        <v>516002.55448519229</v>
      </c>
      <c r="Z70" s="354"/>
      <c r="AA70" s="355" t="e">
        <f t="shared" si="12"/>
        <v>#NUM!</v>
      </c>
      <c r="AB70" s="356" t="e">
        <f t="shared" si="13"/>
        <v>#NUM!</v>
      </c>
      <c r="AC70" s="357" t="e">
        <f t="shared" si="30"/>
        <v>#NUM!</v>
      </c>
      <c r="AD70" s="358" t="e">
        <f t="shared" si="30"/>
        <v>#NUM!</v>
      </c>
      <c r="AE70" s="359" t="e">
        <f t="shared" si="14"/>
        <v>#NUM!</v>
      </c>
    </row>
    <row r="71" spans="2:31" x14ac:dyDescent="0.25">
      <c r="B71" s="354" t="s">
        <v>443</v>
      </c>
      <c r="C71" s="355" t="e">
        <f t="shared" si="3"/>
        <v>#VALUE!</v>
      </c>
      <c r="D71" s="356" t="e">
        <f t="shared" si="4"/>
        <v>#VALUE!</v>
      </c>
      <c r="E71" s="357" t="e">
        <f t="shared" si="27"/>
        <v>#VALUE!</v>
      </c>
      <c r="F71" s="358" t="e">
        <f t="shared" si="27"/>
        <v>#VALUE!</v>
      </c>
      <c r="G71" s="359" t="e">
        <f t="shared" si="6"/>
        <v>#VALUE!</v>
      </c>
      <c r="J71" s="354" t="str">
        <f t="shared" si="0"/>
        <v>M62</v>
      </c>
      <c r="K71" s="355">
        <f t="shared" si="7"/>
        <v>1231.0901178013885</v>
      </c>
      <c r="L71" s="356">
        <f t="shared" si="15"/>
        <v>777.69358831720592</v>
      </c>
      <c r="M71" s="357">
        <f t="shared" si="28"/>
        <v>59914.859519736652</v>
      </c>
      <c r="N71" s="358">
        <f t="shared" si="28"/>
        <v>64629.730259616168</v>
      </c>
      <c r="O71" s="359">
        <f t="shared" si="9"/>
        <v>92092.140480263319</v>
      </c>
      <c r="R71" s="354"/>
      <c r="S71" s="355">
        <f t="shared" si="10"/>
        <v>3138.3523427139107</v>
      </c>
      <c r="T71" s="356">
        <f t="shared" si="16"/>
        <v>4300.0212873766022</v>
      </c>
      <c r="U71" s="357">
        <f t="shared" si="29"/>
        <v>157135.79785752165</v>
      </c>
      <c r="V71" s="358">
        <f t="shared" si="29"/>
        <v>304043.3672080902</v>
      </c>
      <c r="W71" s="359">
        <f t="shared" si="11"/>
        <v>512864.20214247837</v>
      </c>
      <c r="Z71" s="354"/>
      <c r="AA71" s="355" t="e">
        <f t="shared" si="12"/>
        <v>#NUM!</v>
      </c>
      <c r="AB71" s="356" t="e">
        <f t="shared" si="13"/>
        <v>#NUM!</v>
      </c>
      <c r="AC71" s="357" t="e">
        <f t="shared" si="30"/>
        <v>#NUM!</v>
      </c>
      <c r="AD71" s="358" t="e">
        <f t="shared" si="30"/>
        <v>#NUM!</v>
      </c>
      <c r="AE71" s="359" t="e">
        <f t="shared" si="14"/>
        <v>#NUM!</v>
      </c>
    </row>
    <row r="72" spans="2:31" x14ac:dyDescent="0.25">
      <c r="B72" s="354" t="s">
        <v>444</v>
      </c>
      <c r="C72" s="355" t="e">
        <f t="shared" si="3"/>
        <v>#VALUE!</v>
      </c>
      <c r="D72" s="356" t="e">
        <f t="shared" si="4"/>
        <v>#VALUE!</v>
      </c>
      <c r="E72" s="357" t="e">
        <f t="shared" si="27"/>
        <v>#VALUE!</v>
      </c>
      <c r="F72" s="358" t="e">
        <f t="shared" si="27"/>
        <v>#VALUE!</v>
      </c>
      <c r="G72" s="359" t="e">
        <f t="shared" si="6"/>
        <v>#VALUE!</v>
      </c>
      <c r="J72" s="354" t="str">
        <f t="shared" si="0"/>
        <v>M63</v>
      </c>
      <c r="K72" s="355">
        <f t="shared" si="7"/>
        <v>1241.3492021164002</v>
      </c>
      <c r="L72" s="356">
        <f t="shared" si="15"/>
        <v>767.43450400219433</v>
      </c>
      <c r="M72" s="357">
        <f t="shared" si="28"/>
        <v>61156.208721853051</v>
      </c>
      <c r="N72" s="358">
        <f t="shared" si="28"/>
        <v>65397.164763618362</v>
      </c>
      <c r="O72" s="359">
        <f t="shared" si="9"/>
        <v>90850.79127814692</v>
      </c>
      <c r="R72" s="354"/>
      <c r="S72" s="355">
        <f t="shared" si="10"/>
        <v>3164.5052789031934</v>
      </c>
      <c r="T72" s="356">
        <f t="shared" si="16"/>
        <v>4273.8683511873196</v>
      </c>
      <c r="U72" s="357">
        <f t="shared" si="29"/>
        <v>160300.30313642486</v>
      </c>
      <c r="V72" s="358">
        <f t="shared" si="29"/>
        <v>308317.23555927753</v>
      </c>
      <c r="W72" s="359">
        <f t="shared" si="11"/>
        <v>509699.6968635752</v>
      </c>
      <c r="Z72" s="354"/>
      <c r="AA72" s="355" t="e">
        <f t="shared" si="12"/>
        <v>#NUM!</v>
      </c>
      <c r="AB72" s="356" t="e">
        <f t="shared" si="13"/>
        <v>#NUM!</v>
      </c>
      <c r="AC72" s="357" t="e">
        <f t="shared" si="30"/>
        <v>#NUM!</v>
      </c>
      <c r="AD72" s="358" t="e">
        <f t="shared" si="30"/>
        <v>#NUM!</v>
      </c>
      <c r="AE72" s="359" t="e">
        <f t="shared" si="14"/>
        <v>#NUM!</v>
      </c>
    </row>
    <row r="73" spans="2:31" x14ac:dyDescent="0.25">
      <c r="B73" s="354" t="s">
        <v>445</v>
      </c>
      <c r="C73" s="355" t="e">
        <f t="shared" si="3"/>
        <v>#VALUE!</v>
      </c>
      <c r="D73" s="356" t="e">
        <f t="shared" si="4"/>
        <v>#VALUE!</v>
      </c>
      <c r="E73" s="357" t="e">
        <f t="shared" si="27"/>
        <v>#VALUE!</v>
      </c>
      <c r="F73" s="358" t="e">
        <f t="shared" si="27"/>
        <v>#VALUE!</v>
      </c>
      <c r="G73" s="359" t="e">
        <f t="shared" si="6"/>
        <v>#VALUE!</v>
      </c>
      <c r="J73" s="354" t="str">
        <f t="shared" si="0"/>
        <v>M64</v>
      </c>
      <c r="K73" s="355">
        <f t="shared" si="7"/>
        <v>1251.6937788007035</v>
      </c>
      <c r="L73" s="356">
        <f t="shared" si="15"/>
        <v>757.08992731789101</v>
      </c>
      <c r="M73" s="357">
        <f t="shared" si="28"/>
        <v>62407.902500653756</v>
      </c>
      <c r="N73" s="358">
        <f t="shared" si="28"/>
        <v>66154.254690936257</v>
      </c>
      <c r="O73" s="359">
        <f t="shared" si="9"/>
        <v>89599.097499346215</v>
      </c>
      <c r="R73" s="354"/>
      <c r="S73" s="355">
        <f t="shared" si="10"/>
        <v>3190.8761562273867</v>
      </c>
      <c r="T73" s="356">
        <f t="shared" si="16"/>
        <v>4247.4974738631263</v>
      </c>
      <c r="U73" s="357">
        <f t="shared" si="29"/>
        <v>163491.17929265223</v>
      </c>
      <c r="V73" s="358">
        <f t="shared" si="29"/>
        <v>312564.73303314066</v>
      </c>
      <c r="W73" s="359">
        <f t="shared" si="11"/>
        <v>506508.82070734783</v>
      </c>
      <c r="Z73" s="354"/>
      <c r="AA73" s="355" t="e">
        <f t="shared" si="12"/>
        <v>#NUM!</v>
      </c>
      <c r="AB73" s="356" t="e">
        <f t="shared" si="13"/>
        <v>#NUM!</v>
      </c>
      <c r="AC73" s="357" t="e">
        <f t="shared" si="30"/>
        <v>#NUM!</v>
      </c>
      <c r="AD73" s="358" t="e">
        <f t="shared" si="30"/>
        <v>#NUM!</v>
      </c>
      <c r="AE73" s="359" t="e">
        <f t="shared" si="14"/>
        <v>#NUM!</v>
      </c>
    </row>
    <row r="74" spans="2:31" x14ac:dyDescent="0.25">
      <c r="B74" s="354" t="s">
        <v>446</v>
      </c>
      <c r="C74" s="355" t="e">
        <f t="shared" si="3"/>
        <v>#VALUE!</v>
      </c>
      <c r="D74" s="356" t="e">
        <f t="shared" si="4"/>
        <v>#VALUE!</v>
      </c>
      <c r="E74" s="357" t="e">
        <f t="shared" si="27"/>
        <v>#VALUE!</v>
      </c>
      <c r="F74" s="358" t="e">
        <f t="shared" si="27"/>
        <v>#VALUE!</v>
      </c>
      <c r="G74" s="359" t="e">
        <f t="shared" si="6"/>
        <v>#VALUE!</v>
      </c>
      <c r="J74" s="354" t="str">
        <f t="shared" ref="J74:J137" si="31">B74</f>
        <v>M65</v>
      </c>
      <c r="K74" s="355">
        <f t="shared" si="7"/>
        <v>1262.1245602907093</v>
      </c>
      <c r="L74" s="356">
        <f t="shared" si="15"/>
        <v>746.65914582788514</v>
      </c>
      <c r="M74" s="357">
        <f t="shared" si="28"/>
        <v>63670.027060944463</v>
      </c>
      <c r="N74" s="358">
        <f t="shared" si="28"/>
        <v>66900.913836764143</v>
      </c>
      <c r="O74" s="359">
        <f t="shared" si="9"/>
        <v>88336.9729390555</v>
      </c>
      <c r="R74" s="354"/>
      <c r="S74" s="355">
        <f t="shared" si="10"/>
        <v>3217.4667908626143</v>
      </c>
      <c r="T74" s="356">
        <f t="shared" si="16"/>
        <v>4220.9068392278987</v>
      </c>
      <c r="U74" s="357">
        <f t="shared" si="29"/>
        <v>166708.64608351485</v>
      </c>
      <c r="V74" s="358">
        <f t="shared" si="29"/>
        <v>316785.63987236854</v>
      </c>
      <c r="W74" s="359">
        <f t="shared" si="11"/>
        <v>503291.35391648521</v>
      </c>
      <c r="Z74" s="354"/>
      <c r="AA74" s="355" t="e">
        <f t="shared" si="12"/>
        <v>#NUM!</v>
      </c>
      <c r="AB74" s="356" t="e">
        <f t="shared" si="13"/>
        <v>#NUM!</v>
      </c>
      <c r="AC74" s="357" t="e">
        <f t="shared" si="30"/>
        <v>#NUM!</v>
      </c>
      <c r="AD74" s="358" t="e">
        <f t="shared" si="30"/>
        <v>#NUM!</v>
      </c>
      <c r="AE74" s="359" t="e">
        <f t="shared" si="14"/>
        <v>#NUM!</v>
      </c>
    </row>
    <row r="75" spans="2:31" x14ac:dyDescent="0.25">
      <c r="B75" s="354" t="s">
        <v>447</v>
      </c>
      <c r="C75" s="355" t="e">
        <f t="shared" si="3"/>
        <v>#VALUE!</v>
      </c>
      <c r="D75" s="356" t="e">
        <f t="shared" si="4"/>
        <v>#VALUE!</v>
      </c>
      <c r="E75" s="357" t="e">
        <f t="shared" si="27"/>
        <v>#VALUE!</v>
      </c>
      <c r="F75" s="358" t="e">
        <f t="shared" si="27"/>
        <v>#VALUE!</v>
      </c>
      <c r="G75" s="359" t="e">
        <f t="shared" si="6"/>
        <v>#VALUE!</v>
      </c>
      <c r="J75" s="354" t="str">
        <f t="shared" si="31"/>
        <v>M66</v>
      </c>
      <c r="K75" s="355">
        <f t="shared" si="7"/>
        <v>1272.6422649597985</v>
      </c>
      <c r="L75" s="356">
        <f t="shared" si="15"/>
        <v>736.14144115879583</v>
      </c>
      <c r="M75" s="357">
        <f t="shared" si="28"/>
        <v>64942.669325904259</v>
      </c>
      <c r="N75" s="358">
        <f t="shared" si="28"/>
        <v>67637.055277922933</v>
      </c>
      <c r="O75" s="359">
        <f t="shared" si="9"/>
        <v>87064.330674095705</v>
      </c>
      <c r="R75" s="354"/>
      <c r="S75" s="355">
        <f t="shared" si="10"/>
        <v>3244.2790141198029</v>
      </c>
      <c r="T75" s="356">
        <f t="shared" si="16"/>
        <v>4194.09461597071</v>
      </c>
      <c r="U75" s="357">
        <f t="shared" si="29"/>
        <v>169952.92509763464</v>
      </c>
      <c r="V75" s="358">
        <f t="shared" si="29"/>
        <v>320979.73448833928</v>
      </c>
      <c r="W75" s="359">
        <f t="shared" si="11"/>
        <v>500047.07490236539</v>
      </c>
      <c r="Z75" s="354"/>
      <c r="AA75" s="355" t="e">
        <f t="shared" si="12"/>
        <v>#NUM!</v>
      </c>
      <c r="AB75" s="356" t="e">
        <f t="shared" si="13"/>
        <v>#NUM!</v>
      </c>
      <c r="AC75" s="357" t="e">
        <f t="shared" si="30"/>
        <v>#NUM!</v>
      </c>
      <c r="AD75" s="358" t="e">
        <f t="shared" si="30"/>
        <v>#NUM!</v>
      </c>
      <c r="AE75" s="359" t="e">
        <f t="shared" si="14"/>
        <v>#NUM!</v>
      </c>
    </row>
    <row r="76" spans="2:31" x14ac:dyDescent="0.25">
      <c r="B76" s="354" t="s">
        <v>448</v>
      </c>
      <c r="C76" s="355" t="e">
        <f t="shared" ref="C76:C139" si="32">$D$6-D76</f>
        <v>#VALUE!</v>
      </c>
      <c r="D76" s="356" t="e">
        <f t="shared" ref="D76:D139" si="33">$D$4/12*G75</f>
        <v>#VALUE!</v>
      </c>
      <c r="E76" s="357" t="e">
        <f t="shared" ref="E76:F91" si="34">E75+C76</f>
        <v>#VALUE!</v>
      </c>
      <c r="F76" s="358" t="e">
        <f t="shared" si="34"/>
        <v>#VALUE!</v>
      </c>
      <c r="G76" s="359" t="e">
        <f t="shared" ref="G76:G139" si="35">G75-C76</f>
        <v>#VALUE!</v>
      </c>
      <c r="J76" s="354" t="str">
        <f t="shared" si="31"/>
        <v>M67</v>
      </c>
      <c r="K76" s="355">
        <f t="shared" ref="K76:K139" si="36">$L$6-L76</f>
        <v>1283.2476171677968</v>
      </c>
      <c r="L76" s="356">
        <f t="shared" si="15"/>
        <v>725.53608895079753</v>
      </c>
      <c r="M76" s="357">
        <f t="shared" ref="M76:N91" si="37">M75+K76</f>
        <v>66225.91694307205</v>
      </c>
      <c r="N76" s="358">
        <f t="shared" si="37"/>
        <v>68362.591366873734</v>
      </c>
      <c r="O76" s="359">
        <f t="shared" ref="O76:O139" si="38">O75-K76</f>
        <v>85781.083056927906</v>
      </c>
      <c r="R76" s="354"/>
      <c r="S76" s="355">
        <f t="shared" ref="S76:S139" si="39">$T$6-T76</f>
        <v>3271.3146725708011</v>
      </c>
      <c r="T76" s="356">
        <f t="shared" si="16"/>
        <v>4167.0589575197118</v>
      </c>
      <c r="U76" s="357">
        <f t="shared" si="29"/>
        <v>173224.23977020543</v>
      </c>
      <c r="V76" s="358">
        <f t="shared" si="29"/>
        <v>325146.79344585899</v>
      </c>
      <c r="W76" s="359">
        <f t="shared" ref="W76:W139" si="40">W75-S76</f>
        <v>496775.7602297946</v>
      </c>
      <c r="Z76" s="354"/>
      <c r="AA76" s="355" t="e">
        <f t="shared" ref="AA76:AA139" si="41">$T$6-AB76</f>
        <v>#NUM!</v>
      </c>
      <c r="AB76" s="356" t="e">
        <f t="shared" ref="AB76:AB139" si="42">$AB$4/12*AE75</f>
        <v>#NUM!</v>
      </c>
      <c r="AC76" s="357" t="e">
        <f t="shared" si="30"/>
        <v>#NUM!</v>
      </c>
      <c r="AD76" s="358" t="e">
        <f t="shared" si="30"/>
        <v>#NUM!</v>
      </c>
      <c r="AE76" s="359" t="e">
        <f t="shared" ref="AE76:AE139" si="43">AE75-AA76</f>
        <v>#NUM!</v>
      </c>
    </row>
    <row r="77" spans="2:31" x14ac:dyDescent="0.25">
      <c r="B77" s="354" t="s">
        <v>449</v>
      </c>
      <c r="C77" s="355" t="e">
        <f t="shared" si="32"/>
        <v>#VALUE!</v>
      </c>
      <c r="D77" s="356" t="e">
        <f t="shared" si="33"/>
        <v>#VALUE!</v>
      </c>
      <c r="E77" s="357" t="e">
        <f t="shared" si="34"/>
        <v>#VALUE!</v>
      </c>
      <c r="F77" s="358" t="e">
        <f t="shared" si="34"/>
        <v>#VALUE!</v>
      </c>
      <c r="G77" s="359" t="e">
        <f t="shared" si="35"/>
        <v>#VALUE!</v>
      </c>
      <c r="J77" s="354" t="str">
        <f t="shared" si="31"/>
        <v>M68</v>
      </c>
      <c r="K77" s="355">
        <f t="shared" si="36"/>
        <v>1293.9413473108618</v>
      </c>
      <c r="L77" s="356">
        <f t="shared" ref="L77:L140" si="44">$L$4/12*O76</f>
        <v>714.84235880773258</v>
      </c>
      <c r="M77" s="357">
        <f t="shared" si="37"/>
        <v>67519.858290382908</v>
      </c>
      <c r="N77" s="358">
        <f t="shared" si="37"/>
        <v>69077.433725681462</v>
      </c>
      <c r="O77" s="359">
        <f t="shared" si="38"/>
        <v>84487.141709617048</v>
      </c>
      <c r="R77" s="354"/>
      <c r="S77" s="355">
        <f t="shared" si="39"/>
        <v>3298.5756281755584</v>
      </c>
      <c r="T77" s="356">
        <f t="shared" ref="T77:T140" si="45">$L$4/12*W76</f>
        <v>4139.7980019149545</v>
      </c>
      <c r="U77" s="357">
        <f t="shared" si="29"/>
        <v>176522.81539838098</v>
      </c>
      <c r="V77" s="358">
        <f t="shared" si="29"/>
        <v>329286.59144777397</v>
      </c>
      <c r="W77" s="359">
        <f t="shared" si="40"/>
        <v>493477.18460161902</v>
      </c>
      <c r="Z77" s="354"/>
      <c r="AA77" s="355" t="e">
        <f t="shared" si="41"/>
        <v>#NUM!</v>
      </c>
      <c r="AB77" s="356" t="e">
        <f t="shared" si="42"/>
        <v>#NUM!</v>
      </c>
      <c r="AC77" s="357" t="e">
        <f t="shared" si="30"/>
        <v>#NUM!</v>
      </c>
      <c r="AD77" s="358" t="e">
        <f t="shared" si="30"/>
        <v>#NUM!</v>
      </c>
      <c r="AE77" s="359" t="e">
        <f t="shared" si="43"/>
        <v>#NUM!</v>
      </c>
    </row>
    <row r="78" spans="2:31" x14ac:dyDescent="0.25">
      <c r="B78" s="354" t="s">
        <v>450</v>
      </c>
      <c r="C78" s="355" t="e">
        <f t="shared" si="32"/>
        <v>#VALUE!</v>
      </c>
      <c r="D78" s="356" t="e">
        <f t="shared" si="33"/>
        <v>#VALUE!</v>
      </c>
      <c r="E78" s="357" t="e">
        <f t="shared" si="34"/>
        <v>#VALUE!</v>
      </c>
      <c r="F78" s="358" t="e">
        <f t="shared" si="34"/>
        <v>#VALUE!</v>
      </c>
      <c r="G78" s="359" t="e">
        <f t="shared" si="35"/>
        <v>#VALUE!</v>
      </c>
      <c r="J78" s="354" t="str">
        <f t="shared" si="31"/>
        <v>M69</v>
      </c>
      <c r="K78" s="355">
        <f t="shared" si="36"/>
        <v>1304.7241918717857</v>
      </c>
      <c r="L78" s="356">
        <f t="shared" si="44"/>
        <v>704.0595142468087</v>
      </c>
      <c r="M78" s="357">
        <f t="shared" si="37"/>
        <v>68824.5824822547</v>
      </c>
      <c r="N78" s="358">
        <f t="shared" si="37"/>
        <v>69781.49323992827</v>
      </c>
      <c r="O78" s="359">
        <f t="shared" si="38"/>
        <v>83182.417517745256</v>
      </c>
      <c r="R78" s="354"/>
      <c r="S78" s="355">
        <f t="shared" si="39"/>
        <v>3326.0637584103542</v>
      </c>
      <c r="T78" s="356">
        <f t="shared" si="45"/>
        <v>4112.3098716801587</v>
      </c>
      <c r="U78" s="357">
        <f t="shared" si="29"/>
        <v>179848.87915679134</v>
      </c>
      <c r="V78" s="358">
        <f t="shared" si="29"/>
        <v>333398.90131945413</v>
      </c>
      <c r="W78" s="359">
        <f t="shared" si="40"/>
        <v>490151.12084320869</v>
      </c>
      <c r="Z78" s="354"/>
      <c r="AA78" s="355" t="e">
        <f t="shared" si="41"/>
        <v>#NUM!</v>
      </c>
      <c r="AB78" s="356" t="e">
        <f t="shared" si="42"/>
        <v>#NUM!</v>
      </c>
      <c r="AC78" s="357" t="e">
        <f t="shared" si="30"/>
        <v>#NUM!</v>
      </c>
      <c r="AD78" s="358" t="e">
        <f t="shared" si="30"/>
        <v>#NUM!</v>
      </c>
      <c r="AE78" s="359" t="e">
        <f t="shared" si="43"/>
        <v>#NUM!</v>
      </c>
    </row>
    <row r="79" spans="2:31" x14ac:dyDescent="0.25">
      <c r="B79" s="354" t="s">
        <v>451</v>
      </c>
      <c r="C79" s="355" t="e">
        <f t="shared" si="32"/>
        <v>#VALUE!</v>
      </c>
      <c r="D79" s="356" t="e">
        <f t="shared" si="33"/>
        <v>#VALUE!</v>
      </c>
      <c r="E79" s="357" t="e">
        <f t="shared" si="34"/>
        <v>#VALUE!</v>
      </c>
      <c r="F79" s="358" t="e">
        <f t="shared" si="34"/>
        <v>#VALUE!</v>
      </c>
      <c r="G79" s="359" t="e">
        <f t="shared" si="35"/>
        <v>#VALUE!</v>
      </c>
      <c r="J79" s="354" t="str">
        <f t="shared" si="31"/>
        <v>M70</v>
      </c>
      <c r="K79" s="355">
        <f t="shared" si="36"/>
        <v>1315.5968934707173</v>
      </c>
      <c r="L79" s="356">
        <f t="shared" si="44"/>
        <v>693.1868126478771</v>
      </c>
      <c r="M79" s="357">
        <f t="shared" si="37"/>
        <v>70140.17937572542</v>
      </c>
      <c r="N79" s="358">
        <f t="shared" si="37"/>
        <v>70474.68005257615</v>
      </c>
      <c r="O79" s="359">
        <f t="shared" si="38"/>
        <v>81866.820624274536</v>
      </c>
      <c r="R79" s="354"/>
      <c r="S79" s="355">
        <f t="shared" si="39"/>
        <v>3353.7809563971073</v>
      </c>
      <c r="T79" s="356">
        <f t="shared" si="45"/>
        <v>4084.5926736934057</v>
      </c>
      <c r="U79" s="357">
        <f t="shared" si="29"/>
        <v>183202.66011318844</v>
      </c>
      <c r="V79" s="358">
        <f t="shared" si="29"/>
        <v>337483.49399314757</v>
      </c>
      <c r="W79" s="359">
        <f t="shared" si="40"/>
        <v>486797.33988681156</v>
      </c>
      <c r="Z79" s="354"/>
      <c r="AA79" s="355" t="e">
        <f t="shared" si="41"/>
        <v>#NUM!</v>
      </c>
      <c r="AB79" s="356" t="e">
        <f t="shared" si="42"/>
        <v>#NUM!</v>
      </c>
      <c r="AC79" s="357" t="e">
        <f t="shared" si="30"/>
        <v>#NUM!</v>
      </c>
      <c r="AD79" s="358" t="e">
        <f t="shared" si="30"/>
        <v>#NUM!</v>
      </c>
      <c r="AE79" s="359" t="e">
        <f t="shared" si="43"/>
        <v>#NUM!</v>
      </c>
    </row>
    <row r="80" spans="2:31" x14ac:dyDescent="0.25">
      <c r="B80" s="354" t="s">
        <v>452</v>
      </c>
      <c r="C80" s="355" t="e">
        <f t="shared" si="32"/>
        <v>#VALUE!</v>
      </c>
      <c r="D80" s="356" t="e">
        <f t="shared" si="33"/>
        <v>#VALUE!</v>
      </c>
      <c r="E80" s="357" t="e">
        <f t="shared" si="34"/>
        <v>#VALUE!</v>
      </c>
      <c r="F80" s="358" t="e">
        <f t="shared" si="34"/>
        <v>#VALUE!</v>
      </c>
      <c r="G80" s="359" t="e">
        <f t="shared" si="35"/>
        <v>#VALUE!</v>
      </c>
      <c r="J80" s="354" t="str">
        <f t="shared" si="31"/>
        <v>M71</v>
      </c>
      <c r="K80" s="355">
        <f t="shared" si="36"/>
        <v>1326.5602009163067</v>
      </c>
      <c r="L80" s="356">
        <f t="shared" si="44"/>
        <v>682.22350520228781</v>
      </c>
      <c r="M80" s="357">
        <f t="shared" si="37"/>
        <v>71466.739576641732</v>
      </c>
      <c r="N80" s="358">
        <f t="shared" si="37"/>
        <v>71156.903557778438</v>
      </c>
      <c r="O80" s="359">
        <f t="shared" si="38"/>
        <v>80540.260423358224</v>
      </c>
      <c r="R80" s="354"/>
      <c r="S80" s="355">
        <f t="shared" si="39"/>
        <v>3381.72913103375</v>
      </c>
      <c r="T80" s="356">
        <f t="shared" si="45"/>
        <v>4056.6444990567629</v>
      </c>
      <c r="U80" s="357">
        <f t="shared" ref="U80:V95" si="46">U79+S80</f>
        <v>186584.3892442222</v>
      </c>
      <c r="V80" s="358">
        <f t="shared" si="46"/>
        <v>341540.13849220431</v>
      </c>
      <c r="W80" s="359">
        <f t="shared" si="40"/>
        <v>483415.6107557778</v>
      </c>
      <c r="Z80" s="354"/>
      <c r="AA80" s="355" t="e">
        <f t="shared" si="41"/>
        <v>#NUM!</v>
      </c>
      <c r="AB80" s="356" t="e">
        <f t="shared" si="42"/>
        <v>#NUM!</v>
      </c>
      <c r="AC80" s="357" t="e">
        <f t="shared" ref="AC80:AD95" si="47">AC79+AA80</f>
        <v>#NUM!</v>
      </c>
      <c r="AD80" s="358" t="e">
        <f t="shared" si="47"/>
        <v>#NUM!</v>
      </c>
      <c r="AE80" s="359" t="e">
        <f t="shared" si="43"/>
        <v>#NUM!</v>
      </c>
    </row>
    <row r="81" spans="2:31" x14ac:dyDescent="0.25">
      <c r="B81" s="354" t="s">
        <v>453</v>
      </c>
      <c r="C81" s="355" t="e">
        <f t="shared" si="32"/>
        <v>#VALUE!</v>
      </c>
      <c r="D81" s="356" t="e">
        <f t="shared" si="33"/>
        <v>#VALUE!</v>
      </c>
      <c r="E81" s="357" t="e">
        <f t="shared" si="34"/>
        <v>#VALUE!</v>
      </c>
      <c r="F81" s="358" t="e">
        <f t="shared" si="34"/>
        <v>#VALUE!</v>
      </c>
      <c r="G81" s="359" t="e">
        <f t="shared" si="35"/>
        <v>#VALUE!</v>
      </c>
      <c r="J81" s="354" t="str">
        <f t="shared" si="31"/>
        <v>M72</v>
      </c>
      <c r="K81" s="355">
        <f t="shared" si="36"/>
        <v>1337.614869257276</v>
      </c>
      <c r="L81" s="356">
        <f t="shared" si="44"/>
        <v>671.16883686131848</v>
      </c>
      <c r="M81" s="357">
        <f t="shared" si="37"/>
        <v>72804.354445899007</v>
      </c>
      <c r="N81" s="358">
        <f t="shared" si="37"/>
        <v>71828.072394639763</v>
      </c>
      <c r="O81" s="359">
        <f t="shared" si="38"/>
        <v>79202.645554100949</v>
      </c>
      <c r="R81" s="354"/>
      <c r="S81" s="355">
        <f t="shared" si="39"/>
        <v>3409.910207125698</v>
      </c>
      <c r="T81" s="356">
        <f t="shared" si="45"/>
        <v>4028.463422964815</v>
      </c>
      <c r="U81" s="357">
        <f t="shared" si="46"/>
        <v>189994.29945134791</v>
      </c>
      <c r="V81" s="358">
        <f t="shared" si="46"/>
        <v>345568.6019151691</v>
      </c>
      <c r="W81" s="359">
        <f t="shared" si="40"/>
        <v>480005.70054865209</v>
      </c>
      <c r="Z81" s="354"/>
      <c r="AA81" s="355" t="e">
        <f t="shared" si="41"/>
        <v>#NUM!</v>
      </c>
      <c r="AB81" s="356" t="e">
        <f t="shared" si="42"/>
        <v>#NUM!</v>
      </c>
      <c r="AC81" s="357" t="e">
        <f t="shared" si="47"/>
        <v>#NUM!</v>
      </c>
      <c r="AD81" s="358" t="e">
        <f t="shared" si="47"/>
        <v>#NUM!</v>
      </c>
      <c r="AE81" s="359" t="e">
        <f t="shared" si="43"/>
        <v>#NUM!</v>
      </c>
    </row>
    <row r="82" spans="2:31" x14ac:dyDescent="0.25">
      <c r="B82" s="354" t="s">
        <v>454</v>
      </c>
      <c r="C82" s="355" t="e">
        <f t="shared" si="32"/>
        <v>#VALUE!</v>
      </c>
      <c r="D82" s="356" t="e">
        <f t="shared" si="33"/>
        <v>#VALUE!</v>
      </c>
      <c r="E82" s="357" t="e">
        <f t="shared" si="34"/>
        <v>#VALUE!</v>
      </c>
      <c r="F82" s="358" t="e">
        <f t="shared" si="34"/>
        <v>#VALUE!</v>
      </c>
      <c r="G82" s="359" t="e">
        <f t="shared" si="35"/>
        <v>#VALUE!</v>
      </c>
      <c r="J82" s="354" t="str">
        <f t="shared" si="31"/>
        <v>M73</v>
      </c>
      <c r="K82" s="355">
        <f t="shared" si="36"/>
        <v>1348.7616598344198</v>
      </c>
      <c r="L82" s="356">
        <f t="shared" si="44"/>
        <v>660.02204628417462</v>
      </c>
      <c r="M82" s="357">
        <f t="shared" si="37"/>
        <v>74153.116105733425</v>
      </c>
      <c r="N82" s="358">
        <f t="shared" si="37"/>
        <v>72488.094440923931</v>
      </c>
      <c r="O82" s="359">
        <f t="shared" si="38"/>
        <v>77853.883894266532</v>
      </c>
      <c r="R82" s="354"/>
      <c r="S82" s="355">
        <f t="shared" si="39"/>
        <v>3438.326125518412</v>
      </c>
      <c r="T82" s="356">
        <f t="shared" si="45"/>
        <v>4000.0475045721009</v>
      </c>
      <c r="U82" s="357">
        <f t="shared" si="46"/>
        <v>193432.62557686632</v>
      </c>
      <c r="V82" s="358">
        <f t="shared" si="46"/>
        <v>349568.64941974118</v>
      </c>
      <c r="W82" s="359">
        <f t="shared" si="40"/>
        <v>476567.37442313368</v>
      </c>
      <c r="Z82" s="354"/>
      <c r="AA82" s="355" t="e">
        <f t="shared" si="41"/>
        <v>#NUM!</v>
      </c>
      <c r="AB82" s="356" t="e">
        <f t="shared" si="42"/>
        <v>#NUM!</v>
      </c>
      <c r="AC82" s="357" t="e">
        <f t="shared" si="47"/>
        <v>#NUM!</v>
      </c>
      <c r="AD82" s="358" t="e">
        <f t="shared" si="47"/>
        <v>#NUM!</v>
      </c>
      <c r="AE82" s="359" t="e">
        <f t="shared" si="43"/>
        <v>#NUM!</v>
      </c>
    </row>
    <row r="83" spans="2:31" x14ac:dyDescent="0.25">
      <c r="B83" s="354" t="s">
        <v>455</v>
      </c>
      <c r="C83" s="355" t="e">
        <f t="shared" si="32"/>
        <v>#VALUE!</v>
      </c>
      <c r="D83" s="356" t="e">
        <f t="shared" si="33"/>
        <v>#VALUE!</v>
      </c>
      <c r="E83" s="357" t="e">
        <f t="shared" si="34"/>
        <v>#VALUE!</v>
      </c>
      <c r="F83" s="358" t="e">
        <f t="shared" si="34"/>
        <v>#VALUE!</v>
      </c>
      <c r="G83" s="359" t="e">
        <f t="shared" si="35"/>
        <v>#VALUE!</v>
      </c>
      <c r="J83" s="354" t="str">
        <f t="shared" si="31"/>
        <v>M74</v>
      </c>
      <c r="K83" s="355">
        <f t="shared" si="36"/>
        <v>1360.0013403330399</v>
      </c>
      <c r="L83" s="356">
        <f t="shared" si="44"/>
        <v>648.78236578555448</v>
      </c>
      <c r="M83" s="357">
        <f t="shared" si="37"/>
        <v>75513.117446066462</v>
      </c>
      <c r="N83" s="358">
        <f t="shared" si="37"/>
        <v>73136.876806709479</v>
      </c>
      <c r="O83" s="359">
        <f t="shared" si="38"/>
        <v>76493.882553933494</v>
      </c>
      <c r="R83" s="354"/>
      <c r="S83" s="355">
        <f t="shared" si="39"/>
        <v>3466.9788432310656</v>
      </c>
      <c r="T83" s="356">
        <f t="shared" si="45"/>
        <v>3971.3947868594473</v>
      </c>
      <c r="U83" s="357">
        <f t="shared" si="46"/>
        <v>196899.6044200974</v>
      </c>
      <c r="V83" s="358">
        <f t="shared" si="46"/>
        <v>353540.04420660064</v>
      </c>
      <c r="W83" s="359">
        <f t="shared" si="40"/>
        <v>473100.39557990263</v>
      </c>
      <c r="Z83" s="354"/>
      <c r="AA83" s="355" t="e">
        <f t="shared" si="41"/>
        <v>#NUM!</v>
      </c>
      <c r="AB83" s="356" t="e">
        <f t="shared" si="42"/>
        <v>#NUM!</v>
      </c>
      <c r="AC83" s="357" t="e">
        <f t="shared" si="47"/>
        <v>#NUM!</v>
      </c>
      <c r="AD83" s="358" t="e">
        <f t="shared" si="47"/>
        <v>#NUM!</v>
      </c>
      <c r="AE83" s="359" t="e">
        <f t="shared" si="43"/>
        <v>#NUM!</v>
      </c>
    </row>
    <row r="84" spans="2:31" x14ac:dyDescent="0.25">
      <c r="B84" s="354" t="s">
        <v>456</v>
      </c>
      <c r="C84" s="355" t="e">
        <f t="shared" si="32"/>
        <v>#VALUE!</v>
      </c>
      <c r="D84" s="356" t="e">
        <f t="shared" si="33"/>
        <v>#VALUE!</v>
      </c>
      <c r="E84" s="357" t="e">
        <f t="shared" si="34"/>
        <v>#VALUE!</v>
      </c>
      <c r="F84" s="358" t="e">
        <f t="shared" si="34"/>
        <v>#VALUE!</v>
      </c>
      <c r="G84" s="359" t="e">
        <f t="shared" si="35"/>
        <v>#VALUE!</v>
      </c>
      <c r="J84" s="354" t="str">
        <f t="shared" si="31"/>
        <v>M75</v>
      </c>
      <c r="K84" s="355">
        <f t="shared" si="36"/>
        <v>1371.3346848358153</v>
      </c>
      <c r="L84" s="356">
        <f t="shared" si="44"/>
        <v>637.44902128277909</v>
      </c>
      <c r="M84" s="357">
        <f t="shared" si="37"/>
        <v>76884.452130902282</v>
      </c>
      <c r="N84" s="358">
        <f t="shared" si="37"/>
        <v>73774.325827992259</v>
      </c>
      <c r="O84" s="359">
        <f t="shared" si="38"/>
        <v>75122.547869097674</v>
      </c>
      <c r="R84" s="354"/>
      <c r="S84" s="355">
        <f t="shared" si="39"/>
        <v>3495.8703335913247</v>
      </c>
      <c r="T84" s="356">
        <f t="shared" si="45"/>
        <v>3942.5032964991883</v>
      </c>
      <c r="U84" s="357">
        <f t="shared" si="46"/>
        <v>200395.47475368873</v>
      </c>
      <c r="V84" s="358">
        <f t="shared" si="46"/>
        <v>357482.54750309984</v>
      </c>
      <c r="W84" s="359">
        <f t="shared" si="40"/>
        <v>469604.52524631133</v>
      </c>
      <c r="Z84" s="354"/>
      <c r="AA84" s="355" t="e">
        <f t="shared" si="41"/>
        <v>#NUM!</v>
      </c>
      <c r="AB84" s="356" t="e">
        <f t="shared" si="42"/>
        <v>#NUM!</v>
      </c>
      <c r="AC84" s="357" t="e">
        <f t="shared" si="47"/>
        <v>#NUM!</v>
      </c>
      <c r="AD84" s="358" t="e">
        <f t="shared" si="47"/>
        <v>#NUM!</v>
      </c>
      <c r="AE84" s="359" t="e">
        <f t="shared" si="43"/>
        <v>#NUM!</v>
      </c>
    </row>
    <row r="85" spans="2:31" x14ac:dyDescent="0.25">
      <c r="B85" s="354" t="s">
        <v>457</v>
      </c>
      <c r="C85" s="355" t="e">
        <f t="shared" si="32"/>
        <v>#VALUE!</v>
      </c>
      <c r="D85" s="356" t="e">
        <f t="shared" si="33"/>
        <v>#VALUE!</v>
      </c>
      <c r="E85" s="357" t="e">
        <f t="shared" si="34"/>
        <v>#VALUE!</v>
      </c>
      <c r="F85" s="358" t="e">
        <f t="shared" si="34"/>
        <v>#VALUE!</v>
      </c>
      <c r="G85" s="359" t="e">
        <f t="shared" si="35"/>
        <v>#VALUE!</v>
      </c>
      <c r="J85" s="354" t="str">
        <f t="shared" si="31"/>
        <v>M76</v>
      </c>
      <c r="K85" s="355">
        <f t="shared" si="36"/>
        <v>1382.7624738761137</v>
      </c>
      <c r="L85" s="356">
        <f t="shared" si="44"/>
        <v>626.02123224248066</v>
      </c>
      <c r="M85" s="357">
        <f t="shared" si="37"/>
        <v>78267.21460477839</v>
      </c>
      <c r="N85" s="358">
        <f t="shared" si="37"/>
        <v>74400.347060234737</v>
      </c>
      <c r="O85" s="359">
        <f t="shared" si="38"/>
        <v>73739.785395221566</v>
      </c>
      <c r="R85" s="354"/>
      <c r="S85" s="355">
        <f t="shared" si="39"/>
        <v>3525.0025863712522</v>
      </c>
      <c r="T85" s="356">
        <f t="shared" si="45"/>
        <v>3913.3710437192608</v>
      </c>
      <c r="U85" s="357">
        <f t="shared" si="46"/>
        <v>203920.47734006</v>
      </c>
      <c r="V85" s="358">
        <f t="shared" si="46"/>
        <v>361395.91854681907</v>
      </c>
      <c r="W85" s="359">
        <f t="shared" si="40"/>
        <v>466079.52265994006</v>
      </c>
      <c r="Z85" s="354"/>
      <c r="AA85" s="355" t="e">
        <f t="shared" si="41"/>
        <v>#NUM!</v>
      </c>
      <c r="AB85" s="356" t="e">
        <f t="shared" si="42"/>
        <v>#NUM!</v>
      </c>
      <c r="AC85" s="357" t="e">
        <f t="shared" si="47"/>
        <v>#NUM!</v>
      </c>
      <c r="AD85" s="358" t="e">
        <f t="shared" si="47"/>
        <v>#NUM!</v>
      </c>
      <c r="AE85" s="359" t="e">
        <f t="shared" si="43"/>
        <v>#NUM!</v>
      </c>
    </row>
    <row r="86" spans="2:31" x14ac:dyDescent="0.25">
      <c r="B86" s="354" t="s">
        <v>458</v>
      </c>
      <c r="C86" s="355" t="e">
        <f t="shared" si="32"/>
        <v>#VALUE!</v>
      </c>
      <c r="D86" s="356" t="e">
        <f t="shared" si="33"/>
        <v>#VALUE!</v>
      </c>
      <c r="E86" s="357" t="e">
        <f t="shared" si="34"/>
        <v>#VALUE!</v>
      </c>
      <c r="F86" s="358" t="e">
        <f t="shared" si="34"/>
        <v>#VALUE!</v>
      </c>
      <c r="G86" s="359" t="e">
        <f t="shared" si="35"/>
        <v>#VALUE!</v>
      </c>
      <c r="J86" s="354" t="str">
        <f t="shared" si="31"/>
        <v>M77</v>
      </c>
      <c r="K86" s="355">
        <f t="shared" si="36"/>
        <v>1394.2854944917481</v>
      </c>
      <c r="L86" s="356">
        <f t="shared" si="44"/>
        <v>614.49821162684634</v>
      </c>
      <c r="M86" s="357">
        <f t="shared" si="37"/>
        <v>79661.500099270139</v>
      </c>
      <c r="N86" s="358">
        <f t="shared" si="37"/>
        <v>75014.845271861588</v>
      </c>
      <c r="O86" s="359">
        <f t="shared" si="38"/>
        <v>72345.499900729817</v>
      </c>
      <c r="R86" s="354"/>
      <c r="S86" s="355">
        <f t="shared" si="39"/>
        <v>3554.3776079243457</v>
      </c>
      <c r="T86" s="356">
        <f t="shared" si="45"/>
        <v>3883.9960221661672</v>
      </c>
      <c r="U86" s="357">
        <f t="shared" si="46"/>
        <v>207474.85494798434</v>
      </c>
      <c r="V86" s="358">
        <f t="shared" si="46"/>
        <v>365279.91456898523</v>
      </c>
      <c r="W86" s="359">
        <f t="shared" si="40"/>
        <v>462525.14505201572</v>
      </c>
      <c r="Z86" s="354"/>
      <c r="AA86" s="355" t="e">
        <f t="shared" si="41"/>
        <v>#NUM!</v>
      </c>
      <c r="AB86" s="356" t="e">
        <f t="shared" si="42"/>
        <v>#NUM!</v>
      </c>
      <c r="AC86" s="357" t="e">
        <f t="shared" si="47"/>
        <v>#NUM!</v>
      </c>
      <c r="AD86" s="358" t="e">
        <f t="shared" si="47"/>
        <v>#NUM!</v>
      </c>
      <c r="AE86" s="359" t="e">
        <f t="shared" si="43"/>
        <v>#NUM!</v>
      </c>
    </row>
    <row r="87" spans="2:31" x14ac:dyDescent="0.25">
      <c r="B87" s="354" t="s">
        <v>459</v>
      </c>
      <c r="C87" s="355" t="e">
        <f t="shared" si="32"/>
        <v>#VALUE!</v>
      </c>
      <c r="D87" s="356" t="e">
        <f t="shared" si="33"/>
        <v>#VALUE!</v>
      </c>
      <c r="E87" s="357" t="e">
        <f t="shared" si="34"/>
        <v>#VALUE!</v>
      </c>
      <c r="F87" s="358" t="e">
        <f t="shared" si="34"/>
        <v>#VALUE!</v>
      </c>
      <c r="G87" s="359" t="e">
        <f t="shared" si="35"/>
        <v>#VALUE!</v>
      </c>
      <c r="J87" s="354" t="str">
        <f t="shared" si="31"/>
        <v>M78</v>
      </c>
      <c r="K87" s="355">
        <f t="shared" si="36"/>
        <v>1405.9045402791794</v>
      </c>
      <c r="L87" s="356">
        <f t="shared" si="44"/>
        <v>602.87916583941512</v>
      </c>
      <c r="M87" s="357">
        <f t="shared" si="37"/>
        <v>81067.404639549321</v>
      </c>
      <c r="N87" s="358">
        <f t="shared" si="37"/>
        <v>75617.724437701007</v>
      </c>
      <c r="O87" s="359">
        <f t="shared" si="38"/>
        <v>70939.595360450636</v>
      </c>
      <c r="R87" s="354"/>
      <c r="S87" s="355">
        <f t="shared" si="39"/>
        <v>3583.9974213237151</v>
      </c>
      <c r="T87" s="356">
        <f t="shared" si="45"/>
        <v>3854.3762087667978</v>
      </c>
      <c r="U87" s="357">
        <f t="shared" si="46"/>
        <v>211058.85236930806</v>
      </c>
      <c r="V87" s="358">
        <f t="shared" si="46"/>
        <v>369134.290777752</v>
      </c>
      <c r="W87" s="359">
        <f t="shared" si="40"/>
        <v>458941.14763069199</v>
      </c>
      <c r="Z87" s="354"/>
      <c r="AA87" s="355" t="e">
        <f t="shared" si="41"/>
        <v>#NUM!</v>
      </c>
      <c r="AB87" s="356" t="e">
        <f t="shared" si="42"/>
        <v>#NUM!</v>
      </c>
      <c r="AC87" s="357" t="e">
        <f t="shared" si="47"/>
        <v>#NUM!</v>
      </c>
      <c r="AD87" s="358" t="e">
        <f t="shared" si="47"/>
        <v>#NUM!</v>
      </c>
      <c r="AE87" s="359" t="e">
        <f t="shared" si="43"/>
        <v>#NUM!</v>
      </c>
    </row>
    <row r="88" spans="2:31" x14ac:dyDescent="0.25">
      <c r="B88" s="354" t="s">
        <v>460</v>
      </c>
      <c r="C88" s="355" t="e">
        <f t="shared" si="32"/>
        <v>#VALUE!</v>
      </c>
      <c r="D88" s="356" t="e">
        <f t="shared" si="33"/>
        <v>#VALUE!</v>
      </c>
      <c r="E88" s="357" t="e">
        <f t="shared" si="34"/>
        <v>#VALUE!</v>
      </c>
      <c r="F88" s="358" t="e">
        <f t="shared" si="34"/>
        <v>#VALUE!</v>
      </c>
      <c r="G88" s="359" t="e">
        <f t="shared" si="35"/>
        <v>#VALUE!</v>
      </c>
      <c r="J88" s="354" t="str">
        <f t="shared" si="31"/>
        <v>M79</v>
      </c>
      <c r="K88" s="355">
        <f t="shared" si="36"/>
        <v>1417.6204114481725</v>
      </c>
      <c r="L88" s="356">
        <f t="shared" si="44"/>
        <v>591.16329467042192</v>
      </c>
      <c r="M88" s="357">
        <f t="shared" si="37"/>
        <v>82485.025050997487</v>
      </c>
      <c r="N88" s="358">
        <f t="shared" si="37"/>
        <v>76208.887732371426</v>
      </c>
      <c r="O88" s="359">
        <f t="shared" si="38"/>
        <v>69521.97494900247</v>
      </c>
      <c r="R88" s="354"/>
      <c r="S88" s="355">
        <f t="shared" si="39"/>
        <v>3613.8640665014132</v>
      </c>
      <c r="T88" s="356">
        <f t="shared" si="45"/>
        <v>3824.5095635890998</v>
      </c>
      <c r="U88" s="357">
        <f t="shared" si="46"/>
        <v>214672.71643580947</v>
      </c>
      <c r="V88" s="358">
        <f t="shared" si="46"/>
        <v>372958.80034134112</v>
      </c>
      <c r="W88" s="359">
        <f t="shared" si="40"/>
        <v>455327.28356419055</v>
      </c>
      <c r="Z88" s="354"/>
      <c r="AA88" s="355" t="e">
        <f t="shared" si="41"/>
        <v>#NUM!</v>
      </c>
      <c r="AB88" s="356" t="e">
        <f t="shared" si="42"/>
        <v>#NUM!</v>
      </c>
      <c r="AC88" s="357" t="e">
        <f t="shared" si="47"/>
        <v>#NUM!</v>
      </c>
      <c r="AD88" s="358" t="e">
        <f t="shared" si="47"/>
        <v>#NUM!</v>
      </c>
      <c r="AE88" s="359" t="e">
        <f t="shared" si="43"/>
        <v>#NUM!</v>
      </c>
    </row>
    <row r="89" spans="2:31" x14ac:dyDescent="0.25">
      <c r="B89" s="354" t="s">
        <v>461</v>
      </c>
      <c r="C89" s="355" t="e">
        <f t="shared" si="32"/>
        <v>#VALUE!</v>
      </c>
      <c r="D89" s="356" t="e">
        <f t="shared" si="33"/>
        <v>#VALUE!</v>
      </c>
      <c r="E89" s="357" t="e">
        <f t="shared" si="34"/>
        <v>#VALUE!</v>
      </c>
      <c r="F89" s="358" t="e">
        <f t="shared" si="34"/>
        <v>#VALUE!</v>
      </c>
      <c r="G89" s="359" t="e">
        <f t="shared" si="35"/>
        <v>#VALUE!</v>
      </c>
      <c r="J89" s="354" t="str">
        <f t="shared" si="31"/>
        <v>M80</v>
      </c>
      <c r="K89" s="355">
        <f t="shared" si="36"/>
        <v>1429.4339148769072</v>
      </c>
      <c r="L89" s="356">
        <f t="shared" si="44"/>
        <v>579.34979124168729</v>
      </c>
      <c r="M89" s="357">
        <f t="shared" si="37"/>
        <v>83914.458965874393</v>
      </c>
      <c r="N89" s="358">
        <f t="shared" si="37"/>
        <v>76788.237523613119</v>
      </c>
      <c r="O89" s="359">
        <f t="shared" si="38"/>
        <v>68092.541034125563</v>
      </c>
      <c r="R89" s="354"/>
      <c r="S89" s="355">
        <f t="shared" si="39"/>
        <v>3643.9796003889251</v>
      </c>
      <c r="T89" s="356">
        <f t="shared" si="45"/>
        <v>3794.3940297015879</v>
      </c>
      <c r="U89" s="357">
        <f t="shared" si="46"/>
        <v>218316.69603619841</v>
      </c>
      <c r="V89" s="358">
        <f t="shared" si="46"/>
        <v>376753.19437104271</v>
      </c>
      <c r="W89" s="359">
        <f t="shared" si="40"/>
        <v>451683.30396380165</v>
      </c>
      <c r="Z89" s="354"/>
      <c r="AA89" s="355" t="e">
        <f t="shared" si="41"/>
        <v>#NUM!</v>
      </c>
      <c r="AB89" s="356" t="e">
        <f t="shared" si="42"/>
        <v>#NUM!</v>
      </c>
      <c r="AC89" s="357" t="e">
        <f t="shared" si="47"/>
        <v>#NUM!</v>
      </c>
      <c r="AD89" s="358" t="e">
        <f t="shared" si="47"/>
        <v>#NUM!</v>
      </c>
      <c r="AE89" s="359" t="e">
        <f t="shared" si="43"/>
        <v>#NUM!</v>
      </c>
    </row>
    <row r="90" spans="2:31" x14ac:dyDescent="0.25">
      <c r="B90" s="354" t="s">
        <v>462</v>
      </c>
      <c r="C90" s="355" t="e">
        <f t="shared" si="32"/>
        <v>#VALUE!</v>
      </c>
      <c r="D90" s="356" t="e">
        <f t="shared" si="33"/>
        <v>#VALUE!</v>
      </c>
      <c r="E90" s="357" t="e">
        <f t="shared" si="34"/>
        <v>#VALUE!</v>
      </c>
      <c r="F90" s="358" t="e">
        <f t="shared" si="34"/>
        <v>#VALUE!</v>
      </c>
      <c r="G90" s="359" t="e">
        <f t="shared" si="35"/>
        <v>#VALUE!</v>
      </c>
      <c r="J90" s="354" t="str">
        <f t="shared" si="31"/>
        <v>M81</v>
      </c>
      <c r="K90" s="355">
        <f t="shared" si="36"/>
        <v>1441.3458641675479</v>
      </c>
      <c r="L90" s="356">
        <f t="shared" si="44"/>
        <v>567.43784195104638</v>
      </c>
      <c r="M90" s="357">
        <f t="shared" si="37"/>
        <v>85355.804830041947</v>
      </c>
      <c r="N90" s="358">
        <f t="shared" si="37"/>
        <v>77355.675365564166</v>
      </c>
      <c r="O90" s="359">
        <f t="shared" si="38"/>
        <v>66651.19516995801</v>
      </c>
      <c r="R90" s="354"/>
      <c r="S90" s="355">
        <f t="shared" si="39"/>
        <v>3674.3460970588326</v>
      </c>
      <c r="T90" s="356">
        <f t="shared" si="45"/>
        <v>3764.0275330316804</v>
      </c>
      <c r="U90" s="357">
        <f t="shared" si="46"/>
        <v>221991.04213325723</v>
      </c>
      <c r="V90" s="358">
        <f t="shared" si="46"/>
        <v>380517.22190407442</v>
      </c>
      <c r="W90" s="359">
        <f t="shared" si="40"/>
        <v>448008.9578667428</v>
      </c>
      <c r="Z90" s="354"/>
      <c r="AA90" s="355" t="e">
        <f t="shared" si="41"/>
        <v>#NUM!</v>
      </c>
      <c r="AB90" s="356" t="e">
        <f t="shared" si="42"/>
        <v>#NUM!</v>
      </c>
      <c r="AC90" s="357" t="e">
        <f t="shared" si="47"/>
        <v>#NUM!</v>
      </c>
      <c r="AD90" s="358" t="e">
        <f t="shared" si="47"/>
        <v>#NUM!</v>
      </c>
      <c r="AE90" s="359" t="e">
        <f t="shared" si="43"/>
        <v>#NUM!</v>
      </c>
    </row>
    <row r="91" spans="2:31" x14ac:dyDescent="0.25">
      <c r="B91" s="354" t="s">
        <v>463</v>
      </c>
      <c r="C91" s="355" t="e">
        <f t="shared" si="32"/>
        <v>#VALUE!</v>
      </c>
      <c r="D91" s="356" t="e">
        <f t="shared" si="33"/>
        <v>#VALUE!</v>
      </c>
      <c r="E91" s="357" t="e">
        <f t="shared" si="34"/>
        <v>#VALUE!</v>
      </c>
      <c r="F91" s="358" t="e">
        <f t="shared" si="34"/>
        <v>#VALUE!</v>
      </c>
      <c r="G91" s="359" t="e">
        <f t="shared" si="35"/>
        <v>#VALUE!</v>
      </c>
      <c r="J91" s="354" t="str">
        <f t="shared" si="31"/>
        <v>M82</v>
      </c>
      <c r="K91" s="355">
        <f t="shared" si="36"/>
        <v>1453.3570797022776</v>
      </c>
      <c r="L91" s="356">
        <f t="shared" si="44"/>
        <v>555.42662641631671</v>
      </c>
      <c r="M91" s="357">
        <f t="shared" si="37"/>
        <v>86809.161909744231</v>
      </c>
      <c r="N91" s="358">
        <f t="shared" si="37"/>
        <v>77911.101991980482</v>
      </c>
      <c r="O91" s="359">
        <f t="shared" si="38"/>
        <v>65197.838090255733</v>
      </c>
      <c r="R91" s="354"/>
      <c r="S91" s="355">
        <f t="shared" si="39"/>
        <v>3704.9656478676566</v>
      </c>
      <c r="T91" s="356">
        <f t="shared" si="45"/>
        <v>3733.4079822228564</v>
      </c>
      <c r="U91" s="357">
        <f t="shared" si="46"/>
        <v>225696.00778112488</v>
      </c>
      <c r="V91" s="358">
        <f t="shared" si="46"/>
        <v>384250.62988629728</v>
      </c>
      <c r="W91" s="359">
        <f t="shared" si="40"/>
        <v>444303.99221887515</v>
      </c>
      <c r="Z91" s="354"/>
      <c r="AA91" s="355" t="e">
        <f t="shared" si="41"/>
        <v>#NUM!</v>
      </c>
      <c r="AB91" s="356" t="e">
        <f t="shared" si="42"/>
        <v>#NUM!</v>
      </c>
      <c r="AC91" s="357" t="e">
        <f t="shared" si="47"/>
        <v>#NUM!</v>
      </c>
      <c r="AD91" s="358" t="e">
        <f t="shared" si="47"/>
        <v>#NUM!</v>
      </c>
      <c r="AE91" s="359" t="e">
        <f t="shared" si="43"/>
        <v>#NUM!</v>
      </c>
    </row>
    <row r="92" spans="2:31" x14ac:dyDescent="0.25">
      <c r="B92" s="354" t="s">
        <v>464</v>
      </c>
      <c r="C92" s="355" t="e">
        <f t="shared" si="32"/>
        <v>#VALUE!</v>
      </c>
      <c r="D92" s="356" t="e">
        <f t="shared" si="33"/>
        <v>#VALUE!</v>
      </c>
      <c r="E92" s="357" t="e">
        <f t="shared" ref="E92:F107" si="48">E91+C92</f>
        <v>#VALUE!</v>
      </c>
      <c r="F92" s="358" t="e">
        <f t="shared" si="48"/>
        <v>#VALUE!</v>
      </c>
      <c r="G92" s="359" t="e">
        <f t="shared" si="35"/>
        <v>#VALUE!</v>
      </c>
      <c r="J92" s="354" t="str">
        <f t="shared" si="31"/>
        <v>M83</v>
      </c>
      <c r="K92" s="355">
        <f t="shared" si="36"/>
        <v>1465.4683886997966</v>
      </c>
      <c r="L92" s="356">
        <f t="shared" si="44"/>
        <v>543.3153174187978</v>
      </c>
      <c r="M92" s="357">
        <f t="shared" ref="M92:N107" si="49">M91+K92</f>
        <v>88274.630298444026</v>
      </c>
      <c r="N92" s="358">
        <f t="shared" si="49"/>
        <v>78454.417309399287</v>
      </c>
      <c r="O92" s="359">
        <f t="shared" si="38"/>
        <v>63732.369701555937</v>
      </c>
      <c r="R92" s="354"/>
      <c r="S92" s="355">
        <f t="shared" si="39"/>
        <v>3735.8403615998868</v>
      </c>
      <c r="T92" s="356">
        <f t="shared" si="45"/>
        <v>3702.5332684906261</v>
      </c>
      <c r="U92" s="357">
        <f t="shared" si="46"/>
        <v>229431.84814272478</v>
      </c>
      <c r="V92" s="358">
        <f t="shared" si="46"/>
        <v>387953.16315478791</v>
      </c>
      <c r="W92" s="359">
        <f t="shared" si="40"/>
        <v>440568.15185727528</v>
      </c>
      <c r="Z92" s="354"/>
      <c r="AA92" s="355" t="e">
        <f t="shared" si="41"/>
        <v>#NUM!</v>
      </c>
      <c r="AB92" s="356" t="e">
        <f t="shared" si="42"/>
        <v>#NUM!</v>
      </c>
      <c r="AC92" s="357" t="e">
        <f t="shared" si="47"/>
        <v>#NUM!</v>
      </c>
      <c r="AD92" s="358" t="e">
        <f t="shared" si="47"/>
        <v>#NUM!</v>
      </c>
      <c r="AE92" s="359" t="e">
        <f t="shared" si="43"/>
        <v>#NUM!</v>
      </c>
    </row>
    <row r="93" spans="2:31" x14ac:dyDescent="0.25">
      <c r="B93" s="354" t="s">
        <v>465</v>
      </c>
      <c r="C93" s="355" t="e">
        <f t="shared" si="32"/>
        <v>#VALUE!</v>
      </c>
      <c r="D93" s="356" t="e">
        <f t="shared" si="33"/>
        <v>#VALUE!</v>
      </c>
      <c r="E93" s="357" t="e">
        <f t="shared" si="48"/>
        <v>#VALUE!</v>
      </c>
      <c r="F93" s="358" t="e">
        <f t="shared" si="48"/>
        <v>#VALUE!</v>
      </c>
      <c r="G93" s="359" t="e">
        <f t="shared" si="35"/>
        <v>#VALUE!</v>
      </c>
      <c r="J93" s="354" t="str">
        <f t="shared" si="31"/>
        <v>M84</v>
      </c>
      <c r="K93" s="355">
        <f t="shared" si="36"/>
        <v>1477.6806252722949</v>
      </c>
      <c r="L93" s="356">
        <f t="shared" si="44"/>
        <v>531.10308084629946</v>
      </c>
      <c r="M93" s="357">
        <f t="shared" si="49"/>
        <v>89752.310923716315</v>
      </c>
      <c r="N93" s="358">
        <f t="shared" si="49"/>
        <v>78985.520390245583</v>
      </c>
      <c r="O93" s="359">
        <f t="shared" si="38"/>
        <v>62254.689076283641</v>
      </c>
      <c r="R93" s="354"/>
      <c r="S93" s="355">
        <f t="shared" si="39"/>
        <v>3766.9723646132188</v>
      </c>
      <c r="T93" s="356">
        <f t="shared" si="45"/>
        <v>3671.4012654772941</v>
      </c>
      <c r="U93" s="357">
        <f t="shared" si="46"/>
        <v>233198.82050733798</v>
      </c>
      <c r="V93" s="358">
        <f t="shared" si="46"/>
        <v>391624.5644202652</v>
      </c>
      <c r="W93" s="359">
        <f t="shared" si="40"/>
        <v>436801.17949266208</v>
      </c>
      <c r="Z93" s="354"/>
      <c r="AA93" s="355" t="e">
        <f t="shared" si="41"/>
        <v>#NUM!</v>
      </c>
      <c r="AB93" s="356" t="e">
        <f t="shared" si="42"/>
        <v>#NUM!</v>
      </c>
      <c r="AC93" s="357" t="e">
        <f t="shared" si="47"/>
        <v>#NUM!</v>
      </c>
      <c r="AD93" s="358" t="e">
        <f t="shared" si="47"/>
        <v>#NUM!</v>
      </c>
      <c r="AE93" s="359" t="e">
        <f t="shared" si="43"/>
        <v>#NUM!</v>
      </c>
    </row>
    <row r="94" spans="2:31" x14ac:dyDescent="0.25">
      <c r="B94" s="354" t="s">
        <v>466</v>
      </c>
      <c r="C94" s="355" t="e">
        <f t="shared" si="32"/>
        <v>#VALUE!</v>
      </c>
      <c r="D94" s="356" t="e">
        <f t="shared" si="33"/>
        <v>#VALUE!</v>
      </c>
      <c r="E94" s="357" t="e">
        <f t="shared" si="48"/>
        <v>#VALUE!</v>
      </c>
      <c r="F94" s="358" t="e">
        <f t="shared" si="48"/>
        <v>#VALUE!</v>
      </c>
      <c r="G94" s="359" t="e">
        <f t="shared" si="35"/>
        <v>#VALUE!</v>
      </c>
      <c r="J94" s="354" t="str">
        <f t="shared" si="31"/>
        <v>M85</v>
      </c>
      <c r="K94" s="355">
        <f t="shared" si="36"/>
        <v>1489.9946304828973</v>
      </c>
      <c r="L94" s="356">
        <f t="shared" si="44"/>
        <v>518.78907563569703</v>
      </c>
      <c r="M94" s="357">
        <f t="shared" si="49"/>
        <v>91242.305554199207</v>
      </c>
      <c r="N94" s="358">
        <f t="shared" si="49"/>
        <v>79504.309465881277</v>
      </c>
      <c r="O94" s="359">
        <f t="shared" si="38"/>
        <v>60764.694445800742</v>
      </c>
      <c r="R94" s="354"/>
      <c r="S94" s="355">
        <f t="shared" si="39"/>
        <v>3798.3638009849956</v>
      </c>
      <c r="T94" s="356">
        <f t="shared" si="45"/>
        <v>3640.0098291055174</v>
      </c>
      <c r="U94" s="357">
        <f t="shared" si="46"/>
        <v>236997.18430832296</v>
      </c>
      <c r="V94" s="358">
        <f t="shared" si="46"/>
        <v>395264.57424937072</v>
      </c>
      <c r="W94" s="359">
        <f t="shared" si="40"/>
        <v>433002.8156916771</v>
      </c>
      <c r="Z94" s="354"/>
      <c r="AA94" s="355" t="e">
        <f t="shared" si="41"/>
        <v>#NUM!</v>
      </c>
      <c r="AB94" s="356" t="e">
        <f t="shared" si="42"/>
        <v>#NUM!</v>
      </c>
      <c r="AC94" s="357" t="e">
        <f t="shared" si="47"/>
        <v>#NUM!</v>
      </c>
      <c r="AD94" s="358" t="e">
        <f t="shared" si="47"/>
        <v>#NUM!</v>
      </c>
      <c r="AE94" s="359" t="e">
        <f t="shared" si="43"/>
        <v>#NUM!</v>
      </c>
    </row>
    <row r="95" spans="2:31" x14ac:dyDescent="0.25">
      <c r="B95" s="354" t="s">
        <v>467</v>
      </c>
      <c r="C95" s="355" t="e">
        <f t="shared" si="32"/>
        <v>#VALUE!</v>
      </c>
      <c r="D95" s="356" t="e">
        <f t="shared" si="33"/>
        <v>#VALUE!</v>
      </c>
      <c r="E95" s="357" t="e">
        <f t="shared" si="48"/>
        <v>#VALUE!</v>
      </c>
      <c r="F95" s="358" t="e">
        <f t="shared" si="48"/>
        <v>#VALUE!</v>
      </c>
      <c r="G95" s="359" t="e">
        <f t="shared" si="35"/>
        <v>#VALUE!</v>
      </c>
      <c r="J95" s="354" t="str">
        <f t="shared" si="31"/>
        <v>M86</v>
      </c>
      <c r="K95" s="355">
        <f t="shared" si="36"/>
        <v>1502.4112524035882</v>
      </c>
      <c r="L95" s="356">
        <f t="shared" si="44"/>
        <v>506.3724537150062</v>
      </c>
      <c r="M95" s="357">
        <f t="shared" si="49"/>
        <v>92744.716806602795</v>
      </c>
      <c r="N95" s="358">
        <f t="shared" si="49"/>
        <v>80010.681919596289</v>
      </c>
      <c r="O95" s="359">
        <f t="shared" si="38"/>
        <v>59262.283193397154</v>
      </c>
      <c r="R95" s="354"/>
      <c r="S95" s="355">
        <f t="shared" si="39"/>
        <v>3830.0168326598705</v>
      </c>
      <c r="T95" s="356">
        <f t="shared" si="45"/>
        <v>3608.3567974306425</v>
      </c>
      <c r="U95" s="357">
        <f t="shared" si="46"/>
        <v>240827.20114098283</v>
      </c>
      <c r="V95" s="358">
        <f t="shared" si="46"/>
        <v>398872.93104680139</v>
      </c>
      <c r="W95" s="359">
        <f t="shared" si="40"/>
        <v>429172.7988590172</v>
      </c>
      <c r="Z95" s="354"/>
      <c r="AA95" s="355" t="e">
        <f t="shared" si="41"/>
        <v>#NUM!</v>
      </c>
      <c r="AB95" s="356" t="e">
        <f t="shared" si="42"/>
        <v>#NUM!</v>
      </c>
      <c r="AC95" s="357" t="e">
        <f t="shared" si="47"/>
        <v>#NUM!</v>
      </c>
      <c r="AD95" s="358" t="e">
        <f t="shared" si="47"/>
        <v>#NUM!</v>
      </c>
      <c r="AE95" s="359" t="e">
        <f t="shared" si="43"/>
        <v>#NUM!</v>
      </c>
    </row>
    <row r="96" spans="2:31" x14ac:dyDescent="0.25">
      <c r="B96" s="354" t="s">
        <v>468</v>
      </c>
      <c r="C96" s="355" t="e">
        <f t="shared" si="32"/>
        <v>#VALUE!</v>
      </c>
      <c r="D96" s="356" t="e">
        <f t="shared" si="33"/>
        <v>#VALUE!</v>
      </c>
      <c r="E96" s="357" t="e">
        <f t="shared" si="48"/>
        <v>#VALUE!</v>
      </c>
      <c r="F96" s="358" t="e">
        <f t="shared" si="48"/>
        <v>#VALUE!</v>
      </c>
      <c r="G96" s="359" t="e">
        <f t="shared" si="35"/>
        <v>#VALUE!</v>
      </c>
      <c r="J96" s="354" t="str">
        <f t="shared" si="31"/>
        <v>M87</v>
      </c>
      <c r="K96" s="355">
        <f t="shared" si="36"/>
        <v>1514.9313461736181</v>
      </c>
      <c r="L96" s="356">
        <f t="shared" si="44"/>
        <v>493.85235994497629</v>
      </c>
      <c r="M96" s="357">
        <f t="shared" si="49"/>
        <v>94259.648152776412</v>
      </c>
      <c r="N96" s="358">
        <f t="shared" si="49"/>
        <v>80504.534279541258</v>
      </c>
      <c r="O96" s="359">
        <f t="shared" si="38"/>
        <v>57747.351847223537</v>
      </c>
      <c r="R96" s="354"/>
      <c r="S96" s="355">
        <f t="shared" si="39"/>
        <v>3861.9336395987029</v>
      </c>
      <c r="T96" s="356">
        <f t="shared" si="45"/>
        <v>3576.43999049181</v>
      </c>
      <c r="U96" s="357">
        <f t="shared" ref="U96:V111" si="50">U95+S96</f>
        <v>244689.13478058152</v>
      </c>
      <c r="V96" s="358">
        <f t="shared" si="50"/>
        <v>402449.37103729323</v>
      </c>
      <c r="W96" s="359">
        <f t="shared" si="40"/>
        <v>425310.86521941848</v>
      </c>
      <c r="Z96" s="354"/>
      <c r="AA96" s="355" t="e">
        <f t="shared" si="41"/>
        <v>#NUM!</v>
      </c>
      <c r="AB96" s="356" t="e">
        <f t="shared" si="42"/>
        <v>#NUM!</v>
      </c>
      <c r="AC96" s="357" t="e">
        <f t="shared" ref="AC96:AD111" si="51">AC95+AA96</f>
        <v>#NUM!</v>
      </c>
      <c r="AD96" s="358" t="e">
        <f t="shared" si="51"/>
        <v>#NUM!</v>
      </c>
      <c r="AE96" s="359" t="e">
        <f t="shared" si="43"/>
        <v>#NUM!</v>
      </c>
    </row>
    <row r="97" spans="2:31" x14ac:dyDescent="0.25">
      <c r="B97" s="354" t="s">
        <v>469</v>
      </c>
      <c r="C97" s="355" t="e">
        <f t="shared" si="32"/>
        <v>#VALUE!</v>
      </c>
      <c r="D97" s="356" t="e">
        <f t="shared" si="33"/>
        <v>#VALUE!</v>
      </c>
      <c r="E97" s="357" t="e">
        <f t="shared" si="48"/>
        <v>#VALUE!</v>
      </c>
      <c r="F97" s="358" t="e">
        <f t="shared" si="48"/>
        <v>#VALUE!</v>
      </c>
      <c r="G97" s="359" t="e">
        <f t="shared" si="35"/>
        <v>#VALUE!</v>
      </c>
      <c r="J97" s="354" t="str">
        <f t="shared" si="31"/>
        <v>M88</v>
      </c>
      <c r="K97" s="355">
        <f t="shared" si="36"/>
        <v>1527.5557740583984</v>
      </c>
      <c r="L97" s="356">
        <f t="shared" si="44"/>
        <v>481.22793206019611</v>
      </c>
      <c r="M97" s="357">
        <f t="shared" si="49"/>
        <v>95787.203926834816</v>
      </c>
      <c r="N97" s="358">
        <f t="shared" si="49"/>
        <v>80985.762211601454</v>
      </c>
      <c r="O97" s="359">
        <f t="shared" si="38"/>
        <v>56219.79607316514</v>
      </c>
      <c r="R97" s="354"/>
      <c r="S97" s="355">
        <f t="shared" si="39"/>
        <v>3894.1164199286923</v>
      </c>
      <c r="T97" s="356">
        <f t="shared" si="45"/>
        <v>3544.2572101618207</v>
      </c>
      <c r="U97" s="357">
        <f t="shared" si="50"/>
        <v>248583.25120051022</v>
      </c>
      <c r="V97" s="358">
        <f t="shared" si="50"/>
        <v>405993.62824745505</v>
      </c>
      <c r="W97" s="359">
        <f t="shared" si="40"/>
        <v>421416.74879948981</v>
      </c>
      <c r="Z97" s="354"/>
      <c r="AA97" s="355" t="e">
        <f t="shared" si="41"/>
        <v>#NUM!</v>
      </c>
      <c r="AB97" s="356" t="e">
        <f t="shared" si="42"/>
        <v>#NUM!</v>
      </c>
      <c r="AC97" s="357" t="e">
        <f t="shared" si="51"/>
        <v>#NUM!</v>
      </c>
      <c r="AD97" s="358" t="e">
        <f t="shared" si="51"/>
        <v>#NUM!</v>
      </c>
      <c r="AE97" s="359" t="e">
        <f t="shared" si="43"/>
        <v>#NUM!</v>
      </c>
    </row>
    <row r="98" spans="2:31" x14ac:dyDescent="0.25">
      <c r="B98" s="354" t="s">
        <v>470</v>
      </c>
      <c r="C98" s="355" t="e">
        <f t="shared" si="32"/>
        <v>#VALUE!</v>
      </c>
      <c r="D98" s="356" t="e">
        <f t="shared" si="33"/>
        <v>#VALUE!</v>
      </c>
      <c r="E98" s="357" t="e">
        <f t="shared" si="48"/>
        <v>#VALUE!</v>
      </c>
      <c r="F98" s="358" t="e">
        <f t="shared" si="48"/>
        <v>#VALUE!</v>
      </c>
      <c r="G98" s="359" t="e">
        <f t="shared" si="35"/>
        <v>#VALUE!</v>
      </c>
      <c r="J98" s="354" t="str">
        <f t="shared" si="31"/>
        <v>M89</v>
      </c>
      <c r="K98" s="355">
        <f t="shared" si="36"/>
        <v>1540.2854055088849</v>
      </c>
      <c r="L98" s="356">
        <f t="shared" si="44"/>
        <v>468.49830060970947</v>
      </c>
      <c r="M98" s="357">
        <f t="shared" si="49"/>
        <v>97327.489332343699</v>
      </c>
      <c r="N98" s="358">
        <f t="shared" si="49"/>
        <v>81454.260512211156</v>
      </c>
      <c r="O98" s="359">
        <f t="shared" si="38"/>
        <v>54679.510667656257</v>
      </c>
      <c r="R98" s="354"/>
      <c r="S98" s="355">
        <f t="shared" si="39"/>
        <v>3926.5673900947645</v>
      </c>
      <c r="T98" s="356">
        <f t="shared" si="45"/>
        <v>3511.8062399957485</v>
      </c>
      <c r="U98" s="357">
        <f t="shared" si="50"/>
        <v>252509.81859060499</v>
      </c>
      <c r="V98" s="358">
        <f t="shared" si="50"/>
        <v>409505.43448745081</v>
      </c>
      <c r="W98" s="359">
        <f t="shared" si="40"/>
        <v>417490.18140939507</v>
      </c>
      <c r="Z98" s="354"/>
      <c r="AA98" s="355" t="e">
        <f t="shared" si="41"/>
        <v>#NUM!</v>
      </c>
      <c r="AB98" s="356" t="e">
        <f t="shared" si="42"/>
        <v>#NUM!</v>
      </c>
      <c r="AC98" s="357" t="e">
        <f t="shared" si="51"/>
        <v>#NUM!</v>
      </c>
      <c r="AD98" s="358" t="e">
        <f t="shared" si="51"/>
        <v>#NUM!</v>
      </c>
      <c r="AE98" s="359" t="e">
        <f t="shared" si="43"/>
        <v>#NUM!</v>
      </c>
    </row>
    <row r="99" spans="2:31" x14ac:dyDescent="0.25">
      <c r="B99" s="354" t="s">
        <v>471</v>
      </c>
      <c r="C99" s="355" t="e">
        <f t="shared" si="32"/>
        <v>#VALUE!</v>
      </c>
      <c r="D99" s="356" t="e">
        <f t="shared" si="33"/>
        <v>#VALUE!</v>
      </c>
      <c r="E99" s="357" t="e">
        <f t="shared" si="48"/>
        <v>#VALUE!</v>
      </c>
      <c r="F99" s="358" t="e">
        <f t="shared" si="48"/>
        <v>#VALUE!</v>
      </c>
      <c r="G99" s="359" t="e">
        <f t="shared" si="35"/>
        <v>#VALUE!</v>
      </c>
      <c r="J99" s="354" t="str">
        <f t="shared" si="31"/>
        <v>M90</v>
      </c>
      <c r="K99" s="355">
        <f t="shared" si="36"/>
        <v>1553.1211172214589</v>
      </c>
      <c r="L99" s="356">
        <f t="shared" si="44"/>
        <v>455.66258889713549</v>
      </c>
      <c r="M99" s="357">
        <f t="shared" si="49"/>
        <v>98880.610449565153</v>
      </c>
      <c r="N99" s="358">
        <f t="shared" si="49"/>
        <v>81909.923101108288</v>
      </c>
      <c r="O99" s="359">
        <f t="shared" si="38"/>
        <v>53126.389550434797</v>
      </c>
      <c r="R99" s="354"/>
      <c r="S99" s="355">
        <f t="shared" si="39"/>
        <v>3959.2887850122206</v>
      </c>
      <c r="T99" s="356">
        <f t="shared" si="45"/>
        <v>3479.0848450782923</v>
      </c>
      <c r="U99" s="357">
        <f t="shared" si="50"/>
        <v>256469.1073756172</v>
      </c>
      <c r="V99" s="358">
        <f t="shared" si="50"/>
        <v>412984.5193325291</v>
      </c>
      <c r="W99" s="359">
        <f t="shared" si="40"/>
        <v>413530.89262438286</v>
      </c>
      <c r="Z99" s="354"/>
      <c r="AA99" s="355" t="e">
        <f t="shared" si="41"/>
        <v>#NUM!</v>
      </c>
      <c r="AB99" s="356" t="e">
        <f t="shared" si="42"/>
        <v>#NUM!</v>
      </c>
      <c r="AC99" s="357" t="e">
        <f t="shared" si="51"/>
        <v>#NUM!</v>
      </c>
      <c r="AD99" s="358" t="e">
        <f t="shared" si="51"/>
        <v>#NUM!</v>
      </c>
      <c r="AE99" s="359" t="e">
        <f t="shared" si="43"/>
        <v>#NUM!</v>
      </c>
    </row>
    <row r="100" spans="2:31" x14ac:dyDescent="0.25">
      <c r="B100" s="354" t="s">
        <v>472</v>
      </c>
      <c r="C100" s="355" t="e">
        <f t="shared" si="32"/>
        <v>#VALUE!</v>
      </c>
      <c r="D100" s="356" t="e">
        <f t="shared" si="33"/>
        <v>#VALUE!</v>
      </c>
      <c r="E100" s="357" t="e">
        <f t="shared" si="48"/>
        <v>#VALUE!</v>
      </c>
      <c r="F100" s="358" t="e">
        <f t="shared" si="48"/>
        <v>#VALUE!</v>
      </c>
      <c r="G100" s="359" t="e">
        <f t="shared" si="35"/>
        <v>#VALUE!</v>
      </c>
      <c r="J100" s="354" t="str">
        <f t="shared" si="31"/>
        <v>M91</v>
      </c>
      <c r="K100" s="355">
        <f t="shared" si="36"/>
        <v>1566.0637931983044</v>
      </c>
      <c r="L100" s="356">
        <f t="shared" si="44"/>
        <v>442.71991292028997</v>
      </c>
      <c r="M100" s="357">
        <f t="shared" si="49"/>
        <v>100446.67424276346</v>
      </c>
      <c r="N100" s="358">
        <f t="shared" si="49"/>
        <v>82352.643014028581</v>
      </c>
      <c r="O100" s="359">
        <f t="shared" si="38"/>
        <v>51560.325757236489</v>
      </c>
      <c r="R100" s="354"/>
      <c r="S100" s="355">
        <f t="shared" si="39"/>
        <v>3992.2828582206557</v>
      </c>
      <c r="T100" s="356">
        <f t="shared" si="45"/>
        <v>3446.0907718698572</v>
      </c>
      <c r="U100" s="357">
        <f t="shared" si="50"/>
        <v>260461.39023383785</v>
      </c>
      <c r="V100" s="358">
        <f t="shared" si="50"/>
        <v>416430.61010439898</v>
      </c>
      <c r="W100" s="359">
        <f t="shared" si="40"/>
        <v>409538.60976616223</v>
      </c>
      <c r="Z100" s="354"/>
      <c r="AA100" s="355" t="e">
        <f t="shared" si="41"/>
        <v>#NUM!</v>
      </c>
      <c r="AB100" s="356" t="e">
        <f t="shared" si="42"/>
        <v>#NUM!</v>
      </c>
      <c r="AC100" s="357" t="e">
        <f t="shared" si="51"/>
        <v>#NUM!</v>
      </c>
      <c r="AD100" s="358" t="e">
        <f t="shared" si="51"/>
        <v>#NUM!</v>
      </c>
      <c r="AE100" s="359" t="e">
        <f t="shared" si="43"/>
        <v>#NUM!</v>
      </c>
    </row>
    <row r="101" spans="2:31" x14ac:dyDescent="0.25">
      <c r="B101" s="354" t="s">
        <v>473</v>
      </c>
      <c r="C101" s="355" t="e">
        <f t="shared" si="32"/>
        <v>#VALUE!</v>
      </c>
      <c r="D101" s="356" t="e">
        <f t="shared" si="33"/>
        <v>#VALUE!</v>
      </c>
      <c r="E101" s="357" t="e">
        <f t="shared" si="48"/>
        <v>#VALUE!</v>
      </c>
      <c r="F101" s="358" t="e">
        <f t="shared" si="48"/>
        <v>#VALUE!</v>
      </c>
      <c r="G101" s="359" t="e">
        <f t="shared" si="35"/>
        <v>#VALUE!</v>
      </c>
      <c r="J101" s="354" t="str">
        <f t="shared" si="31"/>
        <v>M92</v>
      </c>
      <c r="K101" s="355">
        <f t="shared" si="36"/>
        <v>1579.1143248082903</v>
      </c>
      <c r="L101" s="356">
        <f t="shared" si="44"/>
        <v>429.66938131030406</v>
      </c>
      <c r="M101" s="357">
        <f t="shared" si="49"/>
        <v>102025.78856757176</v>
      </c>
      <c r="N101" s="358">
        <f t="shared" si="49"/>
        <v>82782.312395338886</v>
      </c>
      <c r="O101" s="359">
        <f t="shared" si="38"/>
        <v>49981.211432428201</v>
      </c>
      <c r="R101" s="354"/>
      <c r="S101" s="355">
        <f t="shared" si="39"/>
        <v>4025.5518820391612</v>
      </c>
      <c r="T101" s="356">
        <f t="shared" si="45"/>
        <v>3412.8217480513517</v>
      </c>
      <c r="U101" s="357">
        <f t="shared" si="50"/>
        <v>264486.942115877</v>
      </c>
      <c r="V101" s="358">
        <f t="shared" si="50"/>
        <v>419843.4318524503</v>
      </c>
      <c r="W101" s="359">
        <f t="shared" si="40"/>
        <v>405513.05788412306</v>
      </c>
      <c r="Z101" s="354"/>
      <c r="AA101" s="355" t="e">
        <f t="shared" si="41"/>
        <v>#NUM!</v>
      </c>
      <c r="AB101" s="356" t="e">
        <f t="shared" si="42"/>
        <v>#NUM!</v>
      </c>
      <c r="AC101" s="357" t="e">
        <f t="shared" si="51"/>
        <v>#NUM!</v>
      </c>
      <c r="AD101" s="358" t="e">
        <f t="shared" si="51"/>
        <v>#NUM!</v>
      </c>
      <c r="AE101" s="359" t="e">
        <f t="shared" si="43"/>
        <v>#NUM!</v>
      </c>
    </row>
    <row r="102" spans="2:31" x14ac:dyDescent="0.25">
      <c r="B102" s="354" t="s">
        <v>474</v>
      </c>
      <c r="C102" s="355" t="e">
        <f t="shared" si="32"/>
        <v>#VALUE!</v>
      </c>
      <c r="D102" s="356" t="e">
        <f t="shared" si="33"/>
        <v>#VALUE!</v>
      </c>
      <c r="E102" s="357" t="e">
        <f t="shared" si="48"/>
        <v>#VALUE!</v>
      </c>
      <c r="F102" s="358" t="e">
        <f t="shared" si="48"/>
        <v>#VALUE!</v>
      </c>
      <c r="G102" s="359" t="e">
        <f t="shared" si="35"/>
        <v>#VALUE!</v>
      </c>
      <c r="J102" s="354" t="str">
        <f t="shared" si="31"/>
        <v>M93</v>
      </c>
      <c r="K102" s="355">
        <f t="shared" si="36"/>
        <v>1592.2736108483593</v>
      </c>
      <c r="L102" s="356">
        <f t="shared" si="44"/>
        <v>416.51009527023501</v>
      </c>
      <c r="M102" s="357">
        <f t="shared" si="49"/>
        <v>103618.06217842012</v>
      </c>
      <c r="N102" s="358">
        <f t="shared" si="49"/>
        <v>83198.82249060912</v>
      </c>
      <c r="O102" s="359">
        <f t="shared" si="38"/>
        <v>48388.937821579842</v>
      </c>
      <c r="R102" s="354"/>
      <c r="S102" s="355">
        <f t="shared" si="39"/>
        <v>4059.0981477228211</v>
      </c>
      <c r="T102" s="356">
        <f t="shared" si="45"/>
        <v>3379.2754823676919</v>
      </c>
      <c r="U102" s="357">
        <f t="shared" si="50"/>
        <v>268546.04026359983</v>
      </c>
      <c r="V102" s="358">
        <f t="shared" si="50"/>
        <v>423222.70733481797</v>
      </c>
      <c r="W102" s="359">
        <f t="shared" si="40"/>
        <v>401453.95973640023</v>
      </c>
      <c r="Z102" s="354"/>
      <c r="AA102" s="355" t="e">
        <f t="shared" si="41"/>
        <v>#NUM!</v>
      </c>
      <c r="AB102" s="356" t="e">
        <f t="shared" si="42"/>
        <v>#NUM!</v>
      </c>
      <c r="AC102" s="357" t="e">
        <f t="shared" si="51"/>
        <v>#NUM!</v>
      </c>
      <c r="AD102" s="358" t="e">
        <f t="shared" si="51"/>
        <v>#NUM!</v>
      </c>
      <c r="AE102" s="359" t="e">
        <f t="shared" si="43"/>
        <v>#NUM!</v>
      </c>
    </row>
    <row r="103" spans="2:31" x14ac:dyDescent="0.25">
      <c r="B103" s="354" t="s">
        <v>475</v>
      </c>
      <c r="C103" s="355" t="e">
        <f t="shared" si="32"/>
        <v>#VALUE!</v>
      </c>
      <c r="D103" s="356" t="e">
        <f t="shared" si="33"/>
        <v>#VALUE!</v>
      </c>
      <c r="E103" s="357" t="e">
        <f t="shared" si="48"/>
        <v>#VALUE!</v>
      </c>
      <c r="F103" s="358" t="e">
        <f t="shared" si="48"/>
        <v>#VALUE!</v>
      </c>
      <c r="G103" s="359" t="e">
        <f t="shared" si="35"/>
        <v>#VALUE!</v>
      </c>
      <c r="J103" s="354" t="str">
        <f t="shared" si="31"/>
        <v>M94</v>
      </c>
      <c r="K103" s="355">
        <f t="shared" si="36"/>
        <v>1605.542557605429</v>
      </c>
      <c r="L103" s="356">
        <f t="shared" si="44"/>
        <v>403.24114851316534</v>
      </c>
      <c r="M103" s="357">
        <f t="shared" si="49"/>
        <v>105223.60473602555</v>
      </c>
      <c r="N103" s="358">
        <f t="shared" si="49"/>
        <v>83602.06363912228</v>
      </c>
      <c r="O103" s="359">
        <f t="shared" si="38"/>
        <v>46783.395263974417</v>
      </c>
      <c r="R103" s="354"/>
      <c r="S103" s="355">
        <f t="shared" si="39"/>
        <v>4092.9239656205114</v>
      </c>
      <c r="T103" s="356">
        <f t="shared" si="45"/>
        <v>3345.4496644700016</v>
      </c>
      <c r="U103" s="357">
        <f t="shared" si="50"/>
        <v>272638.96422922035</v>
      </c>
      <c r="V103" s="358">
        <f t="shared" si="50"/>
        <v>426568.15699928795</v>
      </c>
      <c r="W103" s="359">
        <f t="shared" si="40"/>
        <v>397361.03577077971</v>
      </c>
      <c r="Z103" s="354"/>
      <c r="AA103" s="355" t="e">
        <f t="shared" si="41"/>
        <v>#NUM!</v>
      </c>
      <c r="AB103" s="356" t="e">
        <f t="shared" si="42"/>
        <v>#NUM!</v>
      </c>
      <c r="AC103" s="357" t="e">
        <f t="shared" si="51"/>
        <v>#NUM!</v>
      </c>
      <c r="AD103" s="358" t="e">
        <f t="shared" si="51"/>
        <v>#NUM!</v>
      </c>
      <c r="AE103" s="359" t="e">
        <f t="shared" si="43"/>
        <v>#NUM!</v>
      </c>
    </row>
    <row r="104" spans="2:31" x14ac:dyDescent="0.25">
      <c r="B104" s="354" t="s">
        <v>476</v>
      </c>
      <c r="C104" s="355" t="e">
        <f t="shared" si="32"/>
        <v>#VALUE!</v>
      </c>
      <c r="D104" s="356" t="e">
        <f t="shared" si="33"/>
        <v>#VALUE!</v>
      </c>
      <c r="E104" s="357" t="e">
        <f t="shared" si="48"/>
        <v>#VALUE!</v>
      </c>
      <c r="F104" s="358" t="e">
        <f t="shared" si="48"/>
        <v>#VALUE!</v>
      </c>
      <c r="G104" s="359" t="e">
        <f t="shared" si="35"/>
        <v>#VALUE!</v>
      </c>
      <c r="J104" s="354" t="str">
        <f t="shared" si="31"/>
        <v>M95</v>
      </c>
      <c r="K104" s="355">
        <f t="shared" si="36"/>
        <v>1618.9220789188075</v>
      </c>
      <c r="L104" s="356">
        <f t="shared" si="44"/>
        <v>389.86162719978682</v>
      </c>
      <c r="M104" s="357">
        <f t="shared" si="49"/>
        <v>106842.52681494436</v>
      </c>
      <c r="N104" s="358">
        <f t="shared" si="49"/>
        <v>83991.925266322069</v>
      </c>
      <c r="O104" s="359">
        <f t="shared" si="38"/>
        <v>45164.473185055613</v>
      </c>
      <c r="R104" s="354"/>
      <c r="S104" s="355">
        <f t="shared" si="39"/>
        <v>4127.031665334016</v>
      </c>
      <c r="T104" s="356">
        <f t="shared" si="45"/>
        <v>3311.3419647564974</v>
      </c>
      <c r="U104" s="357">
        <f t="shared" si="50"/>
        <v>276765.99589455436</v>
      </c>
      <c r="V104" s="358">
        <f t="shared" si="50"/>
        <v>429879.49896404444</v>
      </c>
      <c r="W104" s="359">
        <f t="shared" si="40"/>
        <v>393234.0041054457</v>
      </c>
      <c r="Z104" s="354"/>
      <c r="AA104" s="355" t="e">
        <f t="shared" si="41"/>
        <v>#NUM!</v>
      </c>
      <c r="AB104" s="356" t="e">
        <f t="shared" si="42"/>
        <v>#NUM!</v>
      </c>
      <c r="AC104" s="357" t="e">
        <f t="shared" si="51"/>
        <v>#NUM!</v>
      </c>
      <c r="AD104" s="358" t="e">
        <f t="shared" si="51"/>
        <v>#NUM!</v>
      </c>
      <c r="AE104" s="359" t="e">
        <f t="shared" si="43"/>
        <v>#NUM!</v>
      </c>
    </row>
    <row r="105" spans="2:31" x14ac:dyDescent="0.25">
      <c r="B105" s="354" t="s">
        <v>477</v>
      </c>
      <c r="C105" s="355" t="e">
        <f t="shared" si="32"/>
        <v>#VALUE!</v>
      </c>
      <c r="D105" s="356" t="e">
        <f t="shared" si="33"/>
        <v>#VALUE!</v>
      </c>
      <c r="E105" s="357" t="e">
        <f t="shared" si="48"/>
        <v>#VALUE!</v>
      </c>
      <c r="F105" s="358" t="e">
        <f t="shared" si="48"/>
        <v>#VALUE!</v>
      </c>
      <c r="G105" s="359" t="e">
        <f t="shared" si="35"/>
        <v>#VALUE!</v>
      </c>
      <c r="J105" s="354" t="str">
        <f t="shared" si="31"/>
        <v>M96</v>
      </c>
      <c r="K105" s="355">
        <f t="shared" si="36"/>
        <v>1632.4130962431309</v>
      </c>
      <c r="L105" s="356">
        <f t="shared" si="44"/>
        <v>376.37060987546346</v>
      </c>
      <c r="M105" s="357">
        <f t="shared" si="49"/>
        <v>108474.9399111875</v>
      </c>
      <c r="N105" s="358">
        <f t="shared" si="49"/>
        <v>84368.295876197531</v>
      </c>
      <c r="O105" s="359">
        <f t="shared" si="38"/>
        <v>43532.060088812483</v>
      </c>
      <c r="R105" s="354"/>
      <c r="S105" s="355">
        <f t="shared" si="39"/>
        <v>4161.4235958784657</v>
      </c>
      <c r="T105" s="356">
        <f t="shared" si="45"/>
        <v>3276.9500342120473</v>
      </c>
      <c r="U105" s="357">
        <f t="shared" si="50"/>
        <v>280927.41949043283</v>
      </c>
      <c r="V105" s="358">
        <f t="shared" si="50"/>
        <v>433156.44899825647</v>
      </c>
      <c r="W105" s="359">
        <f t="shared" si="40"/>
        <v>389072.58050956723</v>
      </c>
      <c r="Z105" s="354"/>
      <c r="AA105" s="355" t="e">
        <f t="shared" si="41"/>
        <v>#NUM!</v>
      </c>
      <c r="AB105" s="356" t="e">
        <f t="shared" si="42"/>
        <v>#NUM!</v>
      </c>
      <c r="AC105" s="357" t="e">
        <f t="shared" si="51"/>
        <v>#NUM!</v>
      </c>
      <c r="AD105" s="358" t="e">
        <f t="shared" si="51"/>
        <v>#NUM!</v>
      </c>
      <c r="AE105" s="359" t="e">
        <f t="shared" si="43"/>
        <v>#NUM!</v>
      </c>
    </row>
    <row r="106" spans="2:31" x14ac:dyDescent="0.25">
      <c r="B106" s="354" t="s">
        <v>478</v>
      </c>
      <c r="C106" s="355" t="e">
        <f t="shared" si="32"/>
        <v>#VALUE!</v>
      </c>
      <c r="D106" s="356" t="e">
        <f t="shared" si="33"/>
        <v>#VALUE!</v>
      </c>
      <c r="E106" s="357" t="e">
        <f t="shared" si="48"/>
        <v>#VALUE!</v>
      </c>
      <c r="F106" s="358" t="e">
        <f t="shared" si="48"/>
        <v>#VALUE!</v>
      </c>
      <c r="G106" s="359" t="e">
        <f t="shared" si="35"/>
        <v>#VALUE!</v>
      </c>
      <c r="J106" s="354" t="str">
        <f t="shared" si="31"/>
        <v>M97</v>
      </c>
      <c r="K106" s="355">
        <f t="shared" si="36"/>
        <v>1646.0165387118236</v>
      </c>
      <c r="L106" s="356">
        <f t="shared" si="44"/>
        <v>362.76716740677068</v>
      </c>
      <c r="M106" s="357">
        <f t="shared" si="49"/>
        <v>110120.95644989931</v>
      </c>
      <c r="N106" s="358">
        <f t="shared" si="49"/>
        <v>84731.063043604299</v>
      </c>
      <c r="O106" s="359">
        <f t="shared" si="38"/>
        <v>41886.043550100658</v>
      </c>
      <c r="R106" s="354"/>
      <c r="S106" s="355">
        <f t="shared" si="39"/>
        <v>4196.1021258441197</v>
      </c>
      <c r="T106" s="356">
        <f t="shared" si="45"/>
        <v>3242.2715042463933</v>
      </c>
      <c r="U106" s="357">
        <f t="shared" si="50"/>
        <v>285123.52161627694</v>
      </c>
      <c r="V106" s="358">
        <f t="shared" si="50"/>
        <v>436398.72050250287</v>
      </c>
      <c r="W106" s="359">
        <f t="shared" si="40"/>
        <v>384876.47838372312</v>
      </c>
      <c r="Z106" s="354"/>
      <c r="AA106" s="355" t="e">
        <f t="shared" si="41"/>
        <v>#NUM!</v>
      </c>
      <c r="AB106" s="356" t="e">
        <f t="shared" si="42"/>
        <v>#NUM!</v>
      </c>
      <c r="AC106" s="357" t="e">
        <f t="shared" si="51"/>
        <v>#NUM!</v>
      </c>
      <c r="AD106" s="358" t="e">
        <f t="shared" si="51"/>
        <v>#NUM!</v>
      </c>
      <c r="AE106" s="359" t="e">
        <f t="shared" si="43"/>
        <v>#NUM!</v>
      </c>
    </row>
    <row r="107" spans="2:31" x14ac:dyDescent="0.25">
      <c r="B107" s="354" t="s">
        <v>479</v>
      </c>
      <c r="C107" s="355" t="e">
        <f t="shared" si="32"/>
        <v>#VALUE!</v>
      </c>
      <c r="D107" s="356" t="e">
        <f t="shared" si="33"/>
        <v>#VALUE!</v>
      </c>
      <c r="E107" s="357" t="e">
        <f t="shared" si="48"/>
        <v>#VALUE!</v>
      </c>
      <c r="F107" s="358" t="e">
        <f t="shared" si="48"/>
        <v>#VALUE!</v>
      </c>
      <c r="G107" s="359" t="e">
        <f t="shared" si="35"/>
        <v>#VALUE!</v>
      </c>
      <c r="J107" s="354" t="str">
        <f t="shared" si="31"/>
        <v>M98</v>
      </c>
      <c r="K107" s="355">
        <f t="shared" si="36"/>
        <v>1659.7333432010889</v>
      </c>
      <c r="L107" s="356">
        <f t="shared" si="44"/>
        <v>349.05036291750548</v>
      </c>
      <c r="M107" s="357">
        <f t="shared" si="49"/>
        <v>111780.68979310041</v>
      </c>
      <c r="N107" s="358">
        <f t="shared" si="49"/>
        <v>85080.113406521807</v>
      </c>
      <c r="O107" s="359">
        <f t="shared" si="38"/>
        <v>40226.310206899572</v>
      </c>
      <c r="R107" s="354"/>
      <c r="S107" s="355">
        <f t="shared" si="39"/>
        <v>4231.0696435594873</v>
      </c>
      <c r="T107" s="356">
        <f t="shared" si="45"/>
        <v>3207.3039865310261</v>
      </c>
      <c r="U107" s="357">
        <f t="shared" si="50"/>
        <v>289354.59125983645</v>
      </c>
      <c r="V107" s="358">
        <f t="shared" si="50"/>
        <v>439606.02448903391</v>
      </c>
      <c r="W107" s="359">
        <f t="shared" si="40"/>
        <v>380645.40874016366</v>
      </c>
      <c r="Z107" s="354"/>
      <c r="AA107" s="355" t="e">
        <f t="shared" si="41"/>
        <v>#NUM!</v>
      </c>
      <c r="AB107" s="356" t="e">
        <f t="shared" si="42"/>
        <v>#NUM!</v>
      </c>
      <c r="AC107" s="357" t="e">
        <f t="shared" si="51"/>
        <v>#NUM!</v>
      </c>
      <c r="AD107" s="358" t="e">
        <f t="shared" si="51"/>
        <v>#NUM!</v>
      </c>
      <c r="AE107" s="359" t="e">
        <f t="shared" si="43"/>
        <v>#NUM!</v>
      </c>
    </row>
    <row r="108" spans="2:31" x14ac:dyDescent="0.25">
      <c r="B108" s="354" t="s">
        <v>480</v>
      </c>
      <c r="C108" s="355" t="e">
        <f t="shared" si="32"/>
        <v>#VALUE!</v>
      </c>
      <c r="D108" s="356" t="e">
        <f t="shared" si="33"/>
        <v>#VALUE!</v>
      </c>
      <c r="E108" s="357" t="e">
        <f t="shared" ref="E108:F123" si="52">E107+C108</f>
        <v>#VALUE!</v>
      </c>
      <c r="F108" s="358" t="e">
        <f t="shared" si="52"/>
        <v>#VALUE!</v>
      </c>
      <c r="G108" s="359" t="e">
        <f t="shared" si="35"/>
        <v>#VALUE!</v>
      </c>
      <c r="J108" s="354" t="str">
        <f t="shared" si="31"/>
        <v>M99</v>
      </c>
      <c r="K108" s="355">
        <f t="shared" si="36"/>
        <v>1673.5644543944313</v>
      </c>
      <c r="L108" s="356">
        <f t="shared" si="44"/>
        <v>335.21925172416309</v>
      </c>
      <c r="M108" s="357">
        <f t="shared" ref="M108:N123" si="53">M107+K108</f>
        <v>113454.25424749484</v>
      </c>
      <c r="N108" s="358">
        <f t="shared" si="53"/>
        <v>85415.33265824597</v>
      </c>
      <c r="O108" s="359">
        <f t="shared" si="38"/>
        <v>38552.745752505143</v>
      </c>
      <c r="R108" s="354"/>
      <c r="S108" s="355">
        <f t="shared" si="39"/>
        <v>4266.3285572558161</v>
      </c>
      <c r="T108" s="356">
        <f t="shared" si="45"/>
        <v>3172.0450728346973</v>
      </c>
      <c r="U108" s="357">
        <f t="shared" si="50"/>
        <v>293620.91981709225</v>
      </c>
      <c r="V108" s="358">
        <f t="shared" si="50"/>
        <v>442778.06956186861</v>
      </c>
      <c r="W108" s="359">
        <f t="shared" si="40"/>
        <v>376379.08018290787</v>
      </c>
      <c r="Z108" s="354"/>
      <c r="AA108" s="355" t="e">
        <f t="shared" si="41"/>
        <v>#NUM!</v>
      </c>
      <c r="AB108" s="356" t="e">
        <f t="shared" si="42"/>
        <v>#NUM!</v>
      </c>
      <c r="AC108" s="357" t="e">
        <f t="shared" si="51"/>
        <v>#NUM!</v>
      </c>
      <c r="AD108" s="358" t="e">
        <f t="shared" si="51"/>
        <v>#NUM!</v>
      </c>
      <c r="AE108" s="359" t="e">
        <f t="shared" si="43"/>
        <v>#NUM!</v>
      </c>
    </row>
    <row r="109" spans="2:31" x14ac:dyDescent="0.25">
      <c r="B109" s="354" t="s">
        <v>481</v>
      </c>
      <c r="C109" s="355" t="e">
        <f t="shared" si="32"/>
        <v>#VALUE!</v>
      </c>
      <c r="D109" s="356" t="e">
        <f t="shared" si="33"/>
        <v>#VALUE!</v>
      </c>
      <c r="E109" s="357" t="e">
        <f t="shared" si="52"/>
        <v>#VALUE!</v>
      </c>
      <c r="F109" s="358" t="e">
        <f t="shared" si="52"/>
        <v>#VALUE!</v>
      </c>
      <c r="G109" s="359" t="e">
        <f t="shared" si="35"/>
        <v>#VALUE!</v>
      </c>
      <c r="J109" s="354" t="str">
        <f t="shared" si="31"/>
        <v>M100</v>
      </c>
      <c r="K109" s="355">
        <f t="shared" si="36"/>
        <v>1687.5108248477181</v>
      </c>
      <c r="L109" s="356">
        <f t="shared" si="44"/>
        <v>321.27288127087621</v>
      </c>
      <c r="M109" s="357">
        <f t="shared" si="53"/>
        <v>115141.76507234256</v>
      </c>
      <c r="N109" s="358">
        <f t="shared" si="53"/>
        <v>85736.605539516851</v>
      </c>
      <c r="O109" s="359">
        <f t="shared" si="38"/>
        <v>36865.234927657424</v>
      </c>
      <c r="R109" s="354"/>
      <c r="S109" s="355">
        <f t="shared" si="39"/>
        <v>4301.8812952329472</v>
      </c>
      <c r="T109" s="356">
        <f t="shared" si="45"/>
        <v>3136.4923348575658</v>
      </c>
      <c r="U109" s="357">
        <f t="shared" si="50"/>
        <v>297922.80111232522</v>
      </c>
      <c r="V109" s="358">
        <f t="shared" si="50"/>
        <v>445914.5618967262</v>
      </c>
      <c r="W109" s="359">
        <f t="shared" si="40"/>
        <v>372077.19888767489</v>
      </c>
      <c r="Z109" s="354"/>
      <c r="AA109" s="355" t="e">
        <f t="shared" si="41"/>
        <v>#NUM!</v>
      </c>
      <c r="AB109" s="356" t="e">
        <f t="shared" si="42"/>
        <v>#NUM!</v>
      </c>
      <c r="AC109" s="357" t="e">
        <f t="shared" si="51"/>
        <v>#NUM!</v>
      </c>
      <c r="AD109" s="358" t="e">
        <f t="shared" si="51"/>
        <v>#NUM!</v>
      </c>
      <c r="AE109" s="359" t="e">
        <f t="shared" si="43"/>
        <v>#NUM!</v>
      </c>
    </row>
    <row r="110" spans="2:31" x14ac:dyDescent="0.25">
      <c r="B110" s="354" t="s">
        <v>482</v>
      </c>
      <c r="C110" s="355" t="e">
        <f t="shared" si="32"/>
        <v>#VALUE!</v>
      </c>
      <c r="D110" s="356" t="e">
        <f t="shared" si="33"/>
        <v>#VALUE!</v>
      </c>
      <c r="E110" s="357" t="e">
        <f t="shared" si="52"/>
        <v>#VALUE!</v>
      </c>
      <c r="F110" s="358" t="e">
        <f t="shared" si="52"/>
        <v>#VALUE!</v>
      </c>
      <c r="G110" s="359" t="e">
        <f t="shared" si="35"/>
        <v>#VALUE!</v>
      </c>
      <c r="J110" s="354" t="str">
        <f t="shared" si="31"/>
        <v>M101</v>
      </c>
      <c r="K110" s="355">
        <f t="shared" si="36"/>
        <v>1701.5734150547826</v>
      </c>
      <c r="L110" s="356">
        <f t="shared" si="44"/>
        <v>307.21029106381184</v>
      </c>
      <c r="M110" s="357">
        <f t="shared" si="53"/>
        <v>116843.33848739734</v>
      </c>
      <c r="N110" s="358">
        <f t="shared" si="53"/>
        <v>86043.815830580657</v>
      </c>
      <c r="O110" s="359">
        <f t="shared" si="38"/>
        <v>35163.661512602645</v>
      </c>
      <c r="R110" s="354"/>
      <c r="S110" s="355">
        <f t="shared" si="39"/>
        <v>4337.7303060265549</v>
      </c>
      <c r="T110" s="356">
        <f t="shared" si="45"/>
        <v>3100.6433240639576</v>
      </c>
      <c r="U110" s="357">
        <f t="shared" si="50"/>
        <v>302260.53141835181</v>
      </c>
      <c r="V110" s="358">
        <f t="shared" si="50"/>
        <v>449015.20522079017</v>
      </c>
      <c r="W110" s="359">
        <f t="shared" si="40"/>
        <v>367739.46858164831</v>
      </c>
      <c r="Z110" s="354"/>
      <c r="AA110" s="355" t="e">
        <f t="shared" si="41"/>
        <v>#NUM!</v>
      </c>
      <c r="AB110" s="356" t="e">
        <f t="shared" si="42"/>
        <v>#NUM!</v>
      </c>
      <c r="AC110" s="357" t="e">
        <f t="shared" si="51"/>
        <v>#NUM!</v>
      </c>
      <c r="AD110" s="358" t="e">
        <f t="shared" si="51"/>
        <v>#NUM!</v>
      </c>
      <c r="AE110" s="359" t="e">
        <f t="shared" si="43"/>
        <v>#NUM!</v>
      </c>
    </row>
    <row r="111" spans="2:31" x14ac:dyDescent="0.25">
      <c r="B111" s="354" t="s">
        <v>483</v>
      </c>
      <c r="C111" s="355" t="e">
        <f t="shared" si="32"/>
        <v>#VALUE!</v>
      </c>
      <c r="D111" s="356" t="e">
        <f t="shared" si="33"/>
        <v>#VALUE!</v>
      </c>
      <c r="E111" s="357" t="e">
        <f t="shared" si="52"/>
        <v>#VALUE!</v>
      </c>
      <c r="F111" s="358" t="e">
        <f t="shared" si="52"/>
        <v>#VALUE!</v>
      </c>
      <c r="G111" s="359" t="e">
        <f t="shared" si="35"/>
        <v>#VALUE!</v>
      </c>
      <c r="J111" s="354" t="str">
        <f t="shared" si="31"/>
        <v>M102</v>
      </c>
      <c r="K111" s="355">
        <f t="shared" si="36"/>
        <v>1715.7531935135723</v>
      </c>
      <c r="L111" s="356">
        <f t="shared" si="44"/>
        <v>293.03051260502201</v>
      </c>
      <c r="M111" s="357">
        <f t="shared" si="53"/>
        <v>118559.09168091092</v>
      </c>
      <c r="N111" s="358">
        <f t="shared" si="53"/>
        <v>86336.84634318568</v>
      </c>
      <c r="O111" s="359">
        <f t="shared" si="38"/>
        <v>33447.908319089074</v>
      </c>
      <c r="R111" s="354"/>
      <c r="S111" s="355">
        <f t="shared" si="39"/>
        <v>4373.8780585767772</v>
      </c>
      <c r="T111" s="356">
        <f t="shared" si="45"/>
        <v>3064.4955715137357</v>
      </c>
      <c r="U111" s="357">
        <f t="shared" si="50"/>
        <v>306634.40947692859</v>
      </c>
      <c r="V111" s="358">
        <f t="shared" si="50"/>
        <v>452079.70079230389</v>
      </c>
      <c r="W111" s="359">
        <f t="shared" si="40"/>
        <v>363365.59052307153</v>
      </c>
      <c r="Z111" s="354"/>
      <c r="AA111" s="355" t="e">
        <f t="shared" si="41"/>
        <v>#NUM!</v>
      </c>
      <c r="AB111" s="356" t="e">
        <f t="shared" si="42"/>
        <v>#NUM!</v>
      </c>
      <c r="AC111" s="357" t="e">
        <f t="shared" si="51"/>
        <v>#NUM!</v>
      </c>
      <c r="AD111" s="358" t="e">
        <f t="shared" si="51"/>
        <v>#NUM!</v>
      </c>
      <c r="AE111" s="359" t="e">
        <f t="shared" si="43"/>
        <v>#NUM!</v>
      </c>
    </row>
    <row r="112" spans="2:31" x14ac:dyDescent="0.25">
      <c r="B112" s="354" t="s">
        <v>484</v>
      </c>
      <c r="C112" s="355" t="e">
        <f t="shared" si="32"/>
        <v>#VALUE!</v>
      </c>
      <c r="D112" s="356" t="e">
        <f t="shared" si="33"/>
        <v>#VALUE!</v>
      </c>
      <c r="E112" s="357" t="e">
        <f t="shared" si="52"/>
        <v>#VALUE!</v>
      </c>
      <c r="F112" s="358" t="e">
        <f t="shared" si="52"/>
        <v>#VALUE!</v>
      </c>
      <c r="G112" s="359" t="e">
        <f t="shared" si="35"/>
        <v>#VALUE!</v>
      </c>
      <c r="J112" s="354" t="str">
        <f t="shared" si="31"/>
        <v>M103</v>
      </c>
      <c r="K112" s="355">
        <f t="shared" si="36"/>
        <v>1730.051136792852</v>
      </c>
      <c r="L112" s="356">
        <f t="shared" si="44"/>
        <v>278.7325693257423</v>
      </c>
      <c r="M112" s="357">
        <f t="shared" si="53"/>
        <v>120289.14281770377</v>
      </c>
      <c r="N112" s="358">
        <f t="shared" si="53"/>
        <v>86615.578912511424</v>
      </c>
      <c r="O112" s="359">
        <f t="shared" si="38"/>
        <v>31717.857182296222</v>
      </c>
      <c r="R112" s="354"/>
      <c r="S112" s="355">
        <f t="shared" si="39"/>
        <v>4410.3270423982503</v>
      </c>
      <c r="T112" s="356">
        <f t="shared" si="45"/>
        <v>3028.0465876922626</v>
      </c>
      <c r="U112" s="357">
        <f t="shared" ref="U112:V127" si="54">U111+S112</f>
        <v>311044.73651932686</v>
      </c>
      <c r="V112" s="358">
        <f t="shared" si="54"/>
        <v>455107.74737999617</v>
      </c>
      <c r="W112" s="359">
        <f t="shared" si="40"/>
        <v>358955.26348067325</v>
      </c>
      <c r="Z112" s="354"/>
      <c r="AA112" s="355" t="e">
        <f t="shared" si="41"/>
        <v>#NUM!</v>
      </c>
      <c r="AB112" s="356" t="e">
        <f t="shared" si="42"/>
        <v>#NUM!</v>
      </c>
      <c r="AC112" s="357" t="e">
        <f t="shared" ref="AC112:AD127" si="55">AC111+AA112</f>
        <v>#NUM!</v>
      </c>
      <c r="AD112" s="358" t="e">
        <f t="shared" si="55"/>
        <v>#NUM!</v>
      </c>
      <c r="AE112" s="359" t="e">
        <f t="shared" si="43"/>
        <v>#NUM!</v>
      </c>
    </row>
    <row r="113" spans="2:31" x14ac:dyDescent="0.25">
      <c r="B113" s="354" t="s">
        <v>485</v>
      </c>
      <c r="C113" s="355" t="e">
        <f t="shared" si="32"/>
        <v>#VALUE!</v>
      </c>
      <c r="D113" s="356" t="e">
        <f t="shared" si="33"/>
        <v>#VALUE!</v>
      </c>
      <c r="E113" s="357" t="e">
        <f t="shared" si="52"/>
        <v>#VALUE!</v>
      </c>
      <c r="F113" s="358" t="e">
        <f t="shared" si="52"/>
        <v>#VALUE!</v>
      </c>
      <c r="G113" s="359" t="e">
        <f t="shared" si="35"/>
        <v>#VALUE!</v>
      </c>
      <c r="J113" s="354" t="str">
        <f t="shared" si="31"/>
        <v>M104</v>
      </c>
      <c r="K113" s="355">
        <f t="shared" si="36"/>
        <v>1744.4682295994592</v>
      </c>
      <c r="L113" s="356">
        <f t="shared" si="44"/>
        <v>264.31547651913519</v>
      </c>
      <c r="M113" s="357">
        <f t="shared" si="53"/>
        <v>122033.61104730323</v>
      </c>
      <c r="N113" s="358">
        <f t="shared" si="53"/>
        <v>86879.894389030553</v>
      </c>
      <c r="O113" s="359">
        <f t="shared" si="38"/>
        <v>29973.388952696761</v>
      </c>
      <c r="R113" s="354"/>
      <c r="S113" s="355">
        <f t="shared" si="39"/>
        <v>4447.0797677515693</v>
      </c>
      <c r="T113" s="356">
        <f t="shared" si="45"/>
        <v>2991.2938623389437</v>
      </c>
      <c r="U113" s="357">
        <f t="shared" si="54"/>
        <v>315491.81628707843</v>
      </c>
      <c r="V113" s="358">
        <f t="shared" si="54"/>
        <v>458099.04124233511</v>
      </c>
      <c r="W113" s="359">
        <f t="shared" si="40"/>
        <v>354508.18371292169</v>
      </c>
      <c r="Z113" s="354"/>
      <c r="AA113" s="355" t="e">
        <f t="shared" si="41"/>
        <v>#NUM!</v>
      </c>
      <c r="AB113" s="356" t="e">
        <f t="shared" si="42"/>
        <v>#NUM!</v>
      </c>
      <c r="AC113" s="357" t="e">
        <f t="shared" si="55"/>
        <v>#NUM!</v>
      </c>
      <c r="AD113" s="358" t="e">
        <f t="shared" si="55"/>
        <v>#NUM!</v>
      </c>
      <c r="AE113" s="359" t="e">
        <f t="shared" si="43"/>
        <v>#NUM!</v>
      </c>
    </row>
    <row r="114" spans="2:31" x14ac:dyDescent="0.25">
      <c r="B114" s="354" t="s">
        <v>486</v>
      </c>
      <c r="C114" s="355" t="e">
        <f t="shared" si="32"/>
        <v>#VALUE!</v>
      </c>
      <c r="D114" s="356" t="e">
        <f t="shared" si="33"/>
        <v>#VALUE!</v>
      </c>
      <c r="E114" s="357" t="e">
        <f t="shared" si="52"/>
        <v>#VALUE!</v>
      </c>
      <c r="F114" s="358" t="e">
        <f t="shared" si="52"/>
        <v>#VALUE!</v>
      </c>
      <c r="G114" s="359" t="e">
        <f t="shared" si="35"/>
        <v>#VALUE!</v>
      </c>
      <c r="J114" s="354" t="str">
        <f t="shared" si="31"/>
        <v>M105</v>
      </c>
      <c r="K114" s="355">
        <f t="shared" si="36"/>
        <v>1759.0054648461214</v>
      </c>
      <c r="L114" s="356">
        <f t="shared" si="44"/>
        <v>249.778241272473</v>
      </c>
      <c r="M114" s="357">
        <f t="shared" si="53"/>
        <v>123792.61651214935</v>
      </c>
      <c r="N114" s="358">
        <f t="shared" si="53"/>
        <v>87129.67263030303</v>
      </c>
      <c r="O114" s="359">
        <f t="shared" si="38"/>
        <v>28214.383487850639</v>
      </c>
      <c r="R114" s="354"/>
      <c r="S114" s="355">
        <f t="shared" si="39"/>
        <v>4484.1387658161657</v>
      </c>
      <c r="T114" s="356">
        <f t="shared" si="45"/>
        <v>2954.2348642743473</v>
      </c>
      <c r="U114" s="357">
        <f t="shared" si="54"/>
        <v>319975.9550528946</v>
      </c>
      <c r="V114" s="358">
        <f t="shared" si="54"/>
        <v>461053.27610660944</v>
      </c>
      <c r="W114" s="359">
        <f t="shared" si="40"/>
        <v>350024.04494710552</v>
      </c>
      <c r="Z114" s="354"/>
      <c r="AA114" s="355" t="e">
        <f t="shared" si="41"/>
        <v>#NUM!</v>
      </c>
      <c r="AB114" s="356" t="e">
        <f t="shared" si="42"/>
        <v>#NUM!</v>
      </c>
      <c r="AC114" s="357" t="e">
        <f t="shared" si="55"/>
        <v>#NUM!</v>
      </c>
      <c r="AD114" s="358" t="e">
        <f t="shared" si="55"/>
        <v>#NUM!</v>
      </c>
      <c r="AE114" s="359" t="e">
        <f t="shared" si="43"/>
        <v>#NUM!</v>
      </c>
    </row>
    <row r="115" spans="2:31" x14ac:dyDescent="0.25">
      <c r="B115" s="354" t="s">
        <v>487</v>
      </c>
      <c r="C115" s="355" t="e">
        <f t="shared" si="32"/>
        <v>#VALUE!</v>
      </c>
      <c r="D115" s="356" t="e">
        <f t="shared" si="33"/>
        <v>#VALUE!</v>
      </c>
      <c r="E115" s="357" t="e">
        <f t="shared" si="52"/>
        <v>#VALUE!</v>
      </c>
      <c r="F115" s="358" t="e">
        <f t="shared" si="52"/>
        <v>#VALUE!</v>
      </c>
      <c r="G115" s="359" t="e">
        <f t="shared" si="35"/>
        <v>#VALUE!</v>
      </c>
      <c r="J115" s="354" t="str">
        <f t="shared" si="31"/>
        <v>M106</v>
      </c>
      <c r="K115" s="355">
        <f t="shared" si="36"/>
        <v>1773.6638437198392</v>
      </c>
      <c r="L115" s="356">
        <f t="shared" si="44"/>
        <v>235.11986239875532</v>
      </c>
      <c r="M115" s="357">
        <f t="shared" si="53"/>
        <v>125566.2803558692</v>
      </c>
      <c r="N115" s="358">
        <f t="shared" si="53"/>
        <v>87364.792492701788</v>
      </c>
      <c r="O115" s="359">
        <f t="shared" si="38"/>
        <v>26440.719644130801</v>
      </c>
      <c r="R115" s="354"/>
      <c r="S115" s="355">
        <f t="shared" si="39"/>
        <v>4521.5065888646332</v>
      </c>
      <c r="T115" s="356">
        <f t="shared" si="45"/>
        <v>2916.8670412258793</v>
      </c>
      <c r="U115" s="357">
        <f t="shared" si="54"/>
        <v>324497.4616417592</v>
      </c>
      <c r="V115" s="358">
        <f t="shared" si="54"/>
        <v>463970.14314783533</v>
      </c>
      <c r="W115" s="359">
        <f t="shared" si="40"/>
        <v>345502.53835824091</v>
      </c>
      <c r="Z115" s="354"/>
      <c r="AA115" s="355" t="e">
        <f t="shared" si="41"/>
        <v>#NUM!</v>
      </c>
      <c r="AB115" s="356" t="e">
        <f t="shared" si="42"/>
        <v>#NUM!</v>
      </c>
      <c r="AC115" s="357" t="e">
        <f t="shared" si="55"/>
        <v>#NUM!</v>
      </c>
      <c r="AD115" s="358" t="e">
        <f t="shared" si="55"/>
        <v>#NUM!</v>
      </c>
      <c r="AE115" s="359" t="e">
        <f t="shared" si="43"/>
        <v>#NUM!</v>
      </c>
    </row>
    <row r="116" spans="2:31" x14ac:dyDescent="0.25">
      <c r="B116" s="354" t="s">
        <v>488</v>
      </c>
      <c r="C116" s="355" t="e">
        <f t="shared" si="32"/>
        <v>#VALUE!</v>
      </c>
      <c r="D116" s="356" t="e">
        <f t="shared" si="33"/>
        <v>#VALUE!</v>
      </c>
      <c r="E116" s="357" t="e">
        <f t="shared" si="52"/>
        <v>#VALUE!</v>
      </c>
      <c r="F116" s="358" t="e">
        <f t="shared" si="52"/>
        <v>#VALUE!</v>
      </c>
      <c r="G116" s="359" t="e">
        <f t="shared" si="35"/>
        <v>#VALUE!</v>
      </c>
      <c r="J116" s="354" t="str">
        <f t="shared" si="31"/>
        <v>M107</v>
      </c>
      <c r="K116" s="355">
        <f t="shared" si="36"/>
        <v>1788.4443757508377</v>
      </c>
      <c r="L116" s="356">
        <f t="shared" si="44"/>
        <v>220.33933036775667</v>
      </c>
      <c r="M116" s="357">
        <f t="shared" si="53"/>
        <v>127354.72473162004</v>
      </c>
      <c r="N116" s="358">
        <f t="shared" si="53"/>
        <v>87585.131823069547</v>
      </c>
      <c r="O116" s="359">
        <f t="shared" si="38"/>
        <v>24652.275268379963</v>
      </c>
      <c r="R116" s="354"/>
      <c r="S116" s="355">
        <f t="shared" si="39"/>
        <v>4559.1858104385055</v>
      </c>
      <c r="T116" s="356">
        <f t="shared" si="45"/>
        <v>2879.1878196520074</v>
      </c>
      <c r="U116" s="357">
        <f t="shared" si="54"/>
        <v>329056.64745219774</v>
      </c>
      <c r="V116" s="358">
        <f t="shared" si="54"/>
        <v>466849.33096748736</v>
      </c>
      <c r="W116" s="359">
        <f t="shared" si="40"/>
        <v>340943.35254780238</v>
      </c>
      <c r="Z116" s="354"/>
      <c r="AA116" s="355" t="e">
        <f t="shared" si="41"/>
        <v>#NUM!</v>
      </c>
      <c r="AB116" s="356" t="e">
        <f t="shared" si="42"/>
        <v>#NUM!</v>
      </c>
      <c r="AC116" s="357" t="e">
        <f t="shared" si="55"/>
        <v>#NUM!</v>
      </c>
      <c r="AD116" s="358" t="e">
        <f t="shared" si="55"/>
        <v>#NUM!</v>
      </c>
      <c r="AE116" s="359" t="e">
        <f t="shared" si="43"/>
        <v>#NUM!</v>
      </c>
    </row>
    <row r="117" spans="2:31" x14ac:dyDescent="0.25">
      <c r="B117" s="354" t="s">
        <v>489</v>
      </c>
      <c r="C117" s="355" t="e">
        <f t="shared" si="32"/>
        <v>#VALUE!</v>
      </c>
      <c r="D117" s="356" t="e">
        <f t="shared" si="33"/>
        <v>#VALUE!</v>
      </c>
      <c r="E117" s="357" t="e">
        <f t="shared" si="52"/>
        <v>#VALUE!</v>
      </c>
      <c r="F117" s="358" t="e">
        <f t="shared" si="52"/>
        <v>#VALUE!</v>
      </c>
      <c r="G117" s="359" t="e">
        <f t="shared" si="35"/>
        <v>#VALUE!</v>
      </c>
      <c r="J117" s="354" t="str">
        <f t="shared" si="31"/>
        <v>M108</v>
      </c>
      <c r="K117" s="355">
        <f t="shared" si="36"/>
        <v>1803.3480788820948</v>
      </c>
      <c r="L117" s="356">
        <f t="shared" si="44"/>
        <v>205.4356272364997</v>
      </c>
      <c r="M117" s="357">
        <f t="shared" si="53"/>
        <v>129158.07281050213</v>
      </c>
      <c r="N117" s="358">
        <f t="shared" si="53"/>
        <v>87790.567450306044</v>
      </c>
      <c r="O117" s="359">
        <f t="shared" si="38"/>
        <v>22848.927189497866</v>
      </c>
      <c r="R117" s="354"/>
      <c r="S117" s="355">
        <f t="shared" si="39"/>
        <v>4597.1790255254928</v>
      </c>
      <c r="T117" s="356">
        <f t="shared" si="45"/>
        <v>2841.1946045650197</v>
      </c>
      <c r="U117" s="357">
        <f t="shared" si="54"/>
        <v>333653.82647772325</v>
      </c>
      <c r="V117" s="358">
        <f t="shared" si="54"/>
        <v>469690.5255720524</v>
      </c>
      <c r="W117" s="359">
        <f t="shared" si="40"/>
        <v>336346.17352227686</v>
      </c>
      <c r="Z117" s="354"/>
      <c r="AA117" s="355" t="e">
        <f t="shared" si="41"/>
        <v>#NUM!</v>
      </c>
      <c r="AB117" s="356" t="e">
        <f t="shared" si="42"/>
        <v>#NUM!</v>
      </c>
      <c r="AC117" s="357" t="e">
        <f t="shared" si="55"/>
        <v>#NUM!</v>
      </c>
      <c r="AD117" s="358" t="e">
        <f t="shared" si="55"/>
        <v>#NUM!</v>
      </c>
      <c r="AE117" s="359" t="e">
        <f t="shared" si="43"/>
        <v>#NUM!</v>
      </c>
    </row>
    <row r="118" spans="2:31" x14ac:dyDescent="0.25">
      <c r="B118" s="354" t="s">
        <v>490</v>
      </c>
      <c r="C118" s="355" t="e">
        <f t="shared" si="32"/>
        <v>#VALUE!</v>
      </c>
      <c r="D118" s="356" t="e">
        <f t="shared" si="33"/>
        <v>#VALUE!</v>
      </c>
      <c r="E118" s="357" t="e">
        <f t="shared" si="52"/>
        <v>#VALUE!</v>
      </c>
      <c r="F118" s="358" t="e">
        <f t="shared" si="52"/>
        <v>#VALUE!</v>
      </c>
      <c r="G118" s="359" t="e">
        <f t="shared" si="35"/>
        <v>#VALUE!</v>
      </c>
      <c r="J118" s="354" t="str">
        <f t="shared" si="31"/>
        <v>M109</v>
      </c>
      <c r="K118" s="355">
        <f t="shared" si="36"/>
        <v>1818.3759795394456</v>
      </c>
      <c r="L118" s="356">
        <f t="shared" si="44"/>
        <v>190.40772657914889</v>
      </c>
      <c r="M118" s="357">
        <f t="shared" si="53"/>
        <v>130976.44879004157</v>
      </c>
      <c r="N118" s="358">
        <f t="shared" si="53"/>
        <v>87980.975176885186</v>
      </c>
      <c r="O118" s="359">
        <f t="shared" si="38"/>
        <v>21030.551209958419</v>
      </c>
      <c r="R118" s="354"/>
      <c r="S118" s="355">
        <f t="shared" si="39"/>
        <v>4635.4888507382057</v>
      </c>
      <c r="T118" s="356">
        <f t="shared" si="45"/>
        <v>2802.8847793523073</v>
      </c>
      <c r="U118" s="357">
        <f t="shared" si="54"/>
        <v>338289.31532846147</v>
      </c>
      <c r="V118" s="358">
        <f t="shared" si="54"/>
        <v>472493.41035140469</v>
      </c>
      <c r="W118" s="359">
        <f t="shared" si="40"/>
        <v>331710.68467153865</v>
      </c>
      <c r="Z118" s="354"/>
      <c r="AA118" s="355" t="e">
        <f t="shared" si="41"/>
        <v>#NUM!</v>
      </c>
      <c r="AB118" s="356" t="e">
        <f t="shared" si="42"/>
        <v>#NUM!</v>
      </c>
      <c r="AC118" s="357" t="e">
        <f t="shared" si="55"/>
        <v>#NUM!</v>
      </c>
      <c r="AD118" s="358" t="e">
        <f t="shared" si="55"/>
        <v>#NUM!</v>
      </c>
      <c r="AE118" s="359" t="e">
        <f t="shared" si="43"/>
        <v>#NUM!</v>
      </c>
    </row>
    <row r="119" spans="2:31" x14ac:dyDescent="0.25">
      <c r="B119" s="354" t="s">
        <v>491</v>
      </c>
      <c r="C119" s="355" t="e">
        <f t="shared" si="32"/>
        <v>#VALUE!</v>
      </c>
      <c r="D119" s="356" t="e">
        <f t="shared" si="33"/>
        <v>#VALUE!</v>
      </c>
      <c r="E119" s="357" t="e">
        <f t="shared" si="52"/>
        <v>#VALUE!</v>
      </c>
      <c r="F119" s="358" t="e">
        <f t="shared" si="52"/>
        <v>#VALUE!</v>
      </c>
      <c r="G119" s="359" t="e">
        <f t="shared" si="35"/>
        <v>#VALUE!</v>
      </c>
      <c r="J119" s="354" t="str">
        <f t="shared" si="31"/>
        <v>M110</v>
      </c>
      <c r="K119" s="355">
        <f t="shared" si="36"/>
        <v>1833.5291127022742</v>
      </c>
      <c r="L119" s="356">
        <f t="shared" si="44"/>
        <v>175.25459341632015</v>
      </c>
      <c r="M119" s="357">
        <f t="shared" si="53"/>
        <v>132809.97790274385</v>
      </c>
      <c r="N119" s="358">
        <f t="shared" si="53"/>
        <v>88156.229770301507</v>
      </c>
      <c r="O119" s="359">
        <f t="shared" si="38"/>
        <v>19197.022097256144</v>
      </c>
      <c r="R119" s="354"/>
      <c r="S119" s="355">
        <f t="shared" si="39"/>
        <v>4674.1179244943578</v>
      </c>
      <c r="T119" s="356">
        <f t="shared" si="45"/>
        <v>2764.2557055961552</v>
      </c>
      <c r="U119" s="357">
        <f t="shared" si="54"/>
        <v>342963.43325295585</v>
      </c>
      <c r="V119" s="358">
        <f t="shared" si="54"/>
        <v>475257.66605700087</v>
      </c>
      <c r="W119" s="359">
        <f t="shared" si="40"/>
        <v>327036.56674704427</v>
      </c>
      <c r="Z119" s="354"/>
      <c r="AA119" s="355" t="e">
        <f t="shared" si="41"/>
        <v>#NUM!</v>
      </c>
      <c r="AB119" s="356" t="e">
        <f t="shared" si="42"/>
        <v>#NUM!</v>
      </c>
      <c r="AC119" s="357" t="e">
        <f t="shared" si="55"/>
        <v>#NUM!</v>
      </c>
      <c r="AD119" s="358" t="e">
        <f t="shared" si="55"/>
        <v>#NUM!</v>
      </c>
      <c r="AE119" s="359" t="e">
        <f t="shared" si="43"/>
        <v>#NUM!</v>
      </c>
    </row>
    <row r="120" spans="2:31" x14ac:dyDescent="0.25">
      <c r="B120" s="354" t="s">
        <v>492</v>
      </c>
      <c r="C120" s="355" t="e">
        <f t="shared" si="32"/>
        <v>#VALUE!</v>
      </c>
      <c r="D120" s="356" t="e">
        <f t="shared" si="33"/>
        <v>#VALUE!</v>
      </c>
      <c r="E120" s="357" t="e">
        <f t="shared" si="52"/>
        <v>#VALUE!</v>
      </c>
      <c r="F120" s="358" t="e">
        <f t="shared" si="52"/>
        <v>#VALUE!</v>
      </c>
      <c r="G120" s="359" t="e">
        <f t="shared" si="35"/>
        <v>#VALUE!</v>
      </c>
      <c r="J120" s="354" t="str">
        <f t="shared" si="31"/>
        <v>M111</v>
      </c>
      <c r="K120" s="355">
        <f t="shared" si="36"/>
        <v>1848.8085219747932</v>
      </c>
      <c r="L120" s="356">
        <f t="shared" si="44"/>
        <v>159.97518414380119</v>
      </c>
      <c r="M120" s="357">
        <f t="shared" si="53"/>
        <v>134658.78642471865</v>
      </c>
      <c r="N120" s="358">
        <f t="shared" si="53"/>
        <v>88316.204954445304</v>
      </c>
      <c r="O120" s="359">
        <f t="shared" si="38"/>
        <v>17348.213575281352</v>
      </c>
      <c r="R120" s="354"/>
      <c r="S120" s="355">
        <f t="shared" si="39"/>
        <v>4713.068907198478</v>
      </c>
      <c r="T120" s="356">
        <f t="shared" si="45"/>
        <v>2725.3047228920354</v>
      </c>
      <c r="U120" s="357">
        <f t="shared" si="54"/>
        <v>347676.50216015434</v>
      </c>
      <c r="V120" s="358">
        <f t="shared" si="54"/>
        <v>477982.97077989293</v>
      </c>
      <c r="W120" s="359">
        <f t="shared" si="40"/>
        <v>322323.49783984578</v>
      </c>
      <c r="Z120" s="354"/>
      <c r="AA120" s="355" t="e">
        <f t="shared" si="41"/>
        <v>#NUM!</v>
      </c>
      <c r="AB120" s="356" t="e">
        <f t="shared" si="42"/>
        <v>#NUM!</v>
      </c>
      <c r="AC120" s="357" t="e">
        <f t="shared" si="55"/>
        <v>#NUM!</v>
      </c>
      <c r="AD120" s="358" t="e">
        <f t="shared" si="55"/>
        <v>#NUM!</v>
      </c>
      <c r="AE120" s="359" t="e">
        <f t="shared" si="43"/>
        <v>#NUM!</v>
      </c>
    </row>
    <row r="121" spans="2:31" x14ac:dyDescent="0.25">
      <c r="B121" s="354" t="s">
        <v>493</v>
      </c>
      <c r="C121" s="355" t="e">
        <f t="shared" si="32"/>
        <v>#VALUE!</v>
      </c>
      <c r="D121" s="356" t="e">
        <f t="shared" si="33"/>
        <v>#VALUE!</v>
      </c>
      <c r="E121" s="357" t="e">
        <f t="shared" si="52"/>
        <v>#VALUE!</v>
      </c>
      <c r="F121" s="358" t="e">
        <f t="shared" si="52"/>
        <v>#VALUE!</v>
      </c>
      <c r="G121" s="359" t="e">
        <f t="shared" si="35"/>
        <v>#VALUE!</v>
      </c>
      <c r="J121" s="354" t="str">
        <f t="shared" si="31"/>
        <v>M112</v>
      </c>
      <c r="K121" s="355">
        <f t="shared" si="36"/>
        <v>1864.2152596579165</v>
      </c>
      <c r="L121" s="356">
        <f t="shared" si="44"/>
        <v>144.56844646067793</v>
      </c>
      <c r="M121" s="357">
        <f t="shared" si="53"/>
        <v>136523.00168437656</v>
      </c>
      <c r="N121" s="358">
        <f t="shared" si="53"/>
        <v>88460.773400905979</v>
      </c>
      <c r="O121" s="359">
        <f t="shared" si="38"/>
        <v>15483.998315623436</v>
      </c>
      <c r="R121" s="354"/>
      <c r="S121" s="355">
        <f t="shared" si="39"/>
        <v>4752.3444814251316</v>
      </c>
      <c r="T121" s="356">
        <f t="shared" si="45"/>
        <v>2686.0291486653814</v>
      </c>
      <c r="U121" s="357">
        <f t="shared" si="54"/>
        <v>352428.84664157947</v>
      </c>
      <c r="V121" s="358">
        <f t="shared" si="54"/>
        <v>480668.9999285583</v>
      </c>
      <c r="W121" s="359">
        <f t="shared" si="40"/>
        <v>317571.15335842065</v>
      </c>
      <c r="Z121" s="354"/>
      <c r="AA121" s="355" t="e">
        <f t="shared" si="41"/>
        <v>#NUM!</v>
      </c>
      <c r="AB121" s="356" t="e">
        <f t="shared" si="42"/>
        <v>#NUM!</v>
      </c>
      <c r="AC121" s="357" t="e">
        <f t="shared" si="55"/>
        <v>#NUM!</v>
      </c>
      <c r="AD121" s="358" t="e">
        <f t="shared" si="55"/>
        <v>#NUM!</v>
      </c>
      <c r="AE121" s="359" t="e">
        <f t="shared" si="43"/>
        <v>#NUM!</v>
      </c>
    </row>
    <row r="122" spans="2:31" x14ac:dyDescent="0.25">
      <c r="B122" s="354" t="s">
        <v>494</v>
      </c>
      <c r="C122" s="355" t="e">
        <f t="shared" si="32"/>
        <v>#VALUE!</v>
      </c>
      <c r="D122" s="356" t="e">
        <f t="shared" si="33"/>
        <v>#VALUE!</v>
      </c>
      <c r="E122" s="357" t="e">
        <f t="shared" si="52"/>
        <v>#VALUE!</v>
      </c>
      <c r="F122" s="358" t="e">
        <f t="shared" si="52"/>
        <v>#VALUE!</v>
      </c>
      <c r="G122" s="359" t="e">
        <f t="shared" si="35"/>
        <v>#VALUE!</v>
      </c>
      <c r="J122" s="354" t="str">
        <f t="shared" si="31"/>
        <v>M113</v>
      </c>
      <c r="K122" s="355">
        <f t="shared" si="36"/>
        <v>1879.7503868217325</v>
      </c>
      <c r="L122" s="356">
        <f t="shared" si="44"/>
        <v>129.03331929686198</v>
      </c>
      <c r="M122" s="357">
        <f t="shared" si="53"/>
        <v>138402.75207119831</v>
      </c>
      <c r="N122" s="358">
        <f t="shared" si="53"/>
        <v>88589.806720202847</v>
      </c>
      <c r="O122" s="359">
        <f t="shared" si="38"/>
        <v>13604.247928801704</v>
      </c>
      <c r="R122" s="354"/>
      <c r="S122" s="355">
        <f t="shared" si="39"/>
        <v>4791.9473521036743</v>
      </c>
      <c r="T122" s="356">
        <f t="shared" si="45"/>
        <v>2646.4262779868386</v>
      </c>
      <c r="U122" s="357">
        <f t="shared" si="54"/>
        <v>357220.79399368312</v>
      </c>
      <c r="V122" s="358">
        <f t="shared" si="54"/>
        <v>483315.42620654515</v>
      </c>
      <c r="W122" s="359">
        <f t="shared" si="40"/>
        <v>312779.20600631699</v>
      </c>
      <c r="Z122" s="354"/>
      <c r="AA122" s="355" t="e">
        <f t="shared" si="41"/>
        <v>#NUM!</v>
      </c>
      <c r="AB122" s="356" t="e">
        <f t="shared" si="42"/>
        <v>#NUM!</v>
      </c>
      <c r="AC122" s="357" t="e">
        <f t="shared" si="55"/>
        <v>#NUM!</v>
      </c>
      <c r="AD122" s="358" t="e">
        <f t="shared" si="55"/>
        <v>#NUM!</v>
      </c>
      <c r="AE122" s="359" t="e">
        <f t="shared" si="43"/>
        <v>#NUM!</v>
      </c>
    </row>
    <row r="123" spans="2:31" x14ac:dyDescent="0.25">
      <c r="B123" s="354" t="s">
        <v>495</v>
      </c>
      <c r="C123" s="355" t="e">
        <f t="shared" si="32"/>
        <v>#VALUE!</v>
      </c>
      <c r="D123" s="356" t="e">
        <f t="shared" si="33"/>
        <v>#VALUE!</v>
      </c>
      <c r="E123" s="357" t="e">
        <f t="shared" si="52"/>
        <v>#VALUE!</v>
      </c>
      <c r="F123" s="358" t="e">
        <f t="shared" si="52"/>
        <v>#VALUE!</v>
      </c>
      <c r="G123" s="359" t="e">
        <f t="shared" si="35"/>
        <v>#VALUE!</v>
      </c>
      <c r="J123" s="354" t="str">
        <f t="shared" si="31"/>
        <v>M114</v>
      </c>
      <c r="K123" s="355">
        <f t="shared" si="36"/>
        <v>1895.4149733785803</v>
      </c>
      <c r="L123" s="356">
        <f t="shared" si="44"/>
        <v>113.3687327400142</v>
      </c>
      <c r="M123" s="357">
        <f t="shared" si="53"/>
        <v>140298.1670445769</v>
      </c>
      <c r="N123" s="358">
        <f t="shared" si="53"/>
        <v>88703.175452942858</v>
      </c>
      <c r="O123" s="359">
        <f t="shared" si="38"/>
        <v>11708.832955423124</v>
      </c>
      <c r="R123" s="354"/>
      <c r="S123" s="355">
        <f t="shared" si="39"/>
        <v>4831.880246704538</v>
      </c>
      <c r="T123" s="356">
        <f t="shared" si="45"/>
        <v>2606.493383385975</v>
      </c>
      <c r="U123" s="357">
        <f t="shared" si="54"/>
        <v>362052.67424038769</v>
      </c>
      <c r="V123" s="358">
        <f t="shared" si="54"/>
        <v>485921.91958993115</v>
      </c>
      <c r="W123" s="359">
        <f t="shared" si="40"/>
        <v>307947.32575961243</v>
      </c>
      <c r="Z123" s="354"/>
      <c r="AA123" s="355" t="e">
        <f t="shared" si="41"/>
        <v>#NUM!</v>
      </c>
      <c r="AB123" s="356" t="e">
        <f t="shared" si="42"/>
        <v>#NUM!</v>
      </c>
      <c r="AC123" s="357" t="e">
        <f t="shared" si="55"/>
        <v>#NUM!</v>
      </c>
      <c r="AD123" s="358" t="e">
        <f t="shared" si="55"/>
        <v>#NUM!</v>
      </c>
      <c r="AE123" s="359" t="e">
        <f t="shared" si="43"/>
        <v>#NUM!</v>
      </c>
    </row>
    <row r="124" spans="2:31" x14ac:dyDescent="0.25">
      <c r="B124" s="354" t="s">
        <v>496</v>
      </c>
      <c r="C124" s="355" t="e">
        <f t="shared" si="32"/>
        <v>#VALUE!</v>
      </c>
      <c r="D124" s="356" t="e">
        <f t="shared" si="33"/>
        <v>#VALUE!</v>
      </c>
      <c r="E124" s="357" t="e">
        <f t="shared" ref="E124:F139" si="56">E123+C124</f>
        <v>#VALUE!</v>
      </c>
      <c r="F124" s="358" t="e">
        <f t="shared" si="56"/>
        <v>#VALUE!</v>
      </c>
      <c r="G124" s="359" t="e">
        <f t="shared" si="35"/>
        <v>#VALUE!</v>
      </c>
      <c r="J124" s="354" t="str">
        <f t="shared" si="31"/>
        <v>M115</v>
      </c>
      <c r="K124" s="355">
        <f t="shared" si="36"/>
        <v>1911.2100981567351</v>
      </c>
      <c r="L124" s="356">
        <f t="shared" si="44"/>
        <v>97.573607961859366</v>
      </c>
      <c r="M124" s="357">
        <f t="shared" ref="M124:N139" si="57">M123+K124</f>
        <v>142209.37714273363</v>
      </c>
      <c r="N124" s="358">
        <f t="shared" si="57"/>
        <v>88800.749060904724</v>
      </c>
      <c r="O124" s="359">
        <f t="shared" si="38"/>
        <v>9797.6228572663895</v>
      </c>
      <c r="R124" s="354"/>
      <c r="S124" s="355">
        <f t="shared" si="39"/>
        <v>4872.145915427076</v>
      </c>
      <c r="T124" s="356">
        <f t="shared" si="45"/>
        <v>2566.2277146634369</v>
      </c>
      <c r="U124" s="357">
        <f t="shared" si="54"/>
        <v>366924.82015581476</v>
      </c>
      <c r="V124" s="358">
        <f t="shared" si="54"/>
        <v>488488.14730459457</v>
      </c>
      <c r="W124" s="359">
        <f t="shared" si="40"/>
        <v>303075.17984418536</v>
      </c>
      <c r="Z124" s="354"/>
      <c r="AA124" s="355" t="e">
        <f t="shared" si="41"/>
        <v>#NUM!</v>
      </c>
      <c r="AB124" s="356" t="e">
        <f t="shared" si="42"/>
        <v>#NUM!</v>
      </c>
      <c r="AC124" s="357" t="e">
        <f t="shared" si="55"/>
        <v>#NUM!</v>
      </c>
      <c r="AD124" s="358" t="e">
        <f t="shared" si="55"/>
        <v>#NUM!</v>
      </c>
      <c r="AE124" s="359" t="e">
        <f t="shared" si="43"/>
        <v>#NUM!</v>
      </c>
    </row>
    <row r="125" spans="2:31" x14ac:dyDescent="0.25">
      <c r="B125" s="354" t="s">
        <v>497</v>
      </c>
      <c r="C125" s="355" t="e">
        <f t="shared" si="32"/>
        <v>#VALUE!</v>
      </c>
      <c r="D125" s="356" t="e">
        <f t="shared" si="33"/>
        <v>#VALUE!</v>
      </c>
      <c r="E125" s="357" t="e">
        <f t="shared" si="56"/>
        <v>#VALUE!</v>
      </c>
      <c r="F125" s="358" t="e">
        <f t="shared" si="56"/>
        <v>#VALUE!</v>
      </c>
      <c r="G125" s="359" t="e">
        <f t="shared" si="35"/>
        <v>#VALUE!</v>
      </c>
      <c r="J125" s="354" t="str">
        <f t="shared" si="31"/>
        <v>M116</v>
      </c>
      <c r="K125" s="355">
        <f t="shared" si="36"/>
        <v>1927.1368489747078</v>
      </c>
      <c r="L125" s="356">
        <f t="shared" si="44"/>
        <v>81.646857143886578</v>
      </c>
      <c r="M125" s="357">
        <f t="shared" si="57"/>
        <v>144136.51399170834</v>
      </c>
      <c r="N125" s="358">
        <f t="shared" si="57"/>
        <v>88882.395918048613</v>
      </c>
      <c r="O125" s="359">
        <f t="shared" si="38"/>
        <v>7870.4860082916821</v>
      </c>
      <c r="R125" s="354"/>
      <c r="S125" s="355">
        <f t="shared" si="39"/>
        <v>4912.7471313889682</v>
      </c>
      <c r="T125" s="356">
        <f t="shared" si="45"/>
        <v>2525.6264987015447</v>
      </c>
      <c r="U125" s="357">
        <f t="shared" si="54"/>
        <v>371837.56728720374</v>
      </c>
      <c r="V125" s="358">
        <f t="shared" si="54"/>
        <v>491013.77380329609</v>
      </c>
      <c r="W125" s="359">
        <f t="shared" si="40"/>
        <v>298162.43271279638</v>
      </c>
      <c r="Z125" s="354"/>
      <c r="AA125" s="355" t="e">
        <f t="shared" si="41"/>
        <v>#NUM!</v>
      </c>
      <c r="AB125" s="356" t="e">
        <f t="shared" si="42"/>
        <v>#NUM!</v>
      </c>
      <c r="AC125" s="357" t="e">
        <f t="shared" si="55"/>
        <v>#NUM!</v>
      </c>
      <c r="AD125" s="358" t="e">
        <f t="shared" si="55"/>
        <v>#NUM!</v>
      </c>
      <c r="AE125" s="359" t="e">
        <f t="shared" si="43"/>
        <v>#NUM!</v>
      </c>
    </row>
    <row r="126" spans="2:31" x14ac:dyDescent="0.25">
      <c r="B126" s="354" t="s">
        <v>498</v>
      </c>
      <c r="C126" s="355" t="e">
        <f t="shared" si="32"/>
        <v>#VALUE!</v>
      </c>
      <c r="D126" s="356" t="e">
        <f t="shared" si="33"/>
        <v>#VALUE!</v>
      </c>
      <c r="E126" s="357" t="e">
        <f t="shared" si="56"/>
        <v>#VALUE!</v>
      </c>
      <c r="F126" s="358" t="e">
        <f t="shared" si="56"/>
        <v>#VALUE!</v>
      </c>
      <c r="G126" s="359" t="e">
        <f t="shared" si="35"/>
        <v>#VALUE!</v>
      </c>
      <c r="J126" s="354" t="str">
        <f t="shared" si="31"/>
        <v>M117</v>
      </c>
      <c r="K126" s="355">
        <f t="shared" si="36"/>
        <v>1943.1963227161636</v>
      </c>
      <c r="L126" s="356">
        <f t="shared" si="44"/>
        <v>65.587383402430689</v>
      </c>
      <c r="M126" s="357">
        <f t="shared" si="57"/>
        <v>146079.7103144245</v>
      </c>
      <c r="N126" s="358">
        <f t="shared" si="57"/>
        <v>88947.983301451037</v>
      </c>
      <c r="O126" s="359">
        <f t="shared" si="38"/>
        <v>5927.2896855755189</v>
      </c>
      <c r="R126" s="354"/>
      <c r="S126" s="355">
        <f t="shared" si="39"/>
        <v>4953.6866908172096</v>
      </c>
      <c r="T126" s="356">
        <f t="shared" si="45"/>
        <v>2484.6869392733033</v>
      </c>
      <c r="U126" s="357">
        <f t="shared" si="54"/>
        <v>376791.25397802098</v>
      </c>
      <c r="V126" s="358">
        <f t="shared" si="54"/>
        <v>493498.46074256941</v>
      </c>
      <c r="W126" s="359">
        <f t="shared" si="40"/>
        <v>293208.74602197914</v>
      </c>
      <c r="Z126" s="354"/>
      <c r="AA126" s="355" t="e">
        <f t="shared" si="41"/>
        <v>#NUM!</v>
      </c>
      <c r="AB126" s="356" t="e">
        <f t="shared" si="42"/>
        <v>#NUM!</v>
      </c>
      <c r="AC126" s="357" t="e">
        <f t="shared" si="55"/>
        <v>#NUM!</v>
      </c>
      <c r="AD126" s="358" t="e">
        <f t="shared" si="55"/>
        <v>#NUM!</v>
      </c>
      <c r="AE126" s="359" t="e">
        <f t="shared" si="43"/>
        <v>#NUM!</v>
      </c>
    </row>
    <row r="127" spans="2:31" x14ac:dyDescent="0.25">
      <c r="B127" s="354" t="s">
        <v>499</v>
      </c>
      <c r="C127" s="355" t="e">
        <f t="shared" si="32"/>
        <v>#VALUE!</v>
      </c>
      <c r="D127" s="356" t="e">
        <f t="shared" si="33"/>
        <v>#VALUE!</v>
      </c>
      <c r="E127" s="357" t="e">
        <f t="shared" si="56"/>
        <v>#VALUE!</v>
      </c>
      <c r="F127" s="358" t="e">
        <f t="shared" si="56"/>
        <v>#VALUE!</v>
      </c>
      <c r="G127" s="359" t="e">
        <f t="shared" si="35"/>
        <v>#VALUE!</v>
      </c>
      <c r="J127" s="354" t="str">
        <f t="shared" si="31"/>
        <v>M118</v>
      </c>
      <c r="K127" s="355">
        <f t="shared" si="36"/>
        <v>1959.389625405465</v>
      </c>
      <c r="L127" s="356">
        <f t="shared" si="44"/>
        <v>49.394080713129327</v>
      </c>
      <c r="M127" s="357">
        <f t="shared" si="57"/>
        <v>148039.09993982996</v>
      </c>
      <c r="N127" s="358">
        <f t="shared" si="57"/>
        <v>88997.377382164166</v>
      </c>
      <c r="O127" s="359">
        <f t="shared" si="38"/>
        <v>3967.9000601700536</v>
      </c>
      <c r="R127" s="354"/>
      <c r="S127" s="355">
        <f t="shared" si="39"/>
        <v>4994.9674132406872</v>
      </c>
      <c r="T127" s="356">
        <f t="shared" si="45"/>
        <v>2443.4062168498263</v>
      </c>
      <c r="U127" s="357">
        <f t="shared" si="54"/>
        <v>381786.22139126167</v>
      </c>
      <c r="V127" s="358">
        <f t="shared" si="54"/>
        <v>495941.86695941922</v>
      </c>
      <c r="W127" s="359">
        <f t="shared" si="40"/>
        <v>288213.77860873844</v>
      </c>
      <c r="Z127" s="354"/>
      <c r="AA127" s="355" t="e">
        <f t="shared" si="41"/>
        <v>#NUM!</v>
      </c>
      <c r="AB127" s="356" t="e">
        <f t="shared" si="42"/>
        <v>#NUM!</v>
      </c>
      <c r="AC127" s="357" t="e">
        <f t="shared" si="55"/>
        <v>#NUM!</v>
      </c>
      <c r="AD127" s="358" t="e">
        <f t="shared" si="55"/>
        <v>#NUM!</v>
      </c>
      <c r="AE127" s="359" t="e">
        <f t="shared" si="43"/>
        <v>#NUM!</v>
      </c>
    </row>
    <row r="128" spans="2:31" x14ac:dyDescent="0.25">
      <c r="B128" s="354" t="s">
        <v>500</v>
      </c>
      <c r="C128" s="355" t="e">
        <f t="shared" si="32"/>
        <v>#VALUE!</v>
      </c>
      <c r="D128" s="356" t="e">
        <f t="shared" si="33"/>
        <v>#VALUE!</v>
      </c>
      <c r="E128" s="357" t="e">
        <f t="shared" si="56"/>
        <v>#VALUE!</v>
      </c>
      <c r="F128" s="358" t="e">
        <f t="shared" si="56"/>
        <v>#VALUE!</v>
      </c>
      <c r="G128" s="359" t="e">
        <f t="shared" si="35"/>
        <v>#VALUE!</v>
      </c>
      <c r="J128" s="354" t="str">
        <f t="shared" si="31"/>
        <v>M119</v>
      </c>
      <c r="K128" s="355">
        <f t="shared" si="36"/>
        <v>1975.7178722838439</v>
      </c>
      <c r="L128" s="356">
        <f t="shared" si="44"/>
        <v>33.06583383475045</v>
      </c>
      <c r="M128" s="357">
        <f t="shared" si="57"/>
        <v>150014.81781211382</v>
      </c>
      <c r="N128" s="358">
        <f t="shared" si="57"/>
        <v>89030.443215998923</v>
      </c>
      <c r="O128" s="359">
        <f t="shared" si="38"/>
        <v>1992.1821878862097</v>
      </c>
      <c r="R128" s="354"/>
      <c r="S128" s="355">
        <f t="shared" si="39"/>
        <v>5036.5921416843594</v>
      </c>
      <c r="T128" s="356">
        <f t="shared" si="45"/>
        <v>2401.7814884061536</v>
      </c>
      <c r="U128" s="357">
        <f t="shared" ref="U128:V143" si="58">U127+S128</f>
        <v>386822.81353294605</v>
      </c>
      <c r="V128" s="358">
        <f t="shared" si="58"/>
        <v>498343.6484478254</v>
      </c>
      <c r="W128" s="359">
        <f t="shared" si="40"/>
        <v>283177.18646705407</v>
      </c>
      <c r="Z128" s="354"/>
      <c r="AA128" s="355" t="e">
        <f t="shared" si="41"/>
        <v>#NUM!</v>
      </c>
      <c r="AB128" s="356" t="e">
        <f t="shared" si="42"/>
        <v>#NUM!</v>
      </c>
      <c r="AC128" s="357" t="e">
        <f t="shared" ref="AC128:AD143" si="59">AC127+AA128</f>
        <v>#NUM!</v>
      </c>
      <c r="AD128" s="358" t="e">
        <f t="shared" si="59"/>
        <v>#NUM!</v>
      </c>
      <c r="AE128" s="359" t="e">
        <f t="shared" si="43"/>
        <v>#NUM!</v>
      </c>
    </row>
    <row r="129" spans="2:31" x14ac:dyDescent="0.25">
      <c r="B129" s="354" t="s">
        <v>501</v>
      </c>
      <c r="C129" s="355" t="e">
        <f t="shared" si="32"/>
        <v>#VALUE!</v>
      </c>
      <c r="D129" s="356" t="e">
        <f t="shared" si="33"/>
        <v>#VALUE!</v>
      </c>
      <c r="E129" s="357" t="e">
        <f t="shared" si="56"/>
        <v>#VALUE!</v>
      </c>
      <c r="F129" s="358" t="e">
        <f t="shared" si="56"/>
        <v>#VALUE!</v>
      </c>
      <c r="G129" s="359" t="e">
        <f t="shared" si="35"/>
        <v>#VALUE!</v>
      </c>
      <c r="J129" s="354" t="str">
        <f t="shared" si="31"/>
        <v>M120</v>
      </c>
      <c r="K129" s="355">
        <f t="shared" si="36"/>
        <v>1992.1821878862092</v>
      </c>
      <c r="L129" s="356">
        <f t="shared" si="44"/>
        <v>16.601518232385082</v>
      </c>
      <c r="M129" s="357">
        <f t="shared" si="57"/>
        <v>152007.00000000003</v>
      </c>
      <c r="N129" s="358">
        <f t="shared" si="57"/>
        <v>89047.044734231313</v>
      </c>
      <c r="O129" s="359">
        <f t="shared" si="38"/>
        <v>0</v>
      </c>
      <c r="R129" s="354"/>
      <c r="S129" s="355">
        <f t="shared" si="39"/>
        <v>5078.5637428650625</v>
      </c>
      <c r="T129" s="356">
        <f t="shared" si="45"/>
        <v>2359.8098872254504</v>
      </c>
      <c r="U129" s="357">
        <f t="shared" si="58"/>
        <v>391901.3772758111</v>
      </c>
      <c r="V129" s="358">
        <f t="shared" si="58"/>
        <v>500703.45833505085</v>
      </c>
      <c r="W129" s="359">
        <f t="shared" si="40"/>
        <v>278098.62272418902</v>
      </c>
      <c r="Z129" s="354"/>
      <c r="AA129" s="355" t="e">
        <f t="shared" si="41"/>
        <v>#NUM!</v>
      </c>
      <c r="AB129" s="356" t="e">
        <f t="shared" si="42"/>
        <v>#NUM!</v>
      </c>
      <c r="AC129" s="357" t="e">
        <f t="shared" si="59"/>
        <v>#NUM!</v>
      </c>
      <c r="AD129" s="358" t="e">
        <f t="shared" si="59"/>
        <v>#NUM!</v>
      </c>
      <c r="AE129" s="359" t="e">
        <f t="shared" si="43"/>
        <v>#NUM!</v>
      </c>
    </row>
    <row r="130" spans="2:31" x14ac:dyDescent="0.25">
      <c r="B130" s="354" t="s">
        <v>502</v>
      </c>
      <c r="C130" s="355" t="e">
        <f t="shared" si="32"/>
        <v>#VALUE!</v>
      </c>
      <c r="D130" s="356" t="e">
        <f t="shared" si="33"/>
        <v>#VALUE!</v>
      </c>
      <c r="E130" s="357" t="e">
        <f t="shared" si="56"/>
        <v>#VALUE!</v>
      </c>
      <c r="F130" s="358" t="e">
        <f t="shared" si="56"/>
        <v>#VALUE!</v>
      </c>
      <c r="G130" s="359" t="e">
        <f t="shared" si="35"/>
        <v>#VALUE!</v>
      </c>
      <c r="J130" s="354" t="str">
        <f t="shared" si="31"/>
        <v>M121</v>
      </c>
      <c r="K130" s="355">
        <f t="shared" si="36"/>
        <v>2008.7837061185944</v>
      </c>
      <c r="L130" s="356">
        <f t="shared" si="44"/>
        <v>0</v>
      </c>
      <c r="M130" s="357">
        <f t="shared" si="57"/>
        <v>154015.78370611861</v>
      </c>
      <c r="N130" s="358">
        <f t="shared" si="57"/>
        <v>89047.044734231313</v>
      </c>
      <c r="O130" s="359">
        <f t="shared" si="38"/>
        <v>-2008.7837061185944</v>
      </c>
      <c r="R130" s="354"/>
      <c r="S130" s="355">
        <f t="shared" si="39"/>
        <v>5120.8851073889382</v>
      </c>
      <c r="T130" s="356">
        <f t="shared" si="45"/>
        <v>2317.4885227015752</v>
      </c>
      <c r="U130" s="357">
        <f t="shared" si="58"/>
        <v>397022.26238320005</v>
      </c>
      <c r="V130" s="358">
        <f t="shared" si="58"/>
        <v>503020.94685775239</v>
      </c>
      <c r="W130" s="359">
        <f t="shared" si="40"/>
        <v>272977.73761680006</v>
      </c>
      <c r="Z130" s="354"/>
      <c r="AA130" s="355" t="e">
        <f t="shared" si="41"/>
        <v>#NUM!</v>
      </c>
      <c r="AB130" s="356" t="e">
        <f t="shared" si="42"/>
        <v>#NUM!</v>
      </c>
      <c r="AC130" s="357" t="e">
        <f t="shared" si="59"/>
        <v>#NUM!</v>
      </c>
      <c r="AD130" s="358" t="e">
        <f t="shared" si="59"/>
        <v>#NUM!</v>
      </c>
      <c r="AE130" s="359" t="e">
        <f t="shared" si="43"/>
        <v>#NUM!</v>
      </c>
    </row>
    <row r="131" spans="2:31" x14ac:dyDescent="0.25">
      <c r="B131" s="354" t="s">
        <v>503</v>
      </c>
      <c r="C131" s="355" t="e">
        <f t="shared" si="32"/>
        <v>#VALUE!</v>
      </c>
      <c r="D131" s="356" t="e">
        <f t="shared" si="33"/>
        <v>#VALUE!</v>
      </c>
      <c r="E131" s="357" t="e">
        <f t="shared" si="56"/>
        <v>#VALUE!</v>
      </c>
      <c r="F131" s="358" t="e">
        <f t="shared" si="56"/>
        <v>#VALUE!</v>
      </c>
      <c r="G131" s="359" t="e">
        <f t="shared" si="35"/>
        <v>#VALUE!</v>
      </c>
      <c r="J131" s="354" t="str">
        <f t="shared" si="31"/>
        <v>M122</v>
      </c>
      <c r="K131" s="355">
        <f t="shared" si="36"/>
        <v>2025.5235703362493</v>
      </c>
      <c r="L131" s="356">
        <f t="shared" si="44"/>
        <v>-16.739864217654954</v>
      </c>
      <c r="M131" s="357">
        <f t="shared" si="57"/>
        <v>156041.30727645487</v>
      </c>
      <c r="N131" s="358">
        <f t="shared" si="57"/>
        <v>89030.304870013657</v>
      </c>
      <c r="O131" s="359">
        <f t="shared" si="38"/>
        <v>-4034.3072764548438</v>
      </c>
      <c r="R131" s="354"/>
      <c r="S131" s="355">
        <f t="shared" si="39"/>
        <v>5163.5591499505126</v>
      </c>
      <c r="T131" s="356">
        <f t="shared" si="45"/>
        <v>2274.8144801400003</v>
      </c>
      <c r="U131" s="357">
        <f t="shared" si="58"/>
        <v>402185.82153315056</v>
      </c>
      <c r="V131" s="358">
        <f t="shared" si="58"/>
        <v>505295.76133789239</v>
      </c>
      <c r="W131" s="359">
        <f t="shared" si="40"/>
        <v>267814.17846684955</v>
      </c>
      <c r="Z131" s="354"/>
      <c r="AA131" s="355" t="e">
        <f t="shared" si="41"/>
        <v>#NUM!</v>
      </c>
      <c r="AB131" s="356" t="e">
        <f t="shared" si="42"/>
        <v>#NUM!</v>
      </c>
      <c r="AC131" s="357" t="e">
        <f t="shared" si="59"/>
        <v>#NUM!</v>
      </c>
      <c r="AD131" s="358" t="e">
        <f t="shared" si="59"/>
        <v>#NUM!</v>
      </c>
      <c r="AE131" s="359" t="e">
        <f t="shared" si="43"/>
        <v>#NUM!</v>
      </c>
    </row>
    <row r="132" spans="2:31" x14ac:dyDescent="0.25">
      <c r="B132" s="354" t="s">
        <v>504</v>
      </c>
      <c r="C132" s="355" t="e">
        <f t="shared" si="32"/>
        <v>#VALUE!</v>
      </c>
      <c r="D132" s="356" t="e">
        <f t="shared" si="33"/>
        <v>#VALUE!</v>
      </c>
      <c r="E132" s="357" t="e">
        <f t="shared" si="56"/>
        <v>#VALUE!</v>
      </c>
      <c r="F132" s="358" t="e">
        <f t="shared" si="56"/>
        <v>#VALUE!</v>
      </c>
      <c r="G132" s="359" t="e">
        <f t="shared" si="35"/>
        <v>#VALUE!</v>
      </c>
      <c r="J132" s="354" t="str">
        <f t="shared" si="31"/>
        <v>M123</v>
      </c>
      <c r="K132" s="355">
        <f t="shared" si="36"/>
        <v>2042.4029334223849</v>
      </c>
      <c r="L132" s="356">
        <f t="shared" si="44"/>
        <v>-33.619227303790368</v>
      </c>
      <c r="M132" s="357">
        <f t="shared" si="57"/>
        <v>158083.71020987726</v>
      </c>
      <c r="N132" s="358">
        <f t="shared" si="57"/>
        <v>88996.685642709868</v>
      </c>
      <c r="O132" s="359">
        <f t="shared" si="38"/>
        <v>-6076.7102098772284</v>
      </c>
      <c r="R132" s="354"/>
      <c r="S132" s="355">
        <f t="shared" si="39"/>
        <v>5206.588809533434</v>
      </c>
      <c r="T132" s="356">
        <f t="shared" si="45"/>
        <v>2231.7848205570795</v>
      </c>
      <c r="U132" s="357">
        <f t="shared" si="58"/>
        <v>407392.41034268402</v>
      </c>
      <c r="V132" s="358">
        <f t="shared" si="58"/>
        <v>507527.54615844949</v>
      </c>
      <c r="W132" s="359">
        <f t="shared" si="40"/>
        <v>262607.5896573161</v>
      </c>
      <c r="Z132" s="354"/>
      <c r="AA132" s="355" t="e">
        <f t="shared" si="41"/>
        <v>#NUM!</v>
      </c>
      <c r="AB132" s="356" t="e">
        <f t="shared" si="42"/>
        <v>#NUM!</v>
      </c>
      <c r="AC132" s="357" t="e">
        <f t="shared" si="59"/>
        <v>#NUM!</v>
      </c>
      <c r="AD132" s="358" t="e">
        <f t="shared" si="59"/>
        <v>#NUM!</v>
      </c>
      <c r="AE132" s="359" t="e">
        <f t="shared" si="43"/>
        <v>#NUM!</v>
      </c>
    </row>
    <row r="133" spans="2:31" x14ac:dyDescent="0.25">
      <c r="B133" s="354" t="s">
        <v>505</v>
      </c>
      <c r="C133" s="355" t="e">
        <f t="shared" si="32"/>
        <v>#VALUE!</v>
      </c>
      <c r="D133" s="356" t="e">
        <f t="shared" si="33"/>
        <v>#VALUE!</v>
      </c>
      <c r="E133" s="357" t="e">
        <f t="shared" si="56"/>
        <v>#VALUE!</v>
      </c>
      <c r="F133" s="358" t="e">
        <f t="shared" si="56"/>
        <v>#VALUE!</v>
      </c>
      <c r="G133" s="359" t="e">
        <f t="shared" si="35"/>
        <v>#VALUE!</v>
      </c>
      <c r="J133" s="354" t="str">
        <f t="shared" si="31"/>
        <v>M124</v>
      </c>
      <c r="K133" s="355">
        <f t="shared" si="36"/>
        <v>2059.4229578675713</v>
      </c>
      <c r="L133" s="356">
        <f t="shared" si="44"/>
        <v>-50.639251748976903</v>
      </c>
      <c r="M133" s="357">
        <f t="shared" si="57"/>
        <v>160143.13316774482</v>
      </c>
      <c r="N133" s="358">
        <f t="shared" si="57"/>
        <v>88946.046390960895</v>
      </c>
      <c r="O133" s="359">
        <f t="shared" si="38"/>
        <v>-8136.1331677447997</v>
      </c>
      <c r="R133" s="354"/>
      <c r="S133" s="355">
        <f t="shared" si="39"/>
        <v>5249.9770496128785</v>
      </c>
      <c r="T133" s="356">
        <f t="shared" si="45"/>
        <v>2188.396580477634</v>
      </c>
      <c r="U133" s="357">
        <f t="shared" si="58"/>
        <v>412642.38739229692</v>
      </c>
      <c r="V133" s="358">
        <f t="shared" si="58"/>
        <v>509715.94273892714</v>
      </c>
      <c r="W133" s="359">
        <f t="shared" si="40"/>
        <v>257357.61260770322</v>
      </c>
      <c r="Z133" s="354"/>
      <c r="AA133" s="355" t="e">
        <f t="shared" si="41"/>
        <v>#NUM!</v>
      </c>
      <c r="AB133" s="356" t="e">
        <f t="shared" si="42"/>
        <v>#NUM!</v>
      </c>
      <c r="AC133" s="357" t="e">
        <f t="shared" si="59"/>
        <v>#NUM!</v>
      </c>
      <c r="AD133" s="358" t="e">
        <f t="shared" si="59"/>
        <v>#NUM!</v>
      </c>
      <c r="AE133" s="359" t="e">
        <f t="shared" si="43"/>
        <v>#NUM!</v>
      </c>
    </row>
    <row r="134" spans="2:31" x14ac:dyDescent="0.25">
      <c r="B134" s="354" t="s">
        <v>506</v>
      </c>
      <c r="C134" s="355" t="e">
        <f t="shared" si="32"/>
        <v>#VALUE!</v>
      </c>
      <c r="D134" s="356" t="e">
        <f t="shared" si="33"/>
        <v>#VALUE!</v>
      </c>
      <c r="E134" s="357" t="e">
        <f t="shared" si="56"/>
        <v>#VALUE!</v>
      </c>
      <c r="F134" s="358" t="e">
        <f t="shared" si="56"/>
        <v>#VALUE!</v>
      </c>
      <c r="G134" s="359" t="e">
        <f t="shared" si="35"/>
        <v>#VALUE!</v>
      </c>
      <c r="J134" s="354" t="str">
        <f t="shared" si="31"/>
        <v>M125</v>
      </c>
      <c r="K134" s="355">
        <f t="shared" si="36"/>
        <v>2076.5848158498011</v>
      </c>
      <c r="L134" s="356">
        <f t="shared" si="44"/>
        <v>-67.801109731206665</v>
      </c>
      <c r="M134" s="357">
        <f t="shared" si="57"/>
        <v>162219.71798359463</v>
      </c>
      <c r="N134" s="358">
        <f t="shared" si="57"/>
        <v>88878.245281229683</v>
      </c>
      <c r="O134" s="359">
        <f t="shared" si="38"/>
        <v>-10212.717983594601</v>
      </c>
      <c r="R134" s="354"/>
      <c r="S134" s="355">
        <f t="shared" si="39"/>
        <v>5293.7268583596524</v>
      </c>
      <c r="T134" s="356">
        <f t="shared" si="45"/>
        <v>2144.6467717308601</v>
      </c>
      <c r="U134" s="357">
        <f t="shared" si="58"/>
        <v>417936.11425065657</v>
      </c>
      <c r="V134" s="358">
        <f t="shared" si="58"/>
        <v>511860.589510658</v>
      </c>
      <c r="W134" s="359">
        <f t="shared" si="40"/>
        <v>252063.88574934358</v>
      </c>
      <c r="Z134" s="354"/>
      <c r="AA134" s="355" t="e">
        <f t="shared" si="41"/>
        <v>#NUM!</v>
      </c>
      <c r="AB134" s="356" t="e">
        <f t="shared" si="42"/>
        <v>#NUM!</v>
      </c>
      <c r="AC134" s="357" t="e">
        <f t="shared" si="59"/>
        <v>#NUM!</v>
      </c>
      <c r="AD134" s="358" t="e">
        <f t="shared" si="59"/>
        <v>#NUM!</v>
      </c>
      <c r="AE134" s="359" t="e">
        <f t="shared" si="43"/>
        <v>#NUM!</v>
      </c>
    </row>
    <row r="135" spans="2:31" x14ac:dyDescent="0.25">
      <c r="B135" s="354" t="s">
        <v>507</v>
      </c>
      <c r="C135" s="355" t="e">
        <f t="shared" si="32"/>
        <v>#VALUE!</v>
      </c>
      <c r="D135" s="356" t="e">
        <f t="shared" si="33"/>
        <v>#VALUE!</v>
      </c>
      <c r="E135" s="357" t="e">
        <f t="shared" si="56"/>
        <v>#VALUE!</v>
      </c>
      <c r="F135" s="358" t="e">
        <f t="shared" si="56"/>
        <v>#VALUE!</v>
      </c>
      <c r="G135" s="359" t="e">
        <f t="shared" si="35"/>
        <v>#VALUE!</v>
      </c>
      <c r="J135" s="354" t="str">
        <f t="shared" si="31"/>
        <v>M126</v>
      </c>
      <c r="K135" s="355">
        <f t="shared" si="36"/>
        <v>2093.8896893152159</v>
      </c>
      <c r="L135" s="356">
        <f t="shared" si="44"/>
        <v>-85.105983196621679</v>
      </c>
      <c r="M135" s="357">
        <f t="shared" si="57"/>
        <v>164313.60767290986</v>
      </c>
      <c r="N135" s="358">
        <f t="shared" si="57"/>
        <v>88793.139298033057</v>
      </c>
      <c r="O135" s="359">
        <f t="shared" si="38"/>
        <v>-12306.607672909817</v>
      </c>
      <c r="R135" s="354"/>
      <c r="S135" s="355">
        <f t="shared" si="39"/>
        <v>5337.8412488459835</v>
      </c>
      <c r="T135" s="356">
        <f t="shared" si="45"/>
        <v>2100.5323812445299</v>
      </c>
      <c r="U135" s="357">
        <f t="shared" si="58"/>
        <v>423273.95549950254</v>
      </c>
      <c r="V135" s="358">
        <f t="shared" si="58"/>
        <v>513961.12189190253</v>
      </c>
      <c r="W135" s="359">
        <f t="shared" si="40"/>
        <v>246726.04450049761</v>
      </c>
      <c r="Z135" s="354"/>
      <c r="AA135" s="355" t="e">
        <f t="shared" si="41"/>
        <v>#NUM!</v>
      </c>
      <c r="AB135" s="356" t="e">
        <f t="shared" si="42"/>
        <v>#NUM!</v>
      </c>
      <c r="AC135" s="357" t="e">
        <f t="shared" si="59"/>
        <v>#NUM!</v>
      </c>
      <c r="AD135" s="358" t="e">
        <f t="shared" si="59"/>
        <v>#NUM!</v>
      </c>
      <c r="AE135" s="359" t="e">
        <f t="shared" si="43"/>
        <v>#NUM!</v>
      </c>
    </row>
    <row r="136" spans="2:31" x14ac:dyDescent="0.25">
      <c r="B136" s="354" t="s">
        <v>508</v>
      </c>
      <c r="C136" s="355" t="e">
        <f t="shared" si="32"/>
        <v>#VALUE!</v>
      </c>
      <c r="D136" s="356" t="e">
        <f t="shared" si="33"/>
        <v>#VALUE!</v>
      </c>
      <c r="E136" s="357" t="e">
        <f t="shared" si="56"/>
        <v>#VALUE!</v>
      </c>
      <c r="F136" s="358" t="e">
        <f t="shared" si="56"/>
        <v>#VALUE!</v>
      </c>
      <c r="G136" s="359" t="e">
        <f t="shared" si="35"/>
        <v>#VALUE!</v>
      </c>
      <c r="J136" s="354" t="str">
        <f t="shared" si="31"/>
        <v>M127</v>
      </c>
      <c r="K136" s="355">
        <f t="shared" si="36"/>
        <v>2111.3387700595094</v>
      </c>
      <c r="L136" s="356">
        <f t="shared" si="44"/>
        <v>-102.55506394091513</v>
      </c>
      <c r="M136" s="357">
        <f t="shared" si="57"/>
        <v>166424.94644296938</v>
      </c>
      <c r="N136" s="358">
        <f t="shared" si="57"/>
        <v>88690.584234092137</v>
      </c>
      <c r="O136" s="359">
        <f t="shared" si="38"/>
        <v>-14417.946442969325</v>
      </c>
      <c r="R136" s="354"/>
      <c r="S136" s="355">
        <f t="shared" si="39"/>
        <v>5382.323259253033</v>
      </c>
      <c r="T136" s="356">
        <f t="shared" si="45"/>
        <v>2056.0503708374799</v>
      </c>
      <c r="U136" s="357">
        <f t="shared" si="58"/>
        <v>428656.27875875559</v>
      </c>
      <c r="V136" s="358">
        <f t="shared" si="58"/>
        <v>516017.17226274003</v>
      </c>
      <c r="W136" s="359">
        <f t="shared" si="40"/>
        <v>241343.72124124458</v>
      </c>
      <c r="Z136" s="354"/>
      <c r="AA136" s="355" t="e">
        <f t="shared" si="41"/>
        <v>#NUM!</v>
      </c>
      <c r="AB136" s="356" t="e">
        <f t="shared" si="42"/>
        <v>#NUM!</v>
      </c>
      <c r="AC136" s="357" t="e">
        <f t="shared" si="59"/>
        <v>#NUM!</v>
      </c>
      <c r="AD136" s="358" t="e">
        <f t="shared" si="59"/>
        <v>#NUM!</v>
      </c>
      <c r="AE136" s="359" t="e">
        <f t="shared" si="43"/>
        <v>#NUM!</v>
      </c>
    </row>
    <row r="137" spans="2:31" x14ac:dyDescent="0.25">
      <c r="B137" s="354" t="s">
        <v>509</v>
      </c>
      <c r="C137" s="355" t="e">
        <f t="shared" si="32"/>
        <v>#VALUE!</v>
      </c>
      <c r="D137" s="356" t="e">
        <f t="shared" si="33"/>
        <v>#VALUE!</v>
      </c>
      <c r="E137" s="357" t="e">
        <f t="shared" si="56"/>
        <v>#VALUE!</v>
      </c>
      <c r="F137" s="358" t="e">
        <f t="shared" si="56"/>
        <v>#VALUE!</v>
      </c>
      <c r="G137" s="359" t="e">
        <f t="shared" si="35"/>
        <v>#VALUE!</v>
      </c>
      <c r="J137" s="354" t="str">
        <f t="shared" si="31"/>
        <v>M128</v>
      </c>
      <c r="K137" s="355">
        <f t="shared" si="36"/>
        <v>2128.9332598100054</v>
      </c>
      <c r="L137" s="356">
        <f t="shared" si="44"/>
        <v>-120.14955369141104</v>
      </c>
      <c r="M137" s="357">
        <f t="shared" si="57"/>
        <v>168553.87970277938</v>
      </c>
      <c r="N137" s="358">
        <f t="shared" si="57"/>
        <v>88570.434680400722</v>
      </c>
      <c r="O137" s="359">
        <f t="shared" si="38"/>
        <v>-16546.87970277933</v>
      </c>
      <c r="R137" s="354"/>
      <c r="S137" s="355">
        <f t="shared" si="39"/>
        <v>5427.175953080141</v>
      </c>
      <c r="T137" s="356">
        <f t="shared" si="45"/>
        <v>2011.1976770103715</v>
      </c>
      <c r="U137" s="357">
        <f t="shared" si="58"/>
        <v>434083.45471183571</v>
      </c>
      <c r="V137" s="358">
        <f t="shared" si="58"/>
        <v>518028.36993975041</v>
      </c>
      <c r="W137" s="359">
        <f t="shared" si="40"/>
        <v>235916.54528816443</v>
      </c>
      <c r="Z137" s="354"/>
      <c r="AA137" s="355" t="e">
        <f t="shared" si="41"/>
        <v>#NUM!</v>
      </c>
      <c r="AB137" s="356" t="e">
        <f t="shared" si="42"/>
        <v>#NUM!</v>
      </c>
      <c r="AC137" s="357" t="e">
        <f t="shared" si="59"/>
        <v>#NUM!</v>
      </c>
      <c r="AD137" s="358" t="e">
        <f t="shared" si="59"/>
        <v>#NUM!</v>
      </c>
      <c r="AE137" s="359" t="e">
        <f t="shared" si="43"/>
        <v>#NUM!</v>
      </c>
    </row>
    <row r="138" spans="2:31" x14ac:dyDescent="0.25">
      <c r="B138" s="354" t="s">
        <v>510</v>
      </c>
      <c r="C138" s="355" t="e">
        <f t="shared" si="32"/>
        <v>#VALUE!</v>
      </c>
      <c r="D138" s="356" t="e">
        <f t="shared" si="33"/>
        <v>#VALUE!</v>
      </c>
      <c r="E138" s="357" t="e">
        <f t="shared" si="56"/>
        <v>#VALUE!</v>
      </c>
      <c r="F138" s="358" t="e">
        <f t="shared" si="56"/>
        <v>#VALUE!</v>
      </c>
      <c r="G138" s="359" t="e">
        <f t="shared" si="35"/>
        <v>#VALUE!</v>
      </c>
      <c r="J138" s="354" t="str">
        <f t="shared" ref="J138:J201" si="60">B138</f>
        <v>M129</v>
      </c>
      <c r="K138" s="355">
        <f t="shared" si="36"/>
        <v>2146.6743703084221</v>
      </c>
      <c r="L138" s="356">
        <f t="shared" si="44"/>
        <v>-137.89066418982776</v>
      </c>
      <c r="M138" s="357">
        <f t="shared" si="57"/>
        <v>170700.55407308781</v>
      </c>
      <c r="N138" s="358">
        <f t="shared" si="57"/>
        <v>88432.544016210901</v>
      </c>
      <c r="O138" s="359">
        <f t="shared" si="38"/>
        <v>-18693.554073087751</v>
      </c>
      <c r="R138" s="354"/>
      <c r="S138" s="355">
        <f t="shared" si="39"/>
        <v>5472.4024193558089</v>
      </c>
      <c r="T138" s="356">
        <f t="shared" si="45"/>
        <v>1965.9712107347036</v>
      </c>
      <c r="U138" s="357">
        <f t="shared" si="58"/>
        <v>439555.85713119153</v>
      </c>
      <c r="V138" s="358">
        <f t="shared" si="58"/>
        <v>519994.3411504851</v>
      </c>
      <c r="W138" s="359">
        <f t="shared" si="40"/>
        <v>230444.14286880862</v>
      </c>
      <c r="Z138" s="354"/>
      <c r="AA138" s="355" t="e">
        <f t="shared" si="41"/>
        <v>#NUM!</v>
      </c>
      <c r="AB138" s="356" t="e">
        <f t="shared" si="42"/>
        <v>#NUM!</v>
      </c>
      <c r="AC138" s="357" t="e">
        <f t="shared" si="59"/>
        <v>#NUM!</v>
      </c>
      <c r="AD138" s="358" t="e">
        <f t="shared" si="59"/>
        <v>#NUM!</v>
      </c>
      <c r="AE138" s="359" t="e">
        <f t="shared" si="43"/>
        <v>#NUM!</v>
      </c>
    </row>
    <row r="139" spans="2:31" x14ac:dyDescent="0.25">
      <c r="B139" s="354" t="s">
        <v>511</v>
      </c>
      <c r="C139" s="355" t="e">
        <f t="shared" si="32"/>
        <v>#VALUE!</v>
      </c>
      <c r="D139" s="356" t="e">
        <f t="shared" si="33"/>
        <v>#VALUE!</v>
      </c>
      <c r="E139" s="357" t="e">
        <f t="shared" si="56"/>
        <v>#VALUE!</v>
      </c>
      <c r="F139" s="358" t="e">
        <f t="shared" si="56"/>
        <v>#VALUE!</v>
      </c>
      <c r="G139" s="359" t="e">
        <f t="shared" si="35"/>
        <v>#VALUE!</v>
      </c>
      <c r="J139" s="354" t="str">
        <f t="shared" si="60"/>
        <v>M130</v>
      </c>
      <c r="K139" s="355">
        <f t="shared" si="36"/>
        <v>2164.5633233943258</v>
      </c>
      <c r="L139" s="356">
        <f t="shared" si="44"/>
        <v>-155.77961727573125</v>
      </c>
      <c r="M139" s="357">
        <f t="shared" si="57"/>
        <v>172865.11739648215</v>
      </c>
      <c r="N139" s="358">
        <f t="shared" si="57"/>
        <v>88276.764398935164</v>
      </c>
      <c r="O139" s="359">
        <f t="shared" si="38"/>
        <v>-20858.117396482077</v>
      </c>
      <c r="R139" s="354"/>
      <c r="S139" s="355">
        <f t="shared" si="39"/>
        <v>5518.0057728504416</v>
      </c>
      <c r="T139" s="356">
        <f t="shared" si="45"/>
        <v>1920.3678572400718</v>
      </c>
      <c r="U139" s="357">
        <f t="shared" si="58"/>
        <v>445073.86290404195</v>
      </c>
      <c r="V139" s="358">
        <f t="shared" si="58"/>
        <v>521914.70900772518</v>
      </c>
      <c r="W139" s="359">
        <f t="shared" si="40"/>
        <v>224926.13709595817</v>
      </c>
      <c r="Z139" s="354"/>
      <c r="AA139" s="355" t="e">
        <f t="shared" si="41"/>
        <v>#NUM!</v>
      </c>
      <c r="AB139" s="356" t="e">
        <f t="shared" si="42"/>
        <v>#NUM!</v>
      </c>
      <c r="AC139" s="357" t="e">
        <f t="shared" si="59"/>
        <v>#NUM!</v>
      </c>
      <c r="AD139" s="358" t="e">
        <f t="shared" si="59"/>
        <v>#NUM!</v>
      </c>
      <c r="AE139" s="359" t="e">
        <f t="shared" si="43"/>
        <v>#NUM!</v>
      </c>
    </row>
    <row r="140" spans="2:31" x14ac:dyDescent="0.25">
      <c r="B140" s="354" t="s">
        <v>512</v>
      </c>
      <c r="C140" s="355" t="e">
        <f t="shared" ref="C140:C203" si="61">$D$6-D140</f>
        <v>#VALUE!</v>
      </c>
      <c r="D140" s="356" t="e">
        <f t="shared" ref="D140:D203" si="62">$D$4/12*G139</f>
        <v>#VALUE!</v>
      </c>
      <c r="E140" s="357" t="e">
        <f t="shared" ref="E140:F155" si="63">E139+C140</f>
        <v>#VALUE!</v>
      </c>
      <c r="F140" s="358" t="e">
        <f t="shared" si="63"/>
        <v>#VALUE!</v>
      </c>
      <c r="G140" s="359" t="e">
        <f t="shared" ref="G140:G203" si="64">G139-C140</f>
        <v>#VALUE!</v>
      </c>
      <c r="J140" s="354" t="str">
        <f t="shared" si="60"/>
        <v>M131</v>
      </c>
      <c r="K140" s="355">
        <f t="shared" ref="K140:K203" si="65">$L$6-L140</f>
        <v>2182.6013510892785</v>
      </c>
      <c r="L140" s="356">
        <f t="shared" si="44"/>
        <v>-173.81764497068397</v>
      </c>
      <c r="M140" s="357">
        <f t="shared" ref="M140:N155" si="66">M139+K140</f>
        <v>175047.71874757143</v>
      </c>
      <c r="N140" s="358">
        <f t="shared" si="66"/>
        <v>88102.946753964483</v>
      </c>
      <c r="O140" s="359">
        <f t="shared" ref="O140:O203" si="67">O139-K140</f>
        <v>-23040.718747571354</v>
      </c>
      <c r="R140" s="354"/>
      <c r="S140" s="355">
        <f t="shared" ref="S140:S203" si="68">$T$6-T140</f>
        <v>5563.9891542908617</v>
      </c>
      <c r="T140" s="356">
        <f t="shared" si="45"/>
        <v>1874.3844757996515</v>
      </c>
      <c r="U140" s="357">
        <f t="shared" si="58"/>
        <v>450637.85205833282</v>
      </c>
      <c r="V140" s="358">
        <f t="shared" si="58"/>
        <v>523789.0934835248</v>
      </c>
      <c r="W140" s="359">
        <f t="shared" ref="W140:W203" si="69">W139-S140</f>
        <v>219362.1479416673</v>
      </c>
      <c r="Z140" s="354"/>
      <c r="AA140" s="355" t="e">
        <f t="shared" ref="AA140:AA203" si="70">$T$6-AB140</f>
        <v>#NUM!</v>
      </c>
      <c r="AB140" s="356" t="e">
        <f t="shared" ref="AB140:AB203" si="71">$AB$4/12*AE139</f>
        <v>#NUM!</v>
      </c>
      <c r="AC140" s="357" t="e">
        <f t="shared" si="59"/>
        <v>#NUM!</v>
      </c>
      <c r="AD140" s="358" t="e">
        <f t="shared" si="59"/>
        <v>#NUM!</v>
      </c>
      <c r="AE140" s="359" t="e">
        <f t="shared" ref="AE140:AE203" si="72">AE139-AA140</f>
        <v>#NUM!</v>
      </c>
    </row>
    <row r="141" spans="2:31" x14ac:dyDescent="0.25">
      <c r="B141" s="354" t="s">
        <v>513</v>
      </c>
      <c r="C141" s="355" t="e">
        <f t="shared" si="61"/>
        <v>#VALUE!</v>
      </c>
      <c r="D141" s="356" t="e">
        <f t="shared" si="62"/>
        <v>#VALUE!</v>
      </c>
      <c r="E141" s="357" t="e">
        <f t="shared" si="63"/>
        <v>#VALUE!</v>
      </c>
      <c r="F141" s="358" t="e">
        <f t="shared" si="63"/>
        <v>#VALUE!</v>
      </c>
      <c r="G141" s="359" t="e">
        <f t="shared" si="64"/>
        <v>#VALUE!</v>
      </c>
      <c r="J141" s="354" t="str">
        <f t="shared" si="60"/>
        <v>M132</v>
      </c>
      <c r="K141" s="355">
        <f t="shared" si="65"/>
        <v>2200.789695681689</v>
      </c>
      <c r="L141" s="356">
        <f t="shared" ref="L141:L204" si="73">$L$4/12*O140</f>
        <v>-192.00598956309463</v>
      </c>
      <c r="M141" s="357">
        <f t="shared" si="66"/>
        <v>177248.50844325311</v>
      </c>
      <c r="N141" s="358">
        <f t="shared" si="66"/>
        <v>87910.940764401385</v>
      </c>
      <c r="O141" s="359">
        <f t="shared" si="67"/>
        <v>-25241.508443253042</v>
      </c>
      <c r="R141" s="354"/>
      <c r="S141" s="355">
        <f t="shared" si="68"/>
        <v>5610.355730576619</v>
      </c>
      <c r="T141" s="356">
        <f t="shared" ref="T141:T204" si="74">$L$4/12*W140</f>
        <v>1828.017899513894</v>
      </c>
      <c r="U141" s="357">
        <f t="shared" si="58"/>
        <v>456248.20778890944</v>
      </c>
      <c r="V141" s="358">
        <f t="shared" si="58"/>
        <v>525617.11138303869</v>
      </c>
      <c r="W141" s="359">
        <f t="shared" si="69"/>
        <v>213751.79221109068</v>
      </c>
      <c r="Z141" s="354"/>
      <c r="AA141" s="355" t="e">
        <f t="shared" si="70"/>
        <v>#NUM!</v>
      </c>
      <c r="AB141" s="356" t="e">
        <f t="shared" si="71"/>
        <v>#NUM!</v>
      </c>
      <c r="AC141" s="357" t="e">
        <f t="shared" si="59"/>
        <v>#NUM!</v>
      </c>
      <c r="AD141" s="358" t="e">
        <f t="shared" si="59"/>
        <v>#NUM!</v>
      </c>
      <c r="AE141" s="359" t="e">
        <f t="shared" si="72"/>
        <v>#NUM!</v>
      </c>
    </row>
    <row r="142" spans="2:31" x14ac:dyDescent="0.25">
      <c r="B142" s="354" t="s">
        <v>514</v>
      </c>
      <c r="C142" s="355" t="e">
        <f t="shared" si="61"/>
        <v>#VALUE!</v>
      </c>
      <c r="D142" s="356" t="e">
        <f t="shared" si="62"/>
        <v>#VALUE!</v>
      </c>
      <c r="E142" s="357" t="e">
        <f t="shared" si="63"/>
        <v>#VALUE!</v>
      </c>
      <c r="F142" s="358" t="e">
        <f t="shared" si="63"/>
        <v>#VALUE!</v>
      </c>
      <c r="G142" s="359" t="e">
        <f t="shared" si="64"/>
        <v>#VALUE!</v>
      </c>
      <c r="J142" s="354" t="str">
        <f t="shared" si="60"/>
        <v>M133</v>
      </c>
      <c r="K142" s="355">
        <f t="shared" si="65"/>
        <v>2219.1296098123698</v>
      </c>
      <c r="L142" s="356">
        <f t="shared" si="73"/>
        <v>-210.34590369377534</v>
      </c>
      <c r="M142" s="357">
        <f t="shared" si="66"/>
        <v>179467.63805306549</v>
      </c>
      <c r="N142" s="358">
        <f t="shared" si="66"/>
        <v>87700.594860707613</v>
      </c>
      <c r="O142" s="359">
        <f t="shared" si="67"/>
        <v>-27460.638053065413</v>
      </c>
      <c r="R142" s="354"/>
      <c r="S142" s="355">
        <f t="shared" si="68"/>
        <v>5657.1086949980909</v>
      </c>
      <c r="T142" s="356">
        <f t="shared" si="74"/>
        <v>1781.2649350924223</v>
      </c>
      <c r="U142" s="357">
        <f t="shared" si="58"/>
        <v>461905.31648390752</v>
      </c>
      <c r="V142" s="358">
        <f t="shared" si="58"/>
        <v>527398.37631813111</v>
      </c>
      <c r="W142" s="359">
        <f t="shared" si="69"/>
        <v>208094.6835160926</v>
      </c>
      <c r="Z142" s="354"/>
      <c r="AA142" s="355" t="e">
        <f t="shared" si="70"/>
        <v>#NUM!</v>
      </c>
      <c r="AB142" s="356" t="e">
        <f t="shared" si="71"/>
        <v>#NUM!</v>
      </c>
      <c r="AC142" s="357" t="e">
        <f t="shared" si="59"/>
        <v>#NUM!</v>
      </c>
      <c r="AD142" s="358" t="e">
        <f t="shared" si="59"/>
        <v>#NUM!</v>
      </c>
      <c r="AE142" s="359" t="e">
        <f t="shared" si="72"/>
        <v>#NUM!</v>
      </c>
    </row>
    <row r="143" spans="2:31" x14ac:dyDescent="0.25">
      <c r="B143" s="354" t="s">
        <v>515</v>
      </c>
      <c r="C143" s="355" t="e">
        <f t="shared" si="61"/>
        <v>#VALUE!</v>
      </c>
      <c r="D143" s="356" t="e">
        <f t="shared" si="62"/>
        <v>#VALUE!</v>
      </c>
      <c r="E143" s="357" t="e">
        <f t="shared" si="63"/>
        <v>#VALUE!</v>
      </c>
      <c r="F143" s="358" t="e">
        <f t="shared" si="63"/>
        <v>#VALUE!</v>
      </c>
      <c r="G143" s="359" t="e">
        <f t="shared" si="64"/>
        <v>#VALUE!</v>
      </c>
      <c r="J143" s="354" t="str">
        <f t="shared" si="60"/>
        <v>M134</v>
      </c>
      <c r="K143" s="355">
        <f t="shared" si="65"/>
        <v>2237.6223565608061</v>
      </c>
      <c r="L143" s="356">
        <f t="shared" si="73"/>
        <v>-228.83865044221179</v>
      </c>
      <c r="M143" s="357">
        <f t="shared" si="66"/>
        <v>181705.26040962629</v>
      </c>
      <c r="N143" s="358">
        <f t="shared" si="66"/>
        <v>87471.756210265405</v>
      </c>
      <c r="O143" s="359">
        <f t="shared" si="67"/>
        <v>-29698.260409626218</v>
      </c>
      <c r="R143" s="354"/>
      <c r="S143" s="355">
        <f t="shared" si="68"/>
        <v>5704.2512674564077</v>
      </c>
      <c r="T143" s="356">
        <f t="shared" si="74"/>
        <v>1734.122362634105</v>
      </c>
      <c r="U143" s="357">
        <f t="shared" si="58"/>
        <v>467609.56775136391</v>
      </c>
      <c r="V143" s="358">
        <f t="shared" si="58"/>
        <v>529132.49868076516</v>
      </c>
      <c r="W143" s="359">
        <f t="shared" si="69"/>
        <v>202390.43224863618</v>
      </c>
      <c r="Z143" s="354"/>
      <c r="AA143" s="355" t="e">
        <f t="shared" si="70"/>
        <v>#NUM!</v>
      </c>
      <c r="AB143" s="356" t="e">
        <f t="shared" si="71"/>
        <v>#NUM!</v>
      </c>
      <c r="AC143" s="357" t="e">
        <f t="shared" si="59"/>
        <v>#NUM!</v>
      </c>
      <c r="AD143" s="358" t="e">
        <f t="shared" si="59"/>
        <v>#NUM!</v>
      </c>
      <c r="AE143" s="359" t="e">
        <f t="shared" si="72"/>
        <v>#NUM!</v>
      </c>
    </row>
    <row r="144" spans="2:31" x14ac:dyDescent="0.25">
      <c r="B144" s="354" t="s">
        <v>516</v>
      </c>
      <c r="C144" s="355" t="e">
        <f t="shared" si="61"/>
        <v>#VALUE!</v>
      </c>
      <c r="D144" s="356" t="e">
        <f t="shared" si="62"/>
        <v>#VALUE!</v>
      </c>
      <c r="E144" s="357" t="e">
        <f t="shared" si="63"/>
        <v>#VALUE!</v>
      </c>
      <c r="F144" s="358" t="e">
        <f t="shared" si="63"/>
        <v>#VALUE!</v>
      </c>
      <c r="G144" s="359" t="e">
        <f t="shared" si="64"/>
        <v>#VALUE!</v>
      </c>
      <c r="J144" s="354" t="str">
        <f t="shared" si="60"/>
        <v>M135</v>
      </c>
      <c r="K144" s="355">
        <f t="shared" si="65"/>
        <v>2256.2692095321463</v>
      </c>
      <c r="L144" s="356">
        <f t="shared" si="73"/>
        <v>-247.48550341355181</v>
      </c>
      <c r="M144" s="357">
        <f t="shared" si="66"/>
        <v>183961.52961915845</v>
      </c>
      <c r="N144" s="358">
        <f t="shared" si="66"/>
        <v>87224.27070685185</v>
      </c>
      <c r="O144" s="359">
        <f t="shared" si="67"/>
        <v>-31954.529619158366</v>
      </c>
      <c r="R144" s="354"/>
      <c r="S144" s="355">
        <f t="shared" si="68"/>
        <v>5751.7866946852118</v>
      </c>
      <c r="T144" s="356">
        <f t="shared" si="74"/>
        <v>1686.5869354053013</v>
      </c>
      <c r="U144" s="357">
        <f t="shared" ref="U144:V159" si="75">U143+S144</f>
        <v>473361.35444604914</v>
      </c>
      <c r="V144" s="358">
        <f t="shared" si="75"/>
        <v>530819.08561617043</v>
      </c>
      <c r="W144" s="359">
        <f t="shared" si="69"/>
        <v>196638.64555395098</v>
      </c>
      <c r="Z144" s="354"/>
      <c r="AA144" s="355" t="e">
        <f t="shared" si="70"/>
        <v>#NUM!</v>
      </c>
      <c r="AB144" s="356" t="e">
        <f t="shared" si="71"/>
        <v>#NUM!</v>
      </c>
      <c r="AC144" s="357" t="e">
        <f t="shared" ref="AC144:AD159" si="76">AC143+AA144</f>
        <v>#NUM!</v>
      </c>
      <c r="AD144" s="358" t="e">
        <f t="shared" si="76"/>
        <v>#NUM!</v>
      </c>
      <c r="AE144" s="359" t="e">
        <f t="shared" si="72"/>
        <v>#NUM!</v>
      </c>
    </row>
    <row r="145" spans="2:31" x14ac:dyDescent="0.25">
      <c r="B145" s="354" t="s">
        <v>517</v>
      </c>
      <c r="C145" s="355" t="e">
        <f t="shared" si="61"/>
        <v>#VALUE!</v>
      </c>
      <c r="D145" s="356" t="e">
        <f t="shared" si="62"/>
        <v>#VALUE!</v>
      </c>
      <c r="E145" s="357" t="e">
        <f t="shared" si="63"/>
        <v>#VALUE!</v>
      </c>
      <c r="F145" s="358" t="e">
        <f t="shared" si="63"/>
        <v>#VALUE!</v>
      </c>
      <c r="G145" s="359" t="e">
        <f t="shared" si="64"/>
        <v>#VALUE!</v>
      </c>
      <c r="J145" s="354" t="str">
        <f t="shared" si="60"/>
        <v>M136</v>
      </c>
      <c r="K145" s="355">
        <f t="shared" si="65"/>
        <v>2275.0714529449142</v>
      </c>
      <c r="L145" s="356">
        <f t="shared" si="73"/>
        <v>-266.28774682631973</v>
      </c>
      <c r="M145" s="357">
        <f t="shared" si="66"/>
        <v>186236.60107210337</v>
      </c>
      <c r="N145" s="358">
        <f t="shared" si="66"/>
        <v>86957.982960025533</v>
      </c>
      <c r="O145" s="359">
        <f t="shared" si="67"/>
        <v>-34229.60107210328</v>
      </c>
      <c r="R145" s="354"/>
      <c r="S145" s="355">
        <f t="shared" si="68"/>
        <v>5799.718250474255</v>
      </c>
      <c r="T145" s="356">
        <f t="shared" si="74"/>
        <v>1638.6553796162582</v>
      </c>
      <c r="U145" s="357">
        <f t="shared" si="75"/>
        <v>479161.07269652339</v>
      </c>
      <c r="V145" s="358">
        <f t="shared" si="75"/>
        <v>532457.74099578673</v>
      </c>
      <c r="W145" s="359">
        <f t="shared" si="69"/>
        <v>190838.92730347672</v>
      </c>
      <c r="Z145" s="354"/>
      <c r="AA145" s="355" t="e">
        <f t="shared" si="70"/>
        <v>#NUM!</v>
      </c>
      <c r="AB145" s="356" t="e">
        <f t="shared" si="71"/>
        <v>#NUM!</v>
      </c>
      <c r="AC145" s="357" t="e">
        <f t="shared" si="76"/>
        <v>#NUM!</v>
      </c>
      <c r="AD145" s="358" t="e">
        <f t="shared" si="76"/>
        <v>#NUM!</v>
      </c>
      <c r="AE145" s="359" t="e">
        <f t="shared" si="72"/>
        <v>#NUM!</v>
      </c>
    </row>
    <row r="146" spans="2:31" x14ac:dyDescent="0.25">
      <c r="B146" s="354" t="s">
        <v>518</v>
      </c>
      <c r="C146" s="355" t="e">
        <f t="shared" si="61"/>
        <v>#VALUE!</v>
      </c>
      <c r="D146" s="356" t="e">
        <f t="shared" si="62"/>
        <v>#VALUE!</v>
      </c>
      <c r="E146" s="357" t="e">
        <f t="shared" si="63"/>
        <v>#VALUE!</v>
      </c>
      <c r="F146" s="358" t="e">
        <f t="shared" si="63"/>
        <v>#VALUE!</v>
      </c>
      <c r="G146" s="359" t="e">
        <f t="shared" si="64"/>
        <v>#VALUE!</v>
      </c>
      <c r="J146" s="354" t="str">
        <f t="shared" si="60"/>
        <v>M137</v>
      </c>
      <c r="K146" s="355">
        <f t="shared" si="65"/>
        <v>2294.0303817194549</v>
      </c>
      <c r="L146" s="356">
        <f t="shared" si="73"/>
        <v>-285.24667560086067</v>
      </c>
      <c r="M146" s="357">
        <f t="shared" si="66"/>
        <v>188530.63145382283</v>
      </c>
      <c r="N146" s="358">
        <f t="shared" si="66"/>
        <v>86672.736284424667</v>
      </c>
      <c r="O146" s="359">
        <f t="shared" si="67"/>
        <v>-36523.631453822738</v>
      </c>
      <c r="R146" s="354"/>
      <c r="S146" s="355">
        <f t="shared" si="68"/>
        <v>5848.0492358948741</v>
      </c>
      <c r="T146" s="356">
        <f t="shared" si="74"/>
        <v>1590.3243941956393</v>
      </c>
      <c r="U146" s="357">
        <f t="shared" si="75"/>
        <v>485009.12193241826</v>
      </c>
      <c r="V146" s="358">
        <f t="shared" si="75"/>
        <v>534048.06538998242</v>
      </c>
      <c r="W146" s="359">
        <f t="shared" si="69"/>
        <v>184990.87806758186</v>
      </c>
      <c r="Z146" s="354"/>
      <c r="AA146" s="355" t="e">
        <f t="shared" si="70"/>
        <v>#NUM!</v>
      </c>
      <c r="AB146" s="356" t="e">
        <f t="shared" si="71"/>
        <v>#NUM!</v>
      </c>
      <c r="AC146" s="357" t="e">
        <f t="shared" si="76"/>
        <v>#NUM!</v>
      </c>
      <c r="AD146" s="358" t="e">
        <f t="shared" si="76"/>
        <v>#NUM!</v>
      </c>
      <c r="AE146" s="359" t="e">
        <f t="shared" si="72"/>
        <v>#NUM!</v>
      </c>
    </row>
    <row r="147" spans="2:31" x14ac:dyDescent="0.25">
      <c r="B147" s="354" t="s">
        <v>519</v>
      </c>
      <c r="C147" s="355" t="e">
        <f t="shared" si="61"/>
        <v>#VALUE!</v>
      </c>
      <c r="D147" s="356" t="e">
        <f t="shared" si="62"/>
        <v>#VALUE!</v>
      </c>
      <c r="E147" s="357" t="e">
        <f t="shared" si="63"/>
        <v>#VALUE!</v>
      </c>
      <c r="F147" s="358" t="e">
        <f t="shared" si="63"/>
        <v>#VALUE!</v>
      </c>
      <c r="G147" s="359" t="e">
        <f t="shared" si="64"/>
        <v>#VALUE!</v>
      </c>
      <c r="J147" s="354" t="str">
        <f t="shared" si="60"/>
        <v>M138</v>
      </c>
      <c r="K147" s="355">
        <f t="shared" si="65"/>
        <v>2313.1473015671172</v>
      </c>
      <c r="L147" s="356">
        <f t="shared" si="73"/>
        <v>-304.3635954485228</v>
      </c>
      <c r="M147" s="357">
        <f t="shared" si="66"/>
        <v>190843.77875538994</v>
      </c>
      <c r="N147" s="358">
        <f t="shared" si="66"/>
        <v>86368.372688976146</v>
      </c>
      <c r="O147" s="359">
        <f t="shared" si="67"/>
        <v>-38836.778755389852</v>
      </c>
      <c r="R147" s="354"/>
      <c r="S147" s="355">
        <f t="shared" si="68"/>
        <v>5896.782979527331</v>
      </c>
      <c r="T147" s="356">
        <f t="shared" si="74"/>
        <v>1541.5906505631822</v>
      </c>
      <c r="U147" s="357">
        <f t="shared" si="75"/>
        <v>490905.90491194557</v>
      </c>
      <c r="V147" s="358">
        <f t="shared" si="75"/>
        <v>535589.65604054555</v>
      </c>
      <c r="W147" s="359">
        <f t="shared" si="69"/>
        <v>179094.09508805451</v>
      </c>
      <c r="Z147" s="354"/>
      <c r="AA147" s="355" t="e">
        <f t="shared" si="70"/>
        <v>#NUM!</v>
      </c>
      <c r="AB147" s="356" t="e">
        <f t="shared" si="71"/>
        <v>#NUM!</v>
      </c>
      <c r="AC147" s="357" t="e">
        <f t="shared" si="76"/>
        <v>#NUM!</v>
      </c>
      <c r="AD147" s="358" t="e">
        <f t="shared" si="76"/>
        <v>#NUM!</v>
      </c>
      <c r="AE147" s="359" t="e">
        <f t="shared" si="72"/>
        <v>#NUM!</v>
      </c>
    </row>
    <row r="148" spans="2:31" x14ac:dyDescent="0.25">
      <c r="B148" s="354" t="s">
        <v>520</v>
      </c>
      <c r="C148" s="355" t="e">
        <f t="shared" si="61"/>
        <v>#VALUE!</v>
      </c>
      <c r="D148" s="356" t="e">
        <f t="shared" si="62"/>
        <v>#VALUE!</v>
      </c>
      <c r="E148" s="357" t="e">
        <f t="shared" si="63"/>
        <v>#VALUE!</v>
      </c>
      <c r="F148" s="358" t="e">
        <f t="shared" si="63"/>
        <v>#VALUE!</v>
      </c>
      <c r="G148" s="359" t="e">
        <f t="shared" si="64"/>
        <v>#VALUE!</v>
      </c>
      <c r="J148" s="354" t="str">
        <f t="shared" si="60"/>
        <v>M139</v>
      </c>
      <c r="K148" s="355">
        <f t="shared" si="65"/>
        <v>2332.4235290801766</v>
      </c>
      <c r="L148" s="356">
        <f t="shared" si="73"/>
        <v>-323.63982296158213</v>
      </c>
      <c r="M148" s="357">
        <f t="shared" si="66"/>
        <v>193176.20228447011</v>
      </c>
      <c r="N148" s="358">
        <f t="shared" si="66"/>
        <v>86044.732866014558</v>
      </c>
      <c r="O148" s="359">
        <f t="shared" si="67"/>
        <v>-41169.202284470026</v>
      </c>
      <c r="R148" s="354"/>
      <c r="S148" s="355">
        <f t="shared" si="68"/>
        <v>5945.9228376900592</v>
      </c>
      <c r="T148" s="356">
        <f t="shared" si="74"/>
        <v>1492.4507924004542</v>
      </c>
      <c r="U148" s="357">
        <f t="shared" si="75"/>
        <v>496851.82774963562</v>
      </c>
      <c r="V148" s="358">
        <f t="shared" si="75"/>
        <v>537082.10683294595</v>
      </c>
      <c r="W148" s="359">
        <f t="shared" si="69"/>
        <v>173148.17225036444</v>
      </c>
      <c r="Z148" s="354"/>
      <c r="AA148" s="355" t="e">
        <f t="shared" si="70"/>
        <v>#NUM!</v>
      </c>
      <c r="AB148" s="356" t="e">
        <f t="shared" si="71"/>
        <v>#NUM!</v>
      </c>
      <c r="AC148" s="357" t="e">
        <f t="shared" si="76"/>
        <v>#NUM!</v>
      </c>
      <c r="AD148" s="358" t="e">
        <f t="shared" si="76"/>
        <v>#NUM!</v>
      </c>
      <c r="AE148" s="359" t="e">
        <f t="shared" si="72"/>
        <v>#NUM!</v>
      </c>
    </row>
    <row r="149" spans="2:31" x14ac:dyDescent="0.25">
      <c r="B149" s="354" t="s">
        <v>521</v>
      </c>
      <c r="C149" s="355" t="e">
        <f t="shared" si="61"/>
        <v>#VALUE!</v>
      </c>
      <c r="D149" s="356" t="e">
        <f t="shared" si="62"/>
        <v>#VALUE!</v>
      </c>
      <c r="E149" s="357" t="e">
        <f t="shared" si="63"/>
        <v>#VALUE!</v>
      </c>
      <c r="F149" s="358" t="e">
        <f t="shared" si="63"/>
        <v>#VALUE!</v>
      </c>
      <c r="G149" s="359" t="e">
        <f t="shared" si="64"/>
        <v>#VALUE!</v>
      </c>
      <c r="J149" s="354" t="str">
        <f t="shared" si="60"/>
        <v>M140</v>
      </c>
      <c r="K149" s="355">
        <f t="shared" si="65"/>
        <v>2351.8603918225112</v>
      </c>
      <c r="L149" s="356">
        <f t="shared" si="73"/>
        <v>-343.07668570391689</v>
      </c>
      <c r="M149" s="357">
        <f t="shared" si="66"/>
        <v>195528.06267629261</v>
      </c>
      <c r="N149" s="358">
        <f t="shared" si="66"/>
        <v>85701.656180310645</v>
      </c>
      <c r="O149" s="359">
        <f t="shared" si="67"/>
        <v>-43521.062676292539</v>
      </c>
      <c r="R149" s="354"/>
      <c r="S149" s="355">
        <f t="shared" si="68"/>
        <v>5995.4721946708096</v>
      </c>
      <c r="T149" s="356">
        <f t="shared" si="74"/>
        <v>1442.9014354197036</v>
      </c>
      <c r="U149" s="357">
        <f t="shared" si="75"/>
        <v>502847.29994430643</v>
      </c>
      <c r="V149" s="358">
        <f t="shared" si="75"/>
        <v>538525.00826836564</v>
      </c>
      <c r="W149" s="359">
        <f t="shared" si="69"/>
        <v>167152.70005569363</v>
      </c>
      <c r="Z149" s="354"/>
      <c r="AA149" s="355" t="e">
        <f t="shared" si="70"/>
        <v>#NUM!</v>
      </c>
      <c r="AB149" s="356" t="e">
        <f t="shared" si="71"/>
        <v>#NUM!</v>
      </c>
      <c r="AC149" s="357" t="e">
        <f t="shared" si="76"/>
        <v>#NUM!</v>
      </c>
      <c r="AD149" s="358" t="e">
        <f t="shared" si="76"/>
        <v>#NUM!</v>
      </c>
      <c r="AE149" s="359" t="e">
        <f t="shared" si="72"/>
        <v>#NUM!</v>
      </c>
    </row>
    <row r="150" spans="2:31" x14ac:dyDescent="0.25">
      <c r="B150" s="354" t="s">
        <v>522</v>
      </c>
      <c r="C150" s="355" t="e">
        <f t="shared" si="61"/>
        <v>#VALUE!</v>
      </c>
      <c r="D150" s="356" t="e">
        <f t="shared" si="62"/>
        <v>#VALUE!</v>
      </c>
      <c r="E150" s="357" t="e">
        <f t="shared" si="63"/>
        <v>#VALUE!</v>
      </c>
      <c r="F150" s="358" t="e">
        <f t="shared" si="63"/>
        <v>#VALUE!</v>
      </c>
      <c r="G150" s="359" t="e">
        <f t="shared" si="64"/>
        <v>#VALUE!</v>
      </c>
      <c r="J150" s="354" t="str">
        <f t="shared" si="60"/>
        <v>M141</v>
      </c>
      <c r="K150" s="355">
        <f t="shared" si="65"/>
        <v>2371.4592284210321</v>
      </c>
      <c r="L150" s="356">
        <f t="shared" si="73"/>
        <v>-362.6755223024378</v>
      </c>
      <c r="M150" s="357">
        <f t="shared" si="66"/>
        <v>197899.52190471365</v>
      </c>
      <c r="N150" s="358">
        <f t="shared" si="66"/>
        <v>85338.980658008208</v>
      </c>
      <c r="O150" s="359">
        <f t="shared" si="67"/>
        <v>-45892.521904713569</v>
      </c>
      <c r="R150" s="354"/>
      <c r="S150" s="355">
        <f t="shared" si="68"/>
        <v>6045.4344629597326</v>
      </c>
      <c r="T150" s="356">
        <f t="shared" si="74"/>
        <v>1392.9391671307801</v>
      </c>
      <c r="U150" s="357">
        <f t="shared" si="75"/>
        <v>508892.73440726614</v>
      </c>
      <c r="V150" s="358">
        <f t="shared" si="75"/>
        <v>539917.94743549637</v>
      </c>
      <c r="W150" s="359">
        <f t="shared" si="69"/>
        <v>161107.26559273389</v>
      </c>
      <c r="Z150" s="354"/>
      <c r="AA150" s="355" t="e">
        <f t="shared" si="70"/>
        <v>#NUM!</v>
      </c>
      <c r="AB150" s="356" t="e">
        <f t="shared" si="71"/>
        <v>#NUM!</v>
      </c>
      <c r="AC150" s="357" t="e">
        <f t="shared" si="76"/>
        <v>#NUM!</v>
      </c>
      <c r="AD150" s="358" t="e">
        <f t="shared" si="76"/>
        <v>#NUM!</v>
      </c>
      <c r="AE150" s="359" t="e">
        <f t="shared" si="72"/>
        <v>#NUM!</v>
      </c>
    </row>
    <row r="151" spans="2:31" x14ac:dyDescent="0.25">
      <c r="B151" s="354" t="s">
        <v>523</v>
      </c>
      <c r="C151" s="355" t="e">
        <f t="shared" si="61"/>
        <v>#VALUE!</v>
      </c>
      <c r="D151" s="356" t="e">
        <f t="shared" si="62"/>
        <v>#VALUE!</v>
      </c>
      <c r="E151" s="357" t="e">
        <f t="shared" si="63"/>
        <v>#VALUE!</v>
      </c>
      <c r="F151" s="358" t="e">
        <f t="shared" si="63"/>
        <v>#VALUE!</v>
      </c>
      <c r="G151" s="359" t="e">
        <f t="shared" si="64"/>
        <v>#VALUE!</v>
      </c>
      <c r="J151" s="354" t="str">
        <f t="shared" si="60"/>
        <v>M142</v>
      </c>
      <c r="K151" s="355">
        <f t="shared" si="65"/>
        <v>2391.2213886578743</v>
      </c>
      <c r="L151" s="356">
        <f t="shared" si="73"/>
        <v>-382.43768253927976</v>
      </c>
      <c r="M151" s="357">
        <f t="shared" si="66"/>
        <v>200290.74329337152</v>
      </c>
      <c r="N151" s="358">
        <f t="shared" si="66"/>
        <v>84956.542975468925</v>
      </c>
      <c r="O151" s="359">
        <f t="shared" si="67"/>
        <v>-48283.743293371444</v>
      </c>
      <c r="R151" s="354"/>
      <c r="S151" s="355">
        <f t="shared" si="68"/>
        <v>6095.8130834843969</v>
      </c>
      <c r="T151" s="356">
        <f t="shared" si="74"/>
        <v>1342.5605466061158</v>
      </c>
      <c r="U151" s="357">
        <f t="shared" si="75"/>
        <v>514988.54749075056</v>
      </c>
      <c r="V151" s="358">
        <f t="shared" si="75"/>
        <v>541260.50798210246</v>
      </c>
      <c r="W151" s="359">
        <f t="shared" si="69"/>
        <v>155011.4525092495</v>
      </c>
      <c r="Z151" s="354"/>
      <c r="AA151" s="355" t="e">
        <f t="shared" si="70"/>
        <v>#NUM!</v>
      </c>
      <c r="AB151" s="356" t="e">
        <f t="shared" si="71"/>
        <v>#NUM!</v>
      </c>
      <c r="AC151" s="357" t="e">
        <f t="shared" si="76"/>
        <v>#NUM!</v>
      </c>
      <c r="AD151" s="358" t="e">
        <f t="shared" si="76"/>
        <v>#NUM!</v>
      </c>
      <c r="AE151" s="359" t="e">
        <f t="shared" si="72"/>
        <v>#NUM!</v>
      </c>
    </row>
    <row r="152" spans="2:31" x14ac:dyDescent="0.25">
      <c r="B152" s="354" t="s">
        <v>524</v>
      </c>
      <c r="C152" s="355" t="e">
        <f t="shared" si="61"/>
        <v>#VALUE!</v>
      </c>
      <c r="D152" s="356" t="e">
        <f t="shared" si="62"/>
        <v>#VALUE!</v>
      </c>
      <c r="E152" s="357" t="e">
        <f t="shared" si="63"/>
        <v>#VALUE!</v>
      </c>
      <c r="F152" s="358" t="e">
        <f t="shared" si="63"/>
        <v>#VALUE!</v>
      </c>
      <c r="G152" s="359" t="e">
        <f t="shared" si="64"/>
        <v>#VALUE!</v>
      </c>
      <c r="J152" s="354" t="str">
        <f t="shared" si="60"/>
        <v>M143</v>
      </c>
      <c r="K152" s="355">
        <f t="shared" si="65"/>
        <v>2411.1482335633564</v>
      </c>
      <c r="L152" s="356">
        <f t="shared" si="73"/>
        <v>-402.36452744476202</v>
      </c>
      <c r="M152" s="357">
        <f t="shared" si="66"/>
        <v>202701.89152693487</v>
      </c>
      <c r="N152" s="358">
        <f t="shared" si="66"/>
        <v>84554.178448024162</v>
      </c>
      <c r="O152" s="359">
        <f t="shared" si="67"/>
        <v>-50694.8915269348</v>
      </c>
      <c r="R152" s="354"/>
      <c r="S152" s="355">
        <f t="shared" si="68"/>
        <v>6146.6115258467671</v>
      </c>
      <c r="T152" s="356">
        <f t="shared" si="74"/>
        <v>1291.7621042437459</v>
      </c>
      <c r="U152" s="357">
        <f t="shared" si="75"/>
        <v>521135.15901659732</v>
      </c>
      <c r="V152" s="358">
        <f t="shared" si="75"/>
        <v>542552.27008634619</v>
      </c>
      <c r="W152" s="359">
        <f t="shared" si="69"/>
        <v>148864.84098340274</v>
      </c>
      <c r="Z152" s="354"/>
      <c r="AA152" s="355" t="e">
        <f t="shared" si="70"/>
        <v>#NUM!</v>
      </c>
      <c r="AB152" s="356" t="e">
        <f t="shared" si="71"/>
        <v>#NUM!</v>
      </c>
      <c r="AC152" s="357" t="e">
        <f t="shared" si="76"/>
        <v>#NUM!</v>
      </c>
      <c r="AD152" s="358" t="e">
        <f t="shared" si="76"/>
        <v>#NUM!</v>
      </c>
      <c r="AE152" s="359" t="e">
        <f t="shared" si="72"/>
        <v>#NUM!</v>
      </c>
    </row>
    <row r="153" spans="2:31" x14ac:dyDescent="0.25">
      <c r="B153" s="354" t="s">
        <v>525</v>
      </c>
      <c r="C153" s="355" t="e">
        <f t="shared" si="61"/>
        <v>#VALUE!</v>
      </c>
      <c r="D153" s="356" t="e">
        <f t="shared" si="62"/>
        <v>#VALUE!</v>
      </c>
      <c r="E153" s="357" t="e">
        <f t="shared" si="63"/>
        <v>#VALUE!</v>
      </c>
      <c r="F153" s="358" t="e">
        <f t="shared" si="63"/>
        <v>#VALUE!</v>
      </c>
      <c r="G153" s="359" t="e">
        <f t="shared" si="64"/>
        <v>#VALUE!</v>
      </c>
      <c r="J153" s="354" t="str">
        <f t="shared" si="60"/>
        <v>M144</v>
      </c>
      <c r="K153" s="355">
        <f t="shared" si="65"/>
        <v>2431.2411355097179</v>
      </c>
      <c r="L153" s="356">
        <f t="shared" si="73"/>
        <v>-422.4574293911233</v>
      </c>
      <c r="M153" s="357">
        <f t="shared" si="66"/>
        <v>205133.13266244458</v>
      </c>
      <c r="N153" s="358">
        <f t="shared" si="66"/>
        <v>84131.721018633034</v>
      </c>
      <c r="O153" s="359">
        <f t="shared" si="67"/>
        <v>-53126.132662444521</v>
      </c>
      <c r="R153" s="354"/>
      <c r="S153" s="355">
        <f t="shared" si="68"/>
        <v>6197.8332885621567</v>
      </c>
      <c r="T153" s="356">
        <f t="shared" si="74"/>
        <v>1240.5403415283561</v>
      </c>
      <c r="U153" s="357">
        <f t="shared" si="75"/>
        <v>527332.99230515945</v>
      </c>
      <c r="V153" s="358">
        <f t="shared" si="75"/>
        <v>543792.81042787456</v>
      </c>
      <c r="W153" s="359">
        <f t="shared" si="69"/>
        <v>142667.00769484058</v>
      </c>
      <c r="Z153" s="354"/>
      <c r="AA153" s="355" t="e">
        <f t="shared" si="70"/>
        <v>#NUM!</v>
      </c>
      <c r="AB153" s="356" t="e">
        <f t="shared" si="71"/>
        <v>#NUM!</v>
      </c>
      <c r="AC153" s="357" t="e">
        <f t="shared" si="76"/>
        <v>#NUM!</v>
      </c>
      <c r="AD153" s="358" t="e">
        <f t="shared" si="76"/>
        <v>#NUM!</v>
      </c>
      <c r="AE153" s="359" t="e">
        <f t="shared" si="72"/>
        <v>#NUM!</v>
      </c>
    </row>
    <row r="154" spans="2:31" x14ac:dyDescent="0.25">
      <c r="B154" s="354" t="s">
        <v>526</v>
      </c>
      <c r="C154" s="355" t="e">
        <f t="shared" si="61"/>
        <v>#VALUE!</v>
      </c>
      <c r="D154" s="356" t="e">
        <f t="shared" si="62"/>
        <v>#VALUE!</v>
      </c>
      <c r="E154" s="357" t="e">
        <f t="shared" si="63"/>
        <v>#VALUE!</v>
      </c>
      <c r="F154" s="358" t="e">
        <f t="shared" si="63"/>
        <v>#VALUE!</v>
      </c>
      <c r="G154" s="359" t="e">
        <f t="shared" si="64"/>
        <v>#VALUE!</v>
      </c>
      <c r="J154" s="354" t="str">
        <f t="shared" si="60"/>
        <v>M145</v>
      </c>
      <c r="K154" s="355">
        <f t="shared" si="65"/>
        <v>2451.5014783056322</v>
      </c>
      <c r="L154" s="356">
        <f t="shared" si="73"/>
        <v>-442.71777218703767</v>
      </c>
      <c r="M154" s="357">
        <f t="shared" si="66"/>
        <v>207584.63414075022</v>
      </c>
      <c r="N154" s="358">
        <f t="shared" si="66"/>
        <v>83689.003246445995</v>
      </c>
      <c r="O154" s="359">
        <f t="shared" si="67"/>
        <v>-55577.634140750153</v>
      </c>
      <c r="R154" s="354"/>
      <c r="S154" s="355">
        <f t="shared" si="68"/>
        <v>6249.4818993001745</v>
      </c>
      <c r="T154" s="356">
        <f t="shared" si="74"/>
        <v>1188.8917307903382</v>
      </c>
      <c r="U154" s="357">
        <f t="shared" si="75"/>
        <v>533582.47420445958</v>
      </c>
      <c r="V154" s="358">
        <f t="shared" si="75"/>
        <v>544981.70215866494</v>
      </c>
      <c r="W154" s="359">
        <f t="shared" si="69"/>
        <v>136417.52579554039</v>
      </c>
      <c r="Z154" s="354"/>
      <c r="AA154" s="355" t="e">
        <f t="shared" si="70"/>
        <v>#NUM!</v>
      </c>
      <c r="AB154" s="356" t="e">
        <f t="shared" si="71"/>
        <v>#NUM!</v>
      </c>
      <c r="AC154" s="357" t="e">
        <f t="shared" si="76"/>
        <v>#NUM!</v>
      </c>
      <c r="AD154" s="358" t="e">
        <f t="shared" si="76"/>
        <v>#NUM!</v>
      </c>
      <c r="AE154" s="359" t="e">
        <f t="shared" si="72"/>
        <v>#NUM!</v>
      </c>
    </row>
    <row r="155" spans="2:31" x14ac:dyDescent="0.25">
      <c r="B155" s="354" t="s">
        <v>527</v>
      </c>
      <c r="C155" s="355" t="e">
        <f t="shared" si="61"/>
        <v>#VALUE!</v>
      </c>
      <c r="D155" s="356" t="e">
        <f t="shared" si="62"/>
        <v>#VALUE!</v>
      </c>
      <c r="E155" s="357" t="e">
        <f t="shared" si="63"/>
        <v>#VALUE!</v>
      </c>
      <c r="F155" s="358" t="e">
        <f t="shared" si="63"/>
        <v>#VALUE!</v>
      </c>
      <c r="G155" s="359" t="e">
        <f t="shared" si="64"/>
        <v>#VALUE!</v>
      </c>
      <c r="J155" s="354" t="str">
        <f t="shared" si="60"/>
        <v>M146</v>
      </c>
      <c r="K155" s="355">
        <f t="shared" si="65"/>
        <v>2471.9306572915125</v>
      </c>
      <c r="L155" s="356">
        <f t="shared" si="73"/>
        <v>-463.14695117291791</v>
      </c>
      <c r="M155" s="357">
        <f t="shared" si="66"/>
        <v>210056.56479804174</v>
      </c>
      <c r="N155" s="358">
        <f t="shared" si="66"/>
        <v>83225.856295273072</v>
      </c>
      <c r="O155" s="359">
        <f t="shared" si="67"/>
        <v>-58049.564798041669</v>
      </c>
      <c r="R155" s="354"/>
      <c r="S155" s="355">
        <f t="shared" si="68"/>
        <v>6301.5609151276767</v>
      </c>
      <c r="T155" s="356">
        <f t="shared" si="74"/>
        <v>1136.8127149628367</v>
      </c>
      <c r="U155" s="357">
        <f t="shared" si="75"/>
        <v>539884.03511958721</v>
      </c>
      <c r="V155" s="358">
        <f t="shared" si="75"/>
        <v>546118.51487362781</v>
      </c>
      <c r="W155" s="359">
        <f t="shared" si="69"/>
        <v>130115.96488041272</v>
      </c>
      <c r="Z155" s="354"/>
      <c r="AA155" s="355" t="e">
        <f t="shared" si="70"/>
        <v>#NUM!</v>
      </c>
      <c r="AB155" s="356" t="e">
        <f t="shared" si="71"/>
        <v>#NUM!</v>
      </c>
      <c r="AC155" s="357" t="e">
        <f t="shared" si="76"/>
        <v>#NUM!</v>
      </c>
      <c r="AD155" s="358" t="e">
        <f t="shared" si="76"/>
        <v>#NUM!</v>
      </c>
      <c r="AE155" s="359" t="e">
        <f t="shared" si="72"/>
        <v>#NUM!</v>
      </c>
    </row>
    <row r="156" spans="2:31" x14ac:dyDescent="0.25">
      <c r="B156" s="354" t="s">
        <v>528</v>
      </c>
      <c r="C156" s="355" t="e">
        <f t="shared" si="61"/>
        <v>#VALUE!</v>
      </c>
      <c r="D156" s="356" t="e">
        <f t="shared" si="62"/>
        <v>#VALUE!</v>
      </c>
      <c r="E156" s="357" t="e">
        <f t="shared" ref="E156:F171" si="77">E155+C156</f>
        <v>#VALUE!</v>
      </c>
      <c r="F156" s="358" t="e">
        <f t="shared" si="77"/>
        <v>#VALUE!</v>
      </c>
      <c r="G156" s="359" t="e">
        <f t="shared" si="64"/>
        <v>#VALUE!</v>
      </c>
      <c r="J156" s="354" t="str">
        <f t="shared" si="60"/>
        <v>M147</v>
      </c>
      <c r="K156" s="355">
        <f t="shared" si="65"/>
        <v>2492.5300794356081</v>
      </c>
      <c r="L156" s="356">
        <f t="shared" si="73"/>
        <v>-483.74637331701388</v>
      </c>
      <c r="M156" s="357">
        <f t="shared" ref="M156:N171" si="78">M155+K156</f>
        <v>212549.09487747736</v>
      </c>
      <c r="N156" s="358">
        <f t="shared" si="78"/>
        <v>82742.109921956056</v>
      </c>
      <c r="O156" s="359">
        <f t="shared" si="67"/>
        <v>-60542.094877477277</v>
      </c>
      <c r="R156" s="354"/>
      <c r="S156" s="355">
        <f t="shared" si="68"/>
        <v>6354.0739227537406</v>
      </c>
      <c r="T156" s="356">
        <f t="shared" si="74"/>
        <v>1084.2997073367726</v>
      </c>
      <c r="U156" s="357">
        <f t="shared" si="75"/>
        <v>546238.10904234089</v>
      </c>
      <c r="V156" s="358">
        <f t="shared" si="75"/>
        <v>547202.81458096462</v>
      </c>
      <c r="W156" s="359">
        <f t="shared" si="69"/>
        <v>123761.89095765898</v>
      </c>
      <c r="Z156" s="354"/>
      <c r="AA156" s="355" t="e">
        <f t="shared" si="70"/>
        <v>#NUM!</v>
      </c>
      <c r="AB156" s="356" t="e">
        <f t="shared" si="71"/>
        <v>#NUM!</v>
      </c>
      <c r="AC156" s="357" t="e">
        <f t="shared" si="76"/>
        <v>#NUM!</v>
      </c>
      <c r="AD156" s="358" t="e">
        <f t="shared" si="76"/>
        <v>#NUM!</v>
      </c>
      <c r="AE156" s="359" t="e">
        <f t="shared" si="72"/>
        <v>#NUM!</v>
      </c>
    </row>
    <row r="157" spans="2:31" x14ac:dyDescent="0.25">
      <c r="B157" s="354" t="s">
        <v>529</v>
      </c>
      <c r="C157" s="355" t="e">
        <f t="shared" si="61"/>
        <v>#VALUE!</v>
      </c>
      <c r="D157" s="356" t="e">
        <f t="shared" si="62"/>
        <v>#VALUE!</v>
      </c>
      <c r="E157" s="357" t="e">
        <f t="shared" si="77"/>
        <v>#VALUE!</v>
      </c>
      <c r="F157" s="358" t="e">
        <f t="shared" si="77"/>
        <v>#VALUE!</v>
      </c>
      <c r="G157" s="359" t="e">
        <f t="shared" si="64"/>
        <v>#VALUE!</v>
      </c>
      <c r="J157" s="354" t="str">
        <f t="shared" si="60"/>
        <v>M148</v>
      </c>
      <c r="K157" s="355">
        <f t="shared" si="65"/>
        <v>2513.301163430905</v>
      </c>
      <c r="L157" s="356">
        <f t="shared" si="73"/>
        <v>-504.51745731231063</v>
      </c>
      <c r="M157" s="357">
        <f t="shared" si="78"/>
        <v>215062.39604090826</v>
      </c>
      <c r="N157" s="358">
        <f t="shared" si="78"/>
        <v>82237.592464643749</v>
      </c>
      <c r="O157" s="359">
        <f t="shared" si="67"/>
        <v>-63055.396040908185</v>
      </c>
      <c r="R157" s="354"/>
      <c r="S157" s="355">
        <f t="shared" si="68"/>
        <v>6407.0245387766881</v>
      </c>
      <c r="T157" s="356">
        <f t="shared" si="74"/>
        <v>1031.3490913138248</v>
      </c>
      <c r="U157" s="357">
        <f t="shared" si="75"/>
        <v>552645.13358111761</v>
      </c>
      <c r="V157" s="358">
        <f t="shared" si="75"/>
        <v>548234.1636722784</v>
      </c>
      <c r="W157" s="359">
        <f t="shared" si="69"/>
        <v>117354.86641888229</v>
      </c>
      <c r="Z157" s="354"/>
      <c r="AA157" s="355" t="e">
        <f t="shared" si="70"/>
        <v>#NUM!</v>
      </c>
      <c r="AB157" s="356" t="e">
        <f t="shared" si="71"/>
        <v>#NUM!</v>
      </c>
      <c r="AC157" s="357" t="e">
        <f t="shared" si="76"/>
        <v>#NUM!</v>
      </c>
      <c r="AD157" s="358" t="e">
        <f t="shared" si="76"/>
        <v>#NUM!</v>
      </c>
      <c r="AE157" s="359" t="e">
        <f t="shared" si="72"/>
        <v>#NUM!</v>
      </c>
    </row>
    <row r="158" spans="2:31" x14ac:dyDescent="0.25">
      <c r="B158" s="354" t="s">
        <v>530</v>
      </c>
      <c r="C158" s="355" t="e">
        <f t="shared" si="61"/>
        <v>#VALUE!</v>
      </c>
      <c r="D158" s="356" t="e">
        <f t="shared" si="62"/>
        <v>#VALUE!</v>
      </c>
      <c r="E158" s="357" t="e">
        <f t="shared" si="77"/>
        <v>#VALUE!</v>
      </c>
      <c r="F158" s="358" t="e">
        <f t="shared" si="77"/>
        <v>#VALUE!</v>
      </c>
      <c r="G158" s="359" t="e">
        <f t="shared" si="64"/>
        <v>#VALUE!</v>
      </c>
      <c r="J158" s="354" t="str">
        <f t="shared" si="60"/>
        <v>M149</v>
      </c>
      <c r="K158" s="355">
        <f t="shared" si="65"/>
        <v>2534.2453397928293</v>
      </c>
      <c r="L158" s="356">
        <f t="shared" si="73"/>
        <v>-525.46163367423492</v>
      </c>
      <c r="M158" s="357">
        <f t="shared" si="78"/>
        <v>217596.6413807011</v>
      </c>
      <c r="N158" s="358">
        <f t="shared" si="78"/>
        <v>81712.130830969516</v>
      </c>
      <c r="O158" s="359">
        <f t="shared" si="67"/>
        <v>-65589.64138070101</v>
      </c>
      <c r="R158" s="354"/>
      <c r="S158" s="355">
        <f t="shared" si="68"/>
        <v>6460.416409933161</v>
      </c>
      <c r="T158" s="356">
        <f t="shared" si="74"/>
        <v>977.95722015735237</v>
      </c>
      <c r="U158" s="357">
        <f t="shared" si="75"/>
        <v>559105.54999105074</v>
      </c>
      <c r="V158" s="358">
        <f t="shared" si="75"/>
        <v>549212.12089243578</v>
      </c>
      <c r="W158" s="359">
        <f t="shared" si="69"/>
        <v>110894.45000894912</v>
      </c>
      <c r="Z158" s="354"/>
      <c r="AA158" s="355" t="e">
        <f t="shared" si="70"/>
        <v>#NUM!</v>
      </c>
      <c r="AB158" s="356" t="e">
        <f t="shared" si="71"/>
        <v>#NUM!</v>
      </c>
      <c r="AC158" s="357" t="e">
        <f t="shared" si="76"/>
        <v>#NUM!</v>
      </c>
      <c r="AD158" s="358" t="e">
        <f t="shared" si="76"/>
        <v>#NUM!</v>
      </c>
      <c r="AE158" s="359" t="e">
        <f t="shared" si="72"/>
        <v>#NUM!</v>
      </c>
    </row>
    <row r="159" spans="2:31" x14ac:dyDescent="0.25">
      <c r="B159" s="354" t="s">
        <v>531</v>
      </c>
      <c r="C159" s="355" t="e">
        <f t="shared" si="61"/>
        <v>#VALUE!</v>
      </c>
      <c r="D159" s="356" t="e">
        <f t="shared" si="62"/>
        <v>#VALUE!</v>
      </c>
      <c r="E159" s="357" t="e">
        <f t="shared" si="77"/>
        <v>#VALUE!</v>
      </c>
      <c r="F159" s="358" t="e">
        <f t="shared" si="77"/>
        <v>#VALUE!</v>
      </c>
      <c r="G159" s="359" t="e">
        <f t="shared" si="64"/>
        <v>#VALUE!</v>
      </c>
      <c r="J159" s="354" t="str">
        <f t="shared" si="60"/>
        <v>M150</v>
      </c>
      <c r="K159" s="355">
        <f t="shared" si="65"/>
        <v>2555.3640509577695</v>
      </c>
      <c r="L159" s="356">
        <f t="shared" si="73"/>
        <v>-546.58034483917504</v>
      </c>
      <c r="M159" s="357">
        <f t="shared" si="78"/>
        <v>220152.00543165888</v>
      </c>
      <c r="N159" s="358">
        <f t="shared" si="78"/>
        <v>81165.550486130334</v>
      </c>
      <c r="O159" s="359">
        <f t="shared" si="67"/>
        <v>-68145.005431658778</v>
      </c>
      <c r="R159" s="354"/>
      <c r="S159" s="355">
        <f t="shared" si="68"/>
        <v>6514.2532133492705</v>
      </c>
      <c r="T159" s="356">
        <f t="shared" si="74"/>
        <v>924.12041674124259</v>
      </c>
      <c r="U159" s="357">
        <f t="shared" si="75"/>
        <v>565619.8032044</v>
      </c>
      <c r="V159" s="358">
        <f t="shared" si="75"/>
        <v>550136.24130917701</v>
      </c>
      <c r="W159" s="359">
        <f t="shared" si="69"/>
        <v>104380.19679559986</v>
      </c>
      <c r="Z159" s="354"/>
      <c r="AA159" s="355" t="e">
        <f t="shared" si="70"/>
        <v>#NUM!</v>
      </c>
      <c r="AB159" s="356" t="e">
        <f t="shared" si="71"/>
        <v>#NUM!</v>
      </c>
      <c r="AC159" s="357" t="e">
        <f t="shared" si="76"/>
        <v>#NUM!</v>
      </c>
      <c r="AD159" s="358" t="e">
        <f t="shared" si="76"/>
        <v>#NUM!</v>
      </c>
      <c r="AE159" s="359" t="e">
        <f t="shared" si="72"/>
        <v>#NUM!</v>
      </c>
    </row>
    <row r="160" spans="2:31" x14ac:dyDescent="0.25">
      <c r="B160" s="354" t="s">
        <v>532</v>
      </c>
      <c r="C160" s="355" t="e">
        <f t="shared" si="61"/>
        <v>#VALUE!</v>
      </c>
      <c r="D160" s="356" t="e">
        <f t="shared" si="62"/>
        <v>#VALUE!</v>
      </c>
      <c r="E160" s="357" t="e">
        <f t="shared" si="77"/>
        <v>#VALUE!</v>
      </c>
      <c r="F160" s="358" t="e">
        <f t="shared" si="77"/>
        <v>#VALUE!</v>
      </c>
      <c r="G160" s="359" t="e">
        <f t="shared" si="64"/>
        <v>#VALUE!</v>
      </c>
      <c r="J160" s="354" t="str">
        <f t="shared" si="60"/>
        <v>M151</v>
      </c>
      <c r="K160" s="355">
        <f t="shared" si="65"/>
        <v>2576.6587513824174</v>
      </c>
      <c r="L160" s="356">
        <f t="shared" si="73"/>
        <v>-567.87504526382315</v>
      </c>
      <c r="M160" s="357">
        <f t="shared" si="78"/>
        <v>222728.66418304128</v>
      </c>
      <c r="N160" s="358">
        <f t="shared" si="78"/>
        <v>80597.675440866515</v>
      </c>
      <c r="O160" s="359">
        <f t="shared" si="67"/>
        <v>-70721.664183041197</v>
      </c>
      <c r="R160" s="354"/>
      <c r="S160" s="355">
        <f t="shared" si="68"/>
        <v>6568.5386567938476</v>
      </c>
      <c r="T160" s="356">
        <f t="shared" si="74"/>
        <v>869.83497329666545</v>
      </c>
      <c r="U160" s="357">
        <f t="shared" ref="U160:V175" si="79">U159+S160</f>
        <v>572188.34186119388</v>
      </c>
      <c r="V160" s="358">
        <f t="shared" si="79"/>
        <v>551006.07628247363</v>
      </c>
      <c r="W160" s="359">
        <f t="shared" si="69"/>
        <v>97811.658138806</v>
      </c>
      <c r="Z160" s="354"/>
      <c r="AA160" s="355" t="e">
        <f t="shared" si="70"/>
        <v>#NUM!</v>
      </c>
      <c r="AB160" s="356" t="e">
        <f t="shared" si="71"/>
        <v>#NUM!</v>
      </c>
      <c r="AC160" s="357" t="e">
        <f t="shared" ref="AC160:AD175" si="80">AC159+AA160</f>
        <v>#NUM!</v>
      </c>
      <c r="AD160" s="358" t="e">
        <f t="shared" si="80"/>
        <v>#NUM!</v>
      </c>
      <c r="AE160" s="359" t="e">
        <f t="shared" si="72"/>
        <v>#NUM!</v>
      </c>
    </row>
    <row r="161" spans="2:31" x14ac:dyDescent="0.25">
      <c r="B161" s="354" t="s">
        <v>533</v>
      </c>
      <c r="C161" s="355" t="e">
        <f t="shared" si="61"/>
        <v>#VALUE!</v>
      </c>
      <c r="D161" s="356" t="e">
        <f t="shared" si="62"/>
        <v>#VALUE!</v>
      </c>
      <c r="E161" s="357" t="e">
        <f t="shared" si="77"/>
        <v>#VALUE!</v>
      </c>
      <c r="F161" s="358" t="e">
        <f t="shared" si="77"/>
        <v>#VALUE!</v>
      </c>
      <c r="G161" s="359" t="e">
        <f t="shared" si="64"/>
        <v>#VALUE!</v>
      </c>
      <c r="J161" s="354" t="str">
        <f t="shared" si="60"/>
        <v>M152</v>
      </c>
      <c r="K161" s="355">
        <f t="shared" si="65"/>
        <v>2598.1309076439375</v>
      </c>
      <c r="L161" s="356">
        <f t="shared" si="73"/>
        <v>-589.34720152534328</v>
      </c>
      <c r="M161" s="357">
        <f t="shared" si="78"/>
        <v>225326.79509068522</v>
      </c>
      <c r="N161" s="358">
        <f t="shared" si="78"/>
        <v>80008.328239341165</v>
      </c>
      <c r="O161" s="359">
        <f t="shared" si="67"/>
        <v>-73319.795090685133</v>
      </c>
      <c r="R161" s="354"/>
      <c r="S161" s="355">
        <f t="shared" si="68"/>
        <v>6623.2764789337962</v>
      </c>
      <c r="T161" s="356">
        <f t="shared" si="74"/>
        <v>815.09715115671668</v>
      </c>
      <c r="U161" s="357">
        <f t="shared" si="79"/>
        <v>578811.61834012764</v>
      </c>
      <c r="V161" s="358">
        <f t="shared" si="79"/>
        <v>551821.17343363038</v>
      </c>
      <c r="W161" s="359">
        <f t="shared" si="69"/>
        <v>91188.381659872204</v>
      </c>
      <c r="Z161" s="354"/>
      <c r="AA161" s="355" t="e">
        <f t="shared" si="70"/>
        <v>#NUM!</v>
      </c>
      <c r="AB161" s="356" t="e">
        <f t="shared" si="71"/>
        <v>#NUM!</v>
      </c>
      <c r="AC161" s="357" t="e">
        <f t="shared" si="80"/>
        <v>#NUM!</v>
      </c>
      <c r="AD161" s="358" t="e">
        <f t="shared" si="80"/>
        <v>#NUM!</v>
      </c>
      <c r="AE161" s="359" t="e">
        <f t="shared" si="72"/>
        <v>#NUM!</v>
      </c>
    </row>
    <row r="162" spans="2:31" x14ac:dyDescent="0.25">
      <c r="B162" s="354" t="s">
        <v>534</v>
      </c>
      <c r="C162" s="355" t="e">
        <f t="shared" si="61"/>
        <v>#VALUE!</v>
      </c>
      <c r="D162" s="356" t="e">
        <f t="shared" si="62"/>
        <v>#VALUE!</v>
      </c>
      <c r="E162" s="357" t="e">
        <f t="shared" si="77"/>
        <v>#VALUE!</v>
      </c>
      <c r="F162" s="358" t="e">
        <f t="shared" si="77"/>
        <v>#VALUE!</v>
      </c>
      <c r="G162" s="359" t="e">
        <f t="shared" si="64"/>
        <v>#VALUE!</v>
      </c>
      <c r="J162" s="354" t="str">
        <f t="shared" si="60"/>
        <v>M153</v>
      </c>
      <c r="K162" s="355">
        <f t="shared" si="65"/>
        <v>2619.7819985409706</v>
      </c>
      <c r="L162" s="356">
        <f t="shared" si="73"/>
        <v>-610.99829242237615</v>
      </c>
      <c r="M162" s="357">
        <f t="shared" si="78"/>
        <v>227946.57708922619</v>
      </c>
      <c r="N162" s="358">
        <f t="shared" si="78"/>
        <v>79397.329946918791</v>
      </c>
      <c r="O162" s="359">
        <f t="shared" si="67"/>
        <v>-75939.577089226106</v>
      </c>
      <c r="R162" s="354"/>
      <c r="S162" s="355">
        <f t="shared" si="68"/>
        <v>6678.4704495915776</v>
      </c>
      <c r="T162" s="356">
        <f t="shared" si="74"/>
        <v>759.90318049893506</v>
      </c>
      <c r="U162" s="357">
        <f t="shared" si="79"/>
        <v>585490.08878971916</v>
      </c>
      <c r="V162" s="358">
        <f t="shared" si="79"/>
        <v>552581.07661412936</v>
      </c>
      <c r="W162" s="359">
        <f t="shared" si="69"/>
        <v>84509.911210280625</v>
      </c>
      <c r="Z162" s="354"/>
      <c r="AA162" s="355" t="e">
        <f t="shared" si="70"/>
        <v>#NUM!</v>
      </c>
      <c r="AB162" s="356" t="e">
        <f t="shared" si="71"/>
        <v>#NUM!</v>
      </c>
      <c r="AC162" s="357" t="e">
        <f t="shared" si="80"/>
        <v>#NUM!</v>
      </c>
      <c r="AD162" s="358" t="e">
        <f t="shared" si="80"/>
        <v>#NUM!</v>
      </c>
      <c r="AE162" s="359" t="e">
        <f t="shared" si="72"/>
        <v>#NUM!</v>
      </c>
    </row>
    <row r="163" spans="2:31" x14ac:dyDescent="0.25">
      <c r="B163" s="354" t="s">
        <v>535</v>
      </c>
      <c r="C163" s="355" t="e">
        <f t="shared" si="61"/>
        <v>#VALUE!</v>
      </c>
      <c r="D163" s="356" t="e">
        <f t="shared" si="62"/>
        <v>#VALUE!</v>
      </c>
      <c r="E163" s="357" t="e">
        <f t="shared" si="77"/>
        <v>#VALUE!</v>
      </c>
      <c r="F163" s="358" t="e">
        <f t="shared" si="77"/>
        <v>#VALUE!</v>
      </c>
      <c r="G163" s="359" t="e">
        <f t="shared" si="64"/>
        <v>#VALUE!</v>
      </c>
      <c r="J163" s="354" t="str">
        <f t="shared" si="60"/>
        <v>M154</v>
      </c>
      <c r="K163" s="355">
        <f t="shared" si="65"/>
        <v>2641.6135151954786</v>
      </c>
      <c r="L163" s="356">
        <f t="shared" si="73"/>
        <v>-632.8298090768842</v>
      </c>
      <c r="M163" s="357">
        <f t="shared" si="78"/>
        <v>230588.19060442166</v>
      </c>
      <c r="N163" s="358">
        <f t="shared" si="78"/>
        <v>78764.500137841911</v>
      </c>
      <c r="O163" s="359">
        <f t="shared" si="67"/>
        <v>-78581.190604421587</v>
      </c>
      <c r="R163" s="354"/>
      <c r="S163" s="355">
        <f t="shared" si="68"/>
        <v>6734.1243700048408</v>
      </c>
      <c r="T163" s="356">
        <f t="shared" si="74"/>
        <v>704.24926008567184</v>
      </c>
      <c r="U163" s="357">
        <f t="shared" si="79"/>
        <v>592224.21315972402</v>
      </c>
      <c r="V163" s="358">
        <f t="shared" si="79"/>
        <v>553285.32587421499</v>
      </c>
      <c r="W163" s="359">
        <f t="shared" si="69"/>
        <v>77775.786840275789</v>
      </c>
      <c r="Z163" s="354"/>
      <c r="AA163" s="355" t="e">
        <f t="shared" si="70"/>
        <v>#NUM!</v>
      </c>
      <c r="AB163" s="356" t="e">
        <f t="shared" si="71"/>
        <v>#NUM!</v>
      </c>
      <c r="AC163" s="357" t="e">
        <f t="shared" si="80"/>
        <v>#NUM!</v>
      </c>
      <c r="AD163" s="358" t="e">
        <f t="shared" si="80"/>
        <v>#NUM!</v>
      </c>
      <c r="AE163" s="359" t="e">
        <f t="shared" si="72"/>
        <v>#NUM!</v>
      </c>
    </row>
    <row r="164" spans="2:31" x14ac:dyDescent="0.25">
      <c r="B164" s="354" t="s">
        <v>536</v>
      </c>
      <c r="C164" s="355" t="e">
        <f t="shared" si="61"/>
        <v>#VALUE!</v>
      </c>
      <c r="D164" s="356" t="e">
        <f t="shared" si="62"/>
        <v>#VALUE!</v>
      </c>
      <c r="E164" s="357" t="e">
        <f t="shared" si="77"/>
        <v>#VALUE!</v>
      </c>
      <c r="F164" s="358" t="e">
        <f t="shared" si="77"/>
        <v>#VALUE!</v>
      </c>
      <c r="G164" s="359" t="e">
        <f t="shared" si="64"/>
        <v>#VALUE!</v>
      </c>
      <c r="J164" s="354" t="str">
        <f t="shared" si="60"/>
        <v>M155</v>
      </c>
      <c r="K164" s="355">
        <f t="shared" si="65"/>
        <v>2663.6269611554408</v>
      </c>
      <c r="L164" s="356">
        <f t="shared" si="73"/>
        <v>-654.84325503684659</v>
      </c>
      <c r="M164" s="357">
        <f t="shared" si="78"/>
        <v>233251.8175655771</v>
      </c>
      <c r="N164" s="358">
        <f t="shared" si="78"/>
        <v>78109.656882805066</v>
      </c>
      <c r="O164" s="359">
        <f t="shared" si="67"/>
        <v>-81244.817565577032</v>
      </c>
      <c r="R164" s="354"/>
      <c r="S164" s="355">
        <f t="shared" si="68"/>
        <v>6790.242073088215</v>
      </c>
      <c r="T164" s="356">
        <f t="shared" si="74"/>
        <v>648.13155700229822</v>
      </c>
      <c r="U164" s="357">
        <f t="shared" si="79"/>
        <v>599014.45523281221</v>
      </c>
      <c r="V164" s="358">
        <f t="shared" si="79"/>
        <v>553933.45743121731</v>
      </c>
      <c r="W164" s="359">
        <f t="shared" si="69"/>
        <v>70985.544767187574</v>
      </c>
      <c r="Z164" s="354"/>
      <c r="AA164" s="355" t="e">
        <f t="shared" si="70"/>
        <v>#NUM!</v>
      </c>
      <c r="AB164" s="356" t="e">
        <f t="shared" si="71"/>
        <v>#NUM!</v>
      </c>
      <c r="AC164" s="357" t="e">
        <f t="shared" si="80"/>
        <v>#NUM!</v>
      </c>
      <c r="AD164" s="358" t="e">
        <f t="shared" si="80"/>
        <v>#NUM!</v>
      </c>
      <c r="AE164" s="359" t="e">
        <f t="shared" si="72"/>
        <v>#NUM!</v>
      </c>
    </row>
    <row r="165" spans="2:31" x14ac:dyDescent="0.25">
      <c r="B165" s="354" t="s">
        <v>537</v>
      </c>
      <c r="C165" s="355" t="e">
        <f t="shared" si="61"/>
        <v>#VALUE!</v>
      </c>
      <c r="D165" s="356" t="e">
        <f t="shared" si="62"/>
        <v>#VALUE!</v>
      </c>
      <c r="E165" s="357" t="e">
        <f t="shared" si="77"/>
        <v>#VALUE!</v>
      </c>
      <c r="F165" s="358" t="e">
        <f t="shared" si="77"/>
        <v>#VALUE!</v>
      </c>
      <c r="G165" s="359" t="e">
        <f t="shared" si="64"/>
        <v>#VALUE!</v>
      </c>
      <c r="J165" s="354" t="str">
        <f t="shared" si="60"/>
        <v>M156</v>
      </c>
      <c r="K165" s="355">
        <f t="shared" si="65"/>
        <v>2685.8238524984031</v>
      </c>
      <c r="L165" s="356">
        <f t="shared" si="73"/>
        <v>-677.04014637980856</v>
      </c>
      <c r="M165" s="357">
        <f t="shared" si="78"/>
        <v>235937.64141807551</v>
      </c>
      <c r="N165" s="358">
        <f t="shared" si="78"/>
        <v>77432.616736425261</v>
      </c>
      <c r="O165" s="359">
        <f t="shared" si="67"/>
        <v>-83930.641418075436</v>
      </c>
      <c r="R165" s="354"/>
      <c r="S165" s="355">
        <f t="shared" si="68"/>
        <v>6846.8274236972829</v>
      </c>
      <c r="T165" s="356">
        <f t="shared" si="74"/>
        <v>591.5462063932298</v>
      </c>
      <c r="U165" s="357">
        <f t="shared" si="79"/>
        <v>605861.28265650955</v>
      </c>
      <c r="V165" s="358">
        <f t="shared" si="79"/>
        <v>554525.00363761059</v>
      </c>
      <c r="W165" s="359">
        <f t="shared" si="69"/>
        <v>64138.717343490294</v>
      </c>
      <c r="Z165" s="354"/>
      <c r="AA165" s="355" t="e">
        <f t="shared" si="70"/>
        <v>#NUM!</v>
      </c>
      <c r="AB165" s="356" t="e">
        <f t="shared" si="71"/>
        <v>#NUM!</v>
      </c>
      <c r="AC165" s="357" t="e">
        <f t="shared" si="80"/>
        <v>#NUM!</v>
      </c>
      <c r="AD165" s="358" t="e">
        <f t="shared" si="80"/>
        <v>#NUM!</v>
      </c>
      <c r="AE165" s="359" t="e">
        <f t="shared" si="72"/>
        <v>#NUM!</v>
      </c>
    </row>
    <row r="166" spans="2:31" x14ac:dyDescent="0.25">
      <c r="B166" s="354" t="s">
        <v>538</v>
      </c>
      <c r="C166" s="355" t="e">
        <f t="shared" si="61"/>
        <v>#VALUE!</v>
      </c>
      <c r="D166" s="356" t="e">
        <f t="shared" si="62"/>
        <v>#VALUE!</v>
      </c>
      <c r="E166" s="357" t="e">
        <f t="shared" si="77"/>
        <v>#VALUE!</v>
      </c>
      <c r="F166" s="358" t="e">
        <f t="shared" si="77"/>
        <v>#VALUE!</v>
      </c>
      <c r="G166" s="359" t="e">
        <f t="shared" si="64"/>
        <v>#VALUE!</v>
      </c>
      <c r="J166" s="354" t="str">
        <f t="shared" si="60"/>
        <v>M157</v>
      </c>
      <c r="K166" s="355">
        <f t="shared" si="65"/>
        <v>2708.2057179358899</v>
      </c>
      <c r="L166" s="356">
        <f t="shared" si="73"/>
        <v>-699.42201181729524</v>
      </c>
      <c r="M166" s="357">
        <f t="shared" si="78"/>
        <v>238645.84713601141</v>
      </c>
      <c r="N166" s="358">
        <f t="shared" si="78"/>
        <v>76733.194724607965</v>
      </c>
      <c r="O166" s="359">
        <f t="shared" si="67"/>
        <v>-86638.847136011333</v>
      </c>
      <c r="R166" s="354"/>
      <c r="S166" s="355">
        <f t="shared" si="68"/>
        <v>6903.8843188947603</v>
      </c>
      <c r="T166" s="356">
        <f t="shared" si="74"/>
        <v>534.48931119575241</v>
      </c>
      <c r="U166" s="357">
        <f t="shared" si="79"/>
        <v>612765.16697540425</v>
      </c>
      <c r="V166" s="358">
        <f t="shared" si="79"/>
        <v>555059.49294880638</v>
      </c>
      <c r="W166" s="359">
        <f t="shared" si="69"/>
        <v>57234.833024595537</v>
      </c>
      <c r="Z166" s="354"/>
      <c r="AA166" s="355" t="e">
        <f t="shared" si="70"/>
        <v>#NUM!</v>
      </c>
      <c r="AB166" s="356" t="e">
        <f t="shared" si="71"/>
        <v>#NUM!</v>
      </c>
      <c r="AC166" s="357" t="e">
        <f t="shared" si="80"/>
        <v>#NUM!</v>
      </c>
      <c r="AD166" s="358" t="e">
        <f t="shared" si="80"/>
        <v>#NUM!</v>
      </c>
      <c r="AE166" s="359" t="e">
        <f t="shared" si="72"/>
        <v>#NUM!</v>
      </c>
    </row>
    <row r="167" spans="2:31" x14ac:dyDescent="0.25">
      <c r="B167" s="354" t="s">
        <v>539</v>
      </c>
      <c r="C167" s="355" t="e">
        <f t="shared" si="61"/>
        <v>#VALUE!</v>
      </c>
      <c r="D167" s="356" t="e">
        <f t="shared" si="62"/>
        <v>#VALUE!</v>
      </c>
      <c r="E167" s="357" t="e">
        <f t="shared" si="77"/>
        <v>#VALUE!</v>
      </c>
      <c r="F167" s="358" t="e">
        <f t="shared" si="77"/>
        <v>#VALUE!</v>
      </c>
      <c r="G167" s="359" t="e">
        <f t="shared" si="64"/>
        <v>#VALUE!</v>
      </c>
      <c r="J167" s="354" t="str">
        <f t="shared" si="60"/>
        <v>M158</v>
      </c>
      <c r="K167" s="355">
        <f t="shared" si="65"/>
        <v>2730.7740989186887</v>
      </c>
      <c r="L167" s="356">
        <f t="shared" si="73"/>
        <v>-721.99039280009447</v>
      </c>
      <c r="M167" s="357">
        <f t="shared" si="78"/>
        <v>241376.62123493009</v>
      </c>
      <c r="N167" s="358">
        <f t="shared" si="78"/>
        <v>76011.204331807865</v>
      </c>
      <c r="O167" s="359">
        <f t="shared" si="67"/>
        <v>-89369.621234930019</v>
      </c>
      <c r="R167" s="354"/>
      <c r="S167" s="355">
        <f t="shared" si="68"/>
        <v>6961.4166882188838</v>
      </c>
      <c r="T167" s="356">
        <f t="shared" si="74"/>
        <v>476.95694187162945</v>
      </c>
      <c r="U167" s="357">
        <f t="shared" si="79"/>
        <v>619726.58366362308</v>
      </c>
      <c r="V167" s="358">
        <f t="shared" si="79"/>
        <v>555536.44989067805</v>
      </c>
      <c r="W167" s="359">
        <f t="shared" si="69"/>
        <v>50273.416336376657</v>
      </c>
      <c r="Z167" s="354"/>
      <c r="AA167" s="355" t="e">
        <f t="shared" si="70"/>
        <v>#NUM!</v>
      </c>
      <c r="AB167" s="356" t="e">
        <f t="shared" si="71"/>
        <v>#NUM!</v>
      </c>
      <c r="AC167" s="357" t="e">
        <f t="shared" si="80"/>
        <v>#NUM!</v>
      </c>
      <c r="AD167" s="358" t="e">
        <f t="shared" si="80"/>
        <v>#NUM!</v>
      </c>
      <c r="AE167" s="359" t="e">
        <f t="shared" si="72"/>
        <v>#NUM!</v>
      </c>
    </row>
    <row r="168" spans="2:31" x14ac:dyDescent="0.25">
      <c r="B168" s="354" t="s">
        <v>540</v>
      </c>
      <c r="C168" s="355" t="e">
        <f t="shared" si="61"/>
        <v>#VALUE!</v>
      </c>
      <c r="D168" s="356" t="e">
        <f t="shared" si="62"/>
        <v>#VALUE!</v>
      </c>
      <c r="E168" s="357" t="e">
        <f t="shared" si="77"/>
        <v>#VALUE!</v>
      </c>
      <c r="F168" s="358" t="e">
        <f t="shared" si="77"/>
        <v>#VALUE!</v>
      </c>
      <c r="G168" s="359" t="e">
        <f t="shared" si="64"/>
        <v>#VALUE!</v>
      </c>
      <c r="J168" s="354" t="str">
        <f t="shared" si="60"/>
        <v>M159</v>
      </c>
      <c r="K168" s="355">
        <f t="shared" si="65"/>
        <v>2753.5305497430113</v>
      </c>
      <c r="L168" s="356">
        <f t="shared" si="73"/>
        <v>-744.74684362441678</v>
      </c>
      <c r="M168" s="357">
        <f t="shared" si="78"/>
        <v>244130.1517846731</v>
      </c>
      <c r="N168" s="358">
        <f t="shared" si="78"/>
        <v>75266.457488183441</v>
      </c>
      <c r="O168" s="359">
        <f t="shared" si="67"/>
        <v>-92123.151784673028</v>
      </c>
      <c r="R168" s="354"/>
      <c r="S168" s="355">
        <f t="shared" si="68"/>
        <v>7019.4284939540412</v>
      </c>
      <c r="T168" s="356">
        <f t="shared" si="74"/>
        <v>418.94513613647212</v>
      </c>
      <c r="U168" s="357">
        <f t="shared" si="79"/>
        <v>626746.01215757709</v>
      </c>
      <c r="V168" s="358">
        <f t="shared" si="79"/>
        <v>555955.39502681454</v>
      </c>
      <c r="W168" s="359">
        <f t="shared" si="69"/>
        <v>43253.987842422619</v>
      </c>
      <c r="Z168" s="354"/>
      <c r="AA168" s="355" t="e">
        <f t="shared" si="70"/>
        <v>#NUM!</v>
      </c>
      <c r="AB168" s="356" t="e">
        <f t="shared" si="71"/>
        <v>#NUM!</v>
      </c>
      <c r="AC168" s="357" t="e">
        <f t="shared" si="80"/>
        <v>#NUM!</v>
      </c>
      <c r="AD168" s="358" t="e">
        <f t="shared" si="80"/>
        <v>#NUM!</v>
      </c>
      <c r="AE168" s="359" t="e">
        <f t="shared" si="72"/>
        <v>#NUM!</v>
      </c>
    </row>
    <row r="169" spans="2:31" x14ac:dyDescent="0.25">
      <c r="B169" s="354" t="s">
        <v>541</v>
      </c>
      <c r="C169" s="355" t="e">
        <f t="shared" si="61"/>
        <v>#VALUE!</v>
      </c>
      <c r="D169" s="356" t="e">
        <f t="shared" si="62"/>
        <v>#VALUE!</v>
      </c>
      <c r="E169" s="357" t="e">
        <f t="shared" si="77"/>
        <v>#VALUE!</v>
      </c>
      <c r="F169" s="358" t="e">
        <f t="shared" si="77"/>
        <v>#VALUE!</v>
      </c>
      <c r="G169" s="359" t="e">
        <f t="shared" si="64"/>
        <v>#VALUE!</v>
      </c>
      <c r="J169" s="354" t="str">
        <f t="shared" si="60"/>
        <v>M160</v>
      </c>
      <c r="K169" s="355">
        <f t="shared" si="65"/>
        <v>2776.4766376575362</v>
      </c>
      <c r="L169" s="356">
        <f t="shared" si="73"/>
        <v>-767.69293153894193</v>
      </c>
      <c r="M169" s="357">
        <f t="shared" si="78"/>
        <v>246906.62842233063</v>
      </c>
      <c r="N169" s="358">
        <f t="shared" si="78"/>
        <v>74498.764556644499</v>
      </c>
      <c r="O169" s="359">
        <f t="shared" si="67"/>
        <v>-94899.62842233057</v>
      </c>
      <c r="R169" s="354"/>
      <c r="S169" s="355">
        <f t="shared" si="68"/>
        <v>7077.9237314036582</v>
      </c>
      <c r="T169" s="356">
        <f t="shared" si="74"/>
        <v>360.44989868685514</v>
      </c>
      <c r="U169" s="357">
        <f t="shared" si="79"/>
        <v>633823.93588898075</v>
      </c>
      <c r="V169" s="358">
        <f t="shared" si="79"/>
        <v>556315.84492550138</v>
      </c>
      <c r="W169" s="359">
        <f t="shared" si="69"/>
        <v>36176.064111018961</v>
      </c>
      <c r="Z169" s="354"/>
      <c r="AA169" s="355" t="e">
        <f t="shared" si="70"/>
        <v>#NUM!</v>
      </c>
      <c r="AB169" s="356" t="e">
        <f t="shared" si="71"/>
        <v>#NUM!</v>
      </c>
      <c r="AC169" s="357" t="e">
        <f t="shared" si="80"/>
        <v>#NUM!</v>
      </c>
      <c r="AD169" s="358" t="e">
        <f t="shared" si="80"/>
        <v>#NUM!</v>
      </c>
      <c r="AE169" s="359" t="e">
        <f t="shared" si="72"/>
        <v>#NUM!</v>
      </c>
    </row>
    <row r="170" spans="2:31" x14ac:dyDescent="0.25">
      <c r="B170" s="354" t="s">
        <v>542</v>
      </c>
      <c r="C170" s="355" t="e">
        <f t="shared" si="61"/>
        <v>#VALUE!</v>
      </c>
      <c r="D170" s="356" t="e">
        <f t="shared" si="62"/>
        <v>#VALUE!</v>
      </c>
      <c r="E170" s="357" t="e">
        <f t="shared" si="77"/>
        <v>#VALUE!</v>
      </c>
      <c r="F170" s="358" t="e">
        <f t="shared" si="77"/>
        <v>#VALUE!</v>
      </c>
      <c r="G170" s="359" t="e">
        <f t="shared" si="64"/>
        <v>#VALUE!</v>
      </c>
      <c r="J170" s="354" t="str">
        <f t="shared" si="60"/>
        <v>M161</v>
      </c>
      <c r="K170" s="355">
        <f t="shared" si="65"/>
        <v>2799.6139429713494</v>
      </c>
      <c r="L170" s="356">
        <f t="shared" si="73"/>
        <v>-790.83023685275475</v>
      </c>
      <c r="M170" s="357">
        <f t="shared" si="78"/>
        <v>249706.24236530197</v>
      </c>
      <c r="N170" s="358">
        <f t="shared" si="78"/>
        <v>73707.934319791748</v>
      </c>
      <c r="O170" s="359">
        <f t="shared" si="67"/>
        <v>-97699.242365301921</v>
      </c>
      <c r="R170" s="354"/>
      <c r="S170" s="355">
        <f t="shared" si="68"/>
        <v>7136.9064291653549</v>
      </c>
      <c r="T170" s="356">
        <f t="shared" si="74"/>
        <v>301.46720092515801</v>
      </c>
      <c r="U170" s="357">
        <f t="shared" si="79"/>
        <v>640960.84231814614</v>
      </c>
      <c r="V170" s="358">
        <f t="shared" si="79"/>
        <v>556617.31212642649</v>
      </c>
      <c r="W170" s="359">
        <f t="shared" si="69"/>
        <v>29039.157681853605</v>
      </c>
      <c r="Z170" s="354"/>
      <c r="AA170" s="355" t="e">
        <f t="shared" si="70"/>
        <v>#NUM!</v>
      </c>
      <c r="AB170" s="356" t="e">
        <f t="shared" si="71"/>
        <v>#NUM!</v>
      </c>
      <c r="AC170" s="357" t="e">
        <f t="shared" si="80"/>
        <v>#NUM!</v>
      </c>
      <c r="AD170" s="358" t="e">
        <f t="shared" si="80"/>
        <v>#NUM!</v>
      </c>
      <c r="AE170" s="359" t="e">
        <f t="shared" si="72"/>
        <v>#NUM!</v>
      </c>
    </row>
    <row r="171" spans="2:31" x14ac:dyDescent="0.25">
      <c r="B171" s="354" t="s">
        <v>543</v>
      </c>
      <c r="C171" s="355" t="e">
        <f t="shared" si="61"/>
        <v>#VALUE!</v>
      </c>
      <c r="D171" s="356" t="e">
        <f t="shared" si="62"/>
        <v>#VALUE!</v>
      </c>
      <c r="E171" s="357" t="e">
        <f t="shared" si="77"/>
        <v>#VALUE!</v>
      </c>
      <c r="F171" s="358" t="e">
        <f t="shared" si="77"/>
        <v>#VALUE!</v>
      </c>
      <c r="G171" s="359" t="e">
        <f t="shared" si="64"/>
        <v>#VALUE!</v>
      </c>
      <c r="J171" s="354" t="str">
        <f t="shared" si="60"/>
        <v>M162</v>
      </c>
      <c r="K171" s="355">
        <f t="shared" si="65"/>
        <v>2822.9440591627772</v>
      </c>
      <c r="L171" s="356">
        <f t="shared" si="73"/>
        <v>-814.16035304418267</v>
      </c>
      <c r="M171" s="357">
        <f t="shared" si="78"/>
        <v>252529.18642446474</v>
      </c>
      <c r="N171" s="358">
        <f t="shared" si="78"/>
        <v>72893.773966747569</v>
      </c>
      <c r="O171" s="359">
        <f t="shared" si="67"/>
        <v>-100522.1864244647</v>
      </c>
      <c r="R171" s="354"/>
      <c r="S171" s="355">
        <f t="shared" si="68"/>
        <v>7196.3806494083992</v>
      </c>
      <c r="T171" s="356">
        <f t="shared" si="74"/>
        <v>241.99298068211337</v>
      </c>
      <c r="U171" s="357">
        <f t="shared" si="79"/>
        <v>648157.22296755458</v>
      </c>
      <c r="V171" s="358">
        <f t="shared" si="79"/>
        <v>556859.30510710855</v>
      </c>
      <c r="W171" s="359">
        <f t="shared" si="69"/>
        <v>21842.777032445207</v>
      </c>
      <c r="Z171" s="354"/>
      <c r="AA171" s="355" t="e">
        <f t="shared" si="70"/>
        <v>#NUM!</v>
      </c>
      <c r="AB171" s="356" t="e">
        <f t="shared" si="71"/>
        <v>#NUM!</v>
      </c>
      <c r="AC171" s="357" t="e">
        <f t="shared" si="80"/>
        <v>#NUM!</v>
      </c>
      <c r="AD171" s="358" t="e">
        <f t="shared" si="80"/>
        <v>#NUM!</v>
      </c>
      <c r="AE171" s="359" t="e">
        <f t="shared" si="72"/>
        <v>#NUM!</v>
      </c>
    </row>
    <row r="172" spans="2:31" x14ac:dyDescent="0.25">
      <c r="B172" s="354" t="s">
        <v>544</v>
      </c>
      <c r="C172" s="355" t="e">
        <f t="shared" si="61"/>
        <v>#VALUE!</v>
      </c>
      <c r="D172" s="356" t="e">
        <f t="shared" si="62"/>
        <v>#VALUE!</v>
      </c>
      <c r="E172" s="357" t="e">
        <f t="shared" ref="E172:F187" si="81">E171+C172</f>
        <v>#VALUE!</v>
      </c>
      <c r="F172" s="358" t="e">
        <f t="shared" si="81"/>
        <v>#VALUE!</v>
      </c>
      <c r="G172" s="359" t="e">
        <f t="shared" si="64"/>
        <v>#VALUE!</v>
      </c>
      <c r="J172" s="354" t="str">
        <f t="shared" si="60"/>
        <v>M163</v>
      </c>
      <c r="K172" s="355">
        <f t="shared" si="65"/>
        <v>2846.4685929891334</v>
      </c>
      <c r="L172" s="356">
        <f t="shared" si="73"/>
        <v>-837.68488687053912</v>
      </c>
      <c r="M172" s="357">
        <f t="shared" ref="M172:N187" si="82">M171+K172</f>
        <v>255375.65501745389</v>
      </c>
      <c r="N172" s="358">
        <f t="shared" si="82"/>
        <v>72056.089079877027</v>
      </c>
      <c r="O172" s="359">
        <f t="shared" si="67"/>
        <v>-103368.65501745383</v>
      </c>
      <c r="R172" s="354"/>
      <c r="S172" s="355">
        <f t="shared" si="68"/>
        <v>7256.35048815347</v>
      </c>
      <c r="T172" s="356">
        <f t="shared" si="74"/>
        <v>182.02314193704339</v>
      </c>
      <c r="U172" s="357">
        <f t="shared" si="79"/>
        <v>655413.5734557081</v>
      </c>
      <c r="V172" s="358">
        <f t="shared" si="79"/>
        <v>557041.32824904565</v>
      </c>
      <c r="W172" s="359">
        <f t="shared" si="69"/>
        <v>14586.426544291737</v>
      </c>
      <c r="Z172" s="354"/>
      <c r="AA172" s="355" t="e">
        <f t="shared" si="70"/>
        <v>#NUM!</v>
      </c>
      <c r="AB172" s="356" t="e">
        <f t="shared" si="71"/>
        <v>#NUM!</v>
      </c>
      <c r="AC172" s="357" t="e">
        <f t="shared" si="80"/>
        <v>#NUM!</v>
      </c>
      <c r="AD172" s="358" t="e">
        <f t="shared" si="80"/>
        <v>#NUM!</v>
      </c>
      <c r="AE172" s="359" t="e">
        <f t="shared" si="72"/>
        <v>#NUM!</v>
      </c>
    </row>
    <row r="173" spans="2:31" x14ac:dyDescent="0.25">
      <c r="B173" s="354" t="s">
        <v>545</v>
      </c>
      <c r="C173" s="355" t="e">
        <f t="shared" si="61"/>
        <v>#VALUE!</v>
      </c>
      <c r="D173" s="356" t="e">
        <f t="shared" si="62"/>
        <v>#VALUE!</v>
      </c>
      <c r="E173" s="357" t="e">
        <f t="shared" si="81"/>
        <v>#VALUE!</v>
      </c>
      <c r="F173" s="358" t="e">
        <f t="shared" si="81"/>
        <v>#VALUE!</v>
      </c>
      <c r="G173" s="359" t="e">
        <f t="shared" si="64"/>
        <v>#VALUE!</v>
      </c>
      <c r="J173" s="354" t="str">
        <f t="shared" si="60"/>
        <v>M164</v>
      </c>
      <c r="K173" s="355">
        <f t="shared" si="65"/>
        <v>2870.1891645973765</v>
      </c>
      <c r="L173" s="356">
        <f t="shared" si="73"/>
        <v>-861.40545847878184</v>
      </c>
      <c r="M173" s="357">
        <f t="shared" si="82"/>
        <v>258245.84418205125</v>
      </c>
      <c r="N173" s="358">
        <f t="shared" si="82"/>
        <v>71194.683621398246</v>
      </c>
      <c r="O173" s="359">
        <f t="shared" si="67"/>
        <v>-106238.84418205121</v>
      </c>
      <c r="R173" s="354"/>
      <c r="S173" s="355">
        <f t="shared" si="68"/>
        <v>7316.8200755547487</v>
      </c>
      <c r="T173" s="356">
        <f t="shared" si="74"/>
        <v>121.55355453576448</v>
      </c>
      <c r="U173" s="357">
        <f t="shared" si="79"/>
        <v>662730.39353126287</v>
      </c>
      <c r="V173" s="358">
        <f t="shared" si="79"/>
        <v>557162.88180358137</v>
      </c>
      <c r="W173" s="359">
        <f t="shared" si="69"/>
        <v>7269.6064687369881</v>
      </c>
      <c r="Z173" s="354"/>
      <c r="AA173" s="355" t="e">
        <f t="shared" si="70"/>
        <v>#NUM!</v>
      </c>
      <c r="AB173" s="356" t="e">
        <f t="shared" si="71"/>
        <v>#NUM!</v>
      </c>
      <c r="AC173" s="357" t="e">
        <f t="shared" si="80"/>
        <v>#NUM!</v>
      </c>
      <c r="AD173" s="358" t="e">
        <f t="shared" si="80"/>
        <v>#NUM!</v>
      </c>
      <c r="AE173" s="359" t="e">
        <f t="shared" si="72"/>
        <v>#NUM!</v>
      </c>
    </row>
    <row r="174" spans="2:31" x14ac:dyDescent="0.25">
      <c r="B174" s="354" t="s">
        <v>546</v>
      </c>
      <c r="C174" s="355" t="e">
        <f t="shared" si="61"/>
        <v>#VALUE!</v>
      </c>
      <c r="D174" s="356" t="e">
        <f t="shared" si="62"/>
        <v>#VALUE!</v>
      </c>
      <c r="E174" s="357" t="e">
        <f t="shared" si="81"/>
        <v>#VALUE!</v>
      </c>
      <c r="F174" s="358" t="e">
        <f t="shared" si="81"/>
        <v>#VALUE!</v>
      </c>
      <c r="G174" s="359" t="e">
        <f t="shared" si="64"/>
        <v>#VALUE!</v>
      </c>
      <c r="J174" s="354" t="str">
        <f t="shared" si="60"/>
        <v>M165</v>
      </c>
      <c r="K174" s="355">
        <f t="shared" si="65"/>
        <v>2894.1074076356877</v>
      </c>
      <c r="L174" s="356">
        <f t="shared" si="73"/>
        <v>-885.32370151709335</v>
      </c>
      <c r="M174" s="357">
        <f t="shared" si="82"/>
        <v>261139.95158968694</v>
      </c>
      <c r="N174" s="358">
        <f t="shared" si="82"/>
        <v>70309.359919881157</v>
      </c>
      <c r="O174" s="359">
        <f t="shared" si="67"/>
        <v>-109132.9515896869</v>
      </c>
      <c r="R174" s="354"/>
      <c r="S174" s="355">
        <f t="shared" si="68"/>
        <v>7377.793576184371</v>
      </c>
      <c r="T174" s="356">
        <f t="shared" si="74"/>
        <v>60.580053906141565</v>
      </c>
      <c r="U174" s="357">
        <f t="shared" si="79"/>
        <v>670108.1871074473</v>
      </c>
      <c r="V174" s="358">
        <f t="shared" si="79"/>
        <v>557223.46185748756</v>
      </c>
      <c r="W174" s="359">
        <f t="shared" si="69"/>
        <v>-108.18710744738291</v>
      </c>
      <c r="Z174" s="354"/>
      <c r="AA174" s="355" t="e">
        <f t="shared" si="70"/>
        <v>#NUM!</v>
      </c>
      <c r="AB174" s="356" t="e">
        <f t="shared" si="71"/>
        <v>#NUM!</v>
      </c>
      <c r="AC174" s="357" t="e">
        <f t="shared" si="80"/>
        <v>#NUM!</v>
      </c>
      <c r="AD174" s="358" t="e">
        <f t="shared" si="80"/>
        <v>#NUM!</v>
      </c>
      <c r="AE174" s="359" t="e">
        <f t="shared" si="72"/>
        <v>#NUM!</v>
      </c>
    </row>
    <row r="175" spans="2:31" x14ac:dyDescent="0.25">
      <c r="B175" s="354" t="s">
        <v>547</v>
      </c>
      <c r="C175" s="355" t="e">
        <f t="shared" si="61"/>
        <v>#VALUE!</v>
      </c>
      <c r="D175" s="356" t="e">
        <f t="shared" si="62"/>
        <v>#VALUE!</v>
      </c>
      <c r="E175" s="357" t="e">
        <f t="shared" si="81"/>
        <v>#VALUE!</v>
      </c>
      <c r="F175" s="358" t="e">
        <f t="shared" si="81"/>
        <v>#VALUE!</v>
      </c>
      <c r="G175" s="359" t="e">
        <f t="shared" si="64"/>
        <v>#VALUE!</v>
      </c>
      <c r="J175" s="354" t="str">
        <f t="shared" si="60"/>
        <v>M166</v>
      </c>
      <c r="K175" s="355">
        <f t="shared" si="65"/>
        <v>2918.2249693659851</v>
      </c>
      <c r="L175" s="356">
        <f t="shared" si="73"/>
        <v>-909.44126324739079</v>
      </c>
      <c r="M175" s="357">
        <f t="shared" si="82"/>
        <v>264058.17655905295</v>
      </c>
      <c r="N175" s="358">
        <f t="shared" si="82"/>
        <v>69399.918656633759</v>
      </c>
      <c r="O175" s="359">
        <f t="shared" si="67"/>
        <v>-112051.17655905288</v>
      </c>
      <c r="R175" s="354"/>
      <c r="S175" s="355">
        <f t="shared" si="68"/>
        <v>7439.2751893192408</v>
      </c>
      <c r="T175" s="356">
        <f t="shared" si="74"/>
        <v>-0.90155922872819094</v>
      </c>
      <c r="U175" s="357">
        <f t="shared" si="79"/>
        <v>677547.46229676658</v>
      </c>
      <c r="V175" s="358">
        <f t="shared" si="79"/>
        <v>557222.56029825879</v>
      </c>
      <c r="W175" s="359">
        <f t="shared" si="69"/>
        <v>-7547.4622967666237</v>
      </c>
      <c r="Z175" s="354"/>
      <c r="AA175" s="355" t="e">
        <f t="shared" si="70"/>
        <v>#NUM!</v>
      </c>
      <c r="AB175" s="356" t="e">
        <f t="shared" si="71"/>
        <v>#NUM!</v>
      </c>
      <c r="AC175" s="357" t="e">
        <f t="shared" si="80"/>
        <v>#NUM!</v>
      </c>
      <c r="AD175" s="358" t="e">
        <f t="shared" si="80"/>
        <v>#NUM!</v>
      </c>
      <c r="AE175" s="359" t="e">
        <f t="shared" si="72"/>
        <v>#NUM!</v>
      </c>
    </row>
    <row r="176" spans="2:31" x14ac:dyDescent="0.25">
      <c r="B176" s="354" t="s">
        <v>548</v>
      </c>
      <c r="C176" s="355" t="e">
        <f t="shared" si="61"/>
        <v>#VALUE!</v>
      </c>
      <c r="D176" s="356" t="e">
        <f t="shared" si="62"/>
        <v>#VALUE!</v>
      </c>
      <c r="E176" s="357" t="e">
        <f t="shared" si="81"/>
        <v>#VALUE!</v>
      </c>
      <c r="F176" s="358" t="e">
        <f t="shared" si="81"/>
        <v>#VALUE!</v>
      </c>
      <c r="G176" s="359" t="e">
        <f t="shared" si="64"/>
        <v>#VALUE!</v>
      </c>
      <c r="J176" s="354" t="str">
        <f t="shared" si="60"/>
        <v>M167</v>
      </c>
      <c r="K176" s="355">
        <f t="shared" si="65"/>
        <v>2942.5435107773683</v>
      </c>
      <c r="L176" s="356">
        <f t="shared" si="73"/>
        <v>-933.75980465877399</v>
      </c>
      <c r="M176" s="357">
        <f t="shared" si="82"/>
        <v>267000.72006983031</v>
      </c>
      <c r="N176" s="358">
        <f t="shared" si="82"/>
        <v>68466.158851974978</v>
      </c>
      <c r="O176" s="359">
        <f t="shared" si="67"/>
        <v>-114993.72006983025</v>
      </c>
      <c r="R176" s="354"/>
      <c r="S176" s="355">
        <f t="shared" si="68"/>
        <v>7501.2691492302347</v>
      </c>
      <c r="T176" s="356">
        <f t="shared" si="74"/>
        <v>-62.895519139721863</v>
      </c>
      <c r="U176" s="357">
        <f t="shared" ref="U176:V191" si="83">U175+S176</f>
        <v>685048.73144599679</v>
      </c>
      <c r="V176" s="358">
        <f t="shared" si="83"/>
        <v>557159.66477911908</v>
      </c>
      <c r="W176" s="359">
        <f t="shared" si="69"/>
        <v>-15048.731445996858</v>
      </c>
      <c r="Z176" s="354"/>
      <c r="AA176" s="355" t="e">
        <f t="shared" si="70"/>
        <v>#NUM!</v>
      </c>
      <c r="AB176" s="356" t="e">
        <f t="shared" si="71"/>
        <v>#NUM!</v>
      </c>
      <c r="AC176" s="357" t="e">
        <f t="shared" ref="AC176:AD191" si="84">AC175+AA176</f>
        <v>#NUM!</v>
      </c>
      <c r="AD176" s="358" t="e">
        <f t="shared" si="84"/>
        <v>#NUM!</v>
      </c>
      <c r="AE176" s="359" t="e">
        <f t="shared" si="72"/>
        <v>#NUM!</v>
      </c>
    </row>
    <row r="177" spans="2:31" x14ac:dyDescent="0.25">
      <c r="B177" s="354" t="s">
        <v>549</v>
      </c>
      <c r="C177" s="355" t="e">
        <f t="shared" si="61"/>
        <v>#VALUE!</v>
      </c>
      <c r="D177" s="356" t="e">
        <f t="shared" si="62"/>
        <v>#VALUE!</v>
      </c>
      <c r="E177" s="357" t="e">
        <f t="shared" si="81"/>
        <v>#VALUE!</v>
      </c>
      <c r="F177" s="358" t="e">
        <f t="shared" si="81"/>
        <v>#VALUE!</v>
      </c>
      <c r="G177" s="359" t="e">
        <f t="shared" si="64"/>
        <v>#VALUE!</v>
      </c>
      <c r="J177" s="354" t="str">
        <f t="shared" si="60"/>
        <v>M168</v>
      </c>
      <c r="K177" s="355">
        <f t="shared" si="65"/>
        <v>2967.0647067005129</v>
      </c>
      <c r="L177" s="356">
        <f t="shared" si="73"/>
        <v>-958.28100058191876</v>
      </c>
      <c r="M177" s="357">
        <f t="shared" si="82"/>
        <v>269967.78477653081</v>
      </c>
      <c r="N177" s="358">
        <f t="shared" si="82"/>
        <v>67507.877851393059</v>
      </c>
      <c r="O177" s="359">
        <f t="shared" si="67"/>
        <v>-117960.78477653077</v>
      </c>
      <c r="R177" s="354"/>
      <c r="S177" s="355">
        <f t="shared" si="68"/>
        <v>7563.7797254738198</v>
      </c>
      <c r="T177" s="356">
        <f t="shared" si="74"/>
        <v>-125.40609538330715</v>
      </c>
      <c r="U177" s="357">
        <f t="shared" si="83"/>
        <v>692612.51117147063</v>
      </c>
      <c r="V177" s="358">
        <f t="shared" si="83"/>
        <v>557034.25868373574</v>
      </c>
      <c r="W177" s="359">
        <f t="shared" si="69"/>
        <v>-22612.51117147068</v>
      </c>
      <c r="Z177" s="354"/>
      <c r="AA177" s="355" t="e">
        <f t="shared" si="70"/>
        <v>#NUM!</v>
      </c>
      <c r="AB177" s="356" t="e">
        <f t="shared" si="71"/>
        <v>#NUM!</v>
      </c>
      <c r="AC177" s="357" t="e">
        <f t="shared" si="84"/>
        <v>#NUM!</v>
      </c>
      <c r="AD177" s="358" t="e">
        <f t="shared" si="84"/>
        <v>#NUM!</v>
      </c>
      <c r="AE177" s="359" t="e">
        <f t="shared" si="72"/>
        <v>#NUM!</v>
      </c>
    </row>
    <row r="178" spans="2:31" x14ac:dyDescent="0.25">
      <c r="B178" s="354" t="s">
        <v>550</v>
      </c>
      <c r="C178" s="355" t="e">
        <f t="shared" si="61"/>
        <v>#VALUE!</v>
      </c>
      <c r="D178" s="356" t="e">
        <f t="shared" si="62"/>
        <v>#VALUE!</v>
      </c>
      <c r="E178" s="357" t="e">
        <f t="shared" si="81"/>
        <v>#VALUE!</v>
      </c>
      <c r="F178" s="358" t="e">
        <f t="shared" si="81"/>
        <v>#VALUE!</v>
      </c>
      <c r="G178" s="359" t="e">
        <f t="shared" si="64"/>
        <v>#VALUE!</v>
      </c>
      <c r="J178" s="354" t="str">
        <f t="shared" si="60"/>
        <v>M169</v>
      </c>
      <c r="K178" s="355">
        <f t="shared" si="65"/>
        <v>2991.7902459230172</v>
      </c>
      <c r="L178" s="356">
        <f t="shared" si="73"/>
        <v>-983.00653980442303</v>
      </c>
      <c r="M178" s="357">
        <f t="shared" si="82"/>
        <v>272959.57502245385</v>
      </c>
      <c r="N178" s="358">
        <f t="shared" si="82"/>
        <v>66524.871311588635</v>
      </c>
      <c r="O178" s="359">
        <f t="shared" si="67"/>
        <v>-120952.57502245379</v>
      </c>
      <c r="R178" s="354"/>
      <c r="S178" s="355">
        <f t="shared" si="68"/>
        <v>7626.8112231861023</v>
      </c>
      <c r="T178" s="356">
        <f t="shared" si="74"/>
        <v>-188.43759309558899</v>
      </c>
      <c r="U178" s="357">
        <f t="shared" si="83"/>
        <v>700239.32239465672</v>
      </c>
      <c r="V178" s="358">
        <f t="shared" si="83"/>
        <v>556845.82109064015</v>
      </c>
      <c r="W178" s="359">
        <f t="shared" si="69"/>
        <v>-30239.322394656781</v>
      </c>
      <c r="Z178" s="354"/>
      <c r="AA178" s="355" t="e">
        <f t="shared" si="70"/>
        <v>#NUM!</v>
      </c>
      <c r="AB178" s="356" t="e">
        <f t="shared" si="71"/>
        <v>#NUM!</v>
      </c>
      <c r="AC178" s="357" t="e">
        <f t="shared" si="84"/>
        <v>#NUM!</v>
      </c>
      <c r="AD178" s="358" t="e">
        <f t="shared" si="84"/>
        <v>#NUM!</v>
      </c>
      <c r="AE178" s="359" t="e">
        <f t="shared" si="72"/>
        <v>#NUM!</v>
      </c>
    </row>
    <row r="179" spans="2:31" x14ac:dyDescent="0.25">
      <c r="B179" s="354" t="s">
        <v>551</v>
      </c>
      <c r="C179" s="355" t="e">
        <f t="shared" si="61"/>
        <v>#VALUE!</v>
      </c>
      <c r="D179" s="356" t="e">
        <f t="shared" si="62"/>
        <v>#VALUE!</v>
      </c>
      <c r="E179" s="357" t="e">
        <f t="shared" si="81"/>
        <v>#VALUE!</v>
      </c>
      <c r="F179" s="358" t="e">
        <f t="shared" si="81"/>
        <v>#VALUE!</v>
      </c>
      <c r="G179" s="359" t="e">
        <f t="shared" si="64"/>
        <v>#VALUE!</v>
      </c>
      <c r="J179" s="354" t="str">
        <f t="shared" si="60"/>
        <v>M170</v>
      </c>
      <c r="K179" s="355">
        <f t="shared" si="65"/>
        <v>3016.7218313057092</v>
      </c>
      <c r="L179" s="356">
        <f t="shared" si="73"/>
        <v>-1007.9381251871149</v>
      </c>
      <c r="M179" s="357">
        <f t="shared" si="82"/>
        <v>275976.29685375956</v>
      </c>
      <c r="N179" s="358">
        <f t="shared" si="82"/>
        <v>65516.933186401518</v>
      </c>
      <c r="O179" s="359">
        <f t="shared" si="67"/>
        <v>-123969.2968537595</v>
      </c>
      <c r="R179" s="354"/>
      <c r="S179" s="355">
        <f t="shared" si="68"/>
        <v>7690.3679833793194</v>
      </c>
      <c r="T179" s="356">
        <f t="shared" si="74"/>
        <v>-251.99435328880651</v>
      </c>
      <c r="U179" s="357">
        <f t="shared" si="83"/>
        <v>707929.690378036</v>
      </c>
      <c r="V179" s="358">
        <f t="shared" si="83"/>
        <v>556593.82673735137</v>
      </c>
      <c r="W179" s="359">
        <f t="shared" si="69"/>
        <v>-37929.690378036103</v>
      </c>
      <c r="Z179" s="354"/>
      <c r="AA179" s="355" t="e">
        <f t="shared" si="70"/>
        <v>#NUM!</v>
      </c>
      <c r="AB179" s="356" t="e">
        <f t="shared" si="71"/>
        <v>#NUM!</v>
      </c>
      <c r="AC179" s="357" t="e">
        <f t="shared" si="84"/>
        <v>#NUM!</v>
      </c>
      <c r="AD179" s="358" t="e">
        <f t="shared" si="84"/>
        <v>#NUM!</v>
      </c>
      <c r="AE179" s="359" t="e">
        <f t="shared" si="72"/>
        <v>#NUM!</v>
      </c>
    </row>
    <row r="180" spans="2:31" x14ac:dyDescent="0.25">
      <c r="B180" s="354" t="s">
        <v>552</v>
      </c>
      <c r="C180" s="355" t="e">
        <f t="shared" si="61"/>
        <v>#VALUE!</v>
      </c>
      <c r="D180" s="356" t="e">
        <f t="shared" si="62"/>
        <v>#VALUE!</v>
      </c>
      <c r="E180" s="357" t="e">
        <f t="shared" si="81"/>
        <v>#VALUE!</v>
      </c>
      <c r="F180" s="358" t="e">
        <f t="shared" si="81"/>
        <v>#VALUE!</v>
      </c>
      <c r="G180" s="359" t="e">
        <f t="shared" si="64"/>
        <v>#VALUE!</v>
      </c>
      <c r="J180" s="354" t="str">
        <f t="shared" si="60"/>
        <v>M171</v>
      </c>
      <c r="K180" s="355">
        <f t="shared" si="65"/>
        <v>3041.8611798999236</v>
      </c>
      <c r="L180" s="356">
        <f t="shared" si="73"/>
        <v>-1033.0774737813292</v>
      </c>
      <c r="M180" s="357">
        <f t="shared" si="82"/>
        <v>279018.15803365951</v>
      </c>
      <c r="N180" s="358">
        <f t="shared" si="82"/>
        <v>64483.855712620192</v>
      </c>
      <c r="O180" s="359">
        <f t="shared" si="67"/>
        <v>-127011.15803365942</v>
      </c>
      <c r="R180" s="354"/>
      <c r="S180" s="355">
        <f t="shared" si="68"/>
        <v>7754.4543832408135</v>
      </c>
      <c r="T180" s="356">
        <f t="shared" si="74"/>
        <v>-316.08075315030084</v>
      </c>
      <c r="U180" s="357">
        <f t="shared" si="83"/>
        <v>715684.14476127678</v>
      </c>
      <c r="V180" s="358">
        <f t="shared" si="83"/>
        <v>556277.74598420109</v>
      </c>
      <c r="W180" s="359">
        <f t="shared" si="69"/>
        <v>-45684.144761276919</v>
      </c>
      <c r="Z180" s="354"/>
      <c r="AA180" s="355" t="e">
        <f t="shared" si="70"/>
        <v>#NUM!</v>
      </c>
      <c r="AB180" s="356" t="e">
        <f t="shared" si="71"/>
        <v>#NUM!</v>
      </c>
      <c r="AC180" s="357" t="e">
        <f t="shared" si="84"/>
        <v>#NUM!</v>
      </c>
      <c r="AD180" s="358" t="e">
        <f t="shared" si="84"/>
        <v>#NUM!</v>
      </c>
      <c r="AE180" s="359" t="e">
        <f t="shared" si="72"/>
        <v>#NUM!</v>
      </c>
    </row>
    <row r="181" spans="2:31" x14ac:dyDescent="0.25">
      <c r="B181" s="354" t="s">
        <v>553</v>
      </c>
      <c r="C181" s="355" t="e">
        <f t="shared" si="61"/>
        <v>#VALUE!</v>
      </c>
      <c r="D181" s="356" t="e">
        <f t="shared" si="62"/>
        <v>#VALUE!</v>
      </c>
      <c r="E181" s="357" t="e">
        <f t="shared" si="81"/>
        <v>#VALUE!</v>
      </c>
      <c r="F181" s="358" t="e">
        <f t="shared" si="81"/>
        <v>#VALUE!</v>
      </c>
      <c r="G181" s="359" t="e">
        <f t="shared" si="64"/>
        <v>#VALUE!</v>
      </c>
      <c r="J181" s="354" t="str">
        <f t="shared" si="60"/>
        <v>M172</v>
      </c>
      <c r="K181" s="355">
        <f t="shared" si="65"/>
        <v>3067.2100230657561</v>
      </c>
      <c r="L181" s="356">
        <f t="shared" si="73"/>
        <v>-1058.4263169471619</v>
      </c>
      <c r="M181" s="357">
        <f t="shared" si="82"/>
        <v>282085.36805672524</v>
      </c>
      <c r="N181" s="358">
        <f t="shared" si="82"/>
        <v>63425.429395673033</v>
      </c>
      <c r="O181" s="359">
        <f t="shared" si="67"/>
        <v>-130078.36805672517</v>
      </c>
      <c r="R181" s="354"/>
      <c r="S181" s="355">
        <f t="shared" si="68"/>
        <v>7819.0748364344872</v>
      </c>
      <c r="T181" s="356">
        <f t="shared" si="74"/>
        <v>-380.70120634397432</v>
      </c>
      <c r="U181" s="357">
        <f t="shared" si="83"/>
        <v>723503.21959771123</v>
      </c>
      <c r="V181" s="358">
        <f t="shared" si="83"/>
        <v>555897.04477785714</v>
      </c>
      <c r="W181" s="359">
        <f t="shared" si="69"/>
        <v>-53503.219597711402</v>
      </c>
      <c r="Z181" s="354"/>
      <c r="AA181" s="355" t="e">
        <f t="shared" si="70"/>
        <v>#NUM!</v>
      </c>
      <c r="AB181" s="356" t="e">
        <f t="shared" si="71"/>
        <v>#NUM!</v>
      </c>
      <c r="AC181" s="357" t="e">
        <f t="shared" si="84"/>
        <v>#NUM!</v>
      </c>
      <c r="AD181" s="358" t="e">
        <f t="shared" si="84"/>
        <v>#NUM!</v>
      </c>
      <c r="AE181" s="359" t="e">
        <f t="shared" si="72"/>
        <v>#NUM!</v>
      </c>
    </row>
    <row r="182" spans="2:31" x14ac:dyDescent="0.25">
      <c r="B182" s="354" t="s">
        <v>554</v>
      </c>
      <c r="C182" s="355" t="e">
        <f t="shared" si="61"/>
        <v>#VALUE!</v>
      </c>
      <c r="D182" s="356" t="e">
        <f t="shared" si="62"/>
        <v>#VALUE!</v>
      </c>
      <c r="E182" s="357" t="e">
        <f t="shared" si="81"/>
        <v>#VALUE!</v>
      </c>
      <c r="F182" s="358" t="e">
        <f t="shared" si="81"/>
        <v>#VALUE!</v>
      </c>
      <c r="G182" s="359" t="e">
        <f t="shared" si="64"/>
        <v>#VALUE!</v>
      </c>
      <c r="J182" s="354" t="str">
        <f t="shared" si="60"/>
        <v>M173</v>
      </c>
      <c r="K182" s="355">
        <f t="shared" si="65"/>
        <v>3092.7701065913043</v>
      </c>
      <c r="L182" s="356">
        <f t="shared" si="73"/>
        <v>-1083.9864004727096</v>
      </c>
      <c r="M182" s="357">
        <f t="shared" si="82"/>
        <v>285178.13816331653</v>
      </c>
      <c r="N182" s="358">
        <f t="shared" si="82"/>
        <v>62341.442995200327</v>
      </c>
      <c r="O182" s="359">
        <f t="shared" si="67"/>
        <v>-133171.13816331647</v>
      </c>
      <c r="R182" s="354"/>
      <c r="S182" s="355">
        <f t="shared" si="68"/>
        <v>7884.2337934047746</v>
      </c>
      <c r="T182" s="356">
        <f t="shared" si="74"/>
        <v>-445.86016331426168</v>
      </c>
      <c r="U182" s="357">
        <f t="shared" si="83"/>
        <v>731387.453391116</v>
      </c>
      <c r="V182" s="358">
        <f t="shared" si="83"/>
        <v>555451.18461454287</v>
      </c>
      <c r="W182" s="359">
        <f t="shared" si="69"/>
        <v>-61387.453391116178</v>
      </c>
      <c r="Z182" s="354"/>
      <c r="AA182" s="355" t="e">
        <f t="shared" si="70"/>
        <v>#NUM!</v>
      </c>
      <c r="AB182" s="356" t="e">
        <f t="shared" si="71"/>
        <v>#NUM!</v>
      </c>
      <c r="AC182" s="357" t="e">
        <f t="shared" si="84"/>
        <v>#NUM!</v>
      </c>
      <c r="AD182" s="358" t="e">
        <f t="shared" si="84"/>
        <v>#NUM!</v>
      </c>
      <c r="AE182" s="359" t="e">
        <f t="shared" si="72"/>
        <v>#NUM!</v>
      </c>
    </row>
    <row r="183" spans="2:31" x14ac:dyDescent="0.25">
      <c r="B183" s="354" t="s">
        <v>555</v>
      </c>
      <c r="C183" s="355" t="e">
        <f t="shared" si="61"/>
        <v>#VALUE!</v>
      </c>
      <c r="D183" s="356" t="e">
        <f t="shared" si="62"/>
        <v>#VALUE!</v>
      </c>
      <c r="E183" s="357" t="e">
        <f t="shared" si="81"/>
        <v>#VALUE!</v>
      </c>
      <c r="F183" s="358" t="e">
        <f t="shared" si="81"/>
        <v>#VALUE!</v>
      </c>
      <c r="G183" s="359" t="e">
        <f t="shared" si="64"/>
        <v>#VALUE!</v>
      </c>
      <c r="J183" s="354" t="str">
        <f t="shared" si="60"/>
        <v>M174</v>
      </c>
      <c r="K183" s="355">
        <f t="shared" si="65"/>
        <v>3118.5431908128985</v>
      </c>
      <c r="L183" s="356">
        <f t="shared" si="73"/>
        <v>-1109.7594846943039</v>
      </c>
      <c r="M183" s="357">
        <f t="shared" si="82"/>
        <v>288296.68135412945</v>
      </c>
      <c r="N183" s="358">
        <f t="shared" si="82"/>
        <v>61231.683510506024</v>
      </c>
      <c r="O183" s="359">
        <f t="shared" si="67"/>
        <v>-136289.68135412937</v>
      </c>
      <c r="R183" s="354"/>
      <c r="S183" s="355">
        <f t="shared" si="68"/>
        <v>7949.9357416831481</v>
      </c>
      <c r="T183" s="356">
        <f t="shared" si="74"/>
        <v>-511.56211159263484</v>
      </c>
      <c r="U183" s="357">
        <f t="shared" si="83"/>
        <v>739337.38913279912</v>
      </c>
      <c r="V183" s="358">
        <f t="shared" si="83"/>
        <v>554939.62250295025</v>
      </c>
      <c r="W183" s="359">
        <f t="shared" si="69"/>
        <v>-69337.389132799319</v>
      </c>
      <c r="Z183" s="354"/>
      <c r="AA183" s="355" t="e">
        <f t="shared" si="70"/>
        <v>#NUM!</v>
      </c>
      <c r="AB183" s="356" t="e">
        <f t="shared" si="71"/>
        <v>#NUM!</v>
      </c>
      <c r="AC183" s="357" t="e">
        <f t="shared" si="84"/>
        <v>#NUM!</v>
      </c>
      <c r="AD183" s="358" t="e">
        <f t="shared" si="84"/>
        <v>#NUM!</v>
      </c>
      <c r="AE183" s="359" t="e">
        <f t="shared" si="72"/>
        <v>#NUM!</v>
      </c>
    </row>
    <row r="184" spans="2:31" x14ac:dyDescent="0.25">
      <c r="B184" s="354" t="s">
        <v>556</v>
      </c>
      <c r="C184" s="355" t="e">
        <f t="shared" si="61"/>
        <v>#VALUE!</v>
      </c>
      <c r="D184" s="356" t="e">
        <f t="shared" si="62"/>
        <v>#VALUE!</v>
      </c>
      <c r="E184" s="357" t="e">
        <f t="shared" si="81"/>
        <v>#VALUE!</v>
      </c>
      <c r="F184" s="358" t="e">
        <f t="shared" si="81"/>
        <v>#VALUE!</v>
      </c>
      <c r="G184" s="359" t="e">
        <f t="shared" si="64"/>
        <v>#VALUE!</v>
      </c>
      <c r="J184" s="354" t="str">
        <f t="shared" si="60"/>
        <v>M175</v>
      </c>
      <c r="K184" s="355">
        <f t="shared" si="65"/>
        <v>3144.5310507363392</v>
      </c>
      <c r="L184" s="356">
        <f t="shared" si="73"/>
        <v>-1135.7473446177446</v>
      </c>
      <c r="M184" s="357">
        <f t="shared" si="82"/>
        <v>291441.21240486577</v>
      </c>
      <c r="N184" s="358">
        <f t="shared" si="82"/>
        <v>60095.936165888277</v>
      </c>
      <c r="O184" s="359">
        <f t="shared" si="67"/>
        <v>-139434.21240486571</v>
      </c>
      <c r="R184" s="354"/>
      <c r="S184" s="355">
        <f t="shared" si="68"/>
        <v>8016.185206197174</v>
      </c>
      <c r="T184" s="356">
        <f t="shared" si="74"/>
        <v>-577.81157610666094</v>
      </c>
      <c r="U184" s="357">
        <f t="shared" si="83"/>
        <v>747353.57433899632</v>
      </c>
      <c r="V184" s="358">
        <f t="shared" si="83"/>
        <v>554361.81092684355</v>
      </c>
      <c r="W184" s="359">
        <f t="shared" si="69"/>
        <v>-77353.574338996492</v>
      </c>
      <c r="Z184" s="354"/>
      <c r="AA184" s="355" t="e">
        <f t="shared" si="70"/>
        <v>#NUM!</v>
      </c>
      <c r="AB184" s="356" t="e">
        <f t="shared" si="71"/>
        <v>#NUM!</v>
      </c>
      <c r="AC184" s="357" t="e">
        <f t="shared" si="84"/>
        <v>#NUM!</v>
      </c>
      <c r="AD184" s="358" t="e">
        <f t="shared" si="84"/>
        <v>#NUM!</v>
      </c>
      <c r="AE184" s="359" t="e">
        <f t="shared" si="72"/>
        <v>#NUM!</v>
      </c>
    </row>
    <row r="185" spans="2:31" x14ac:dyDescent="0.25">
      <c r="B185" s="354" t="s">
        <v>557</v>
      </c>
      <c r="C185" s="355" t="e">
        <f t="shared" si="61"/>
        <v>#VALUE!</v>
      </c>
      <c r="D185" s="356" t="e">
        <f t="shared" si="62"/>
        <v>#VALUE!</v>
      </c>
      <c r="E185" s="357" t="e">
        <f t="shared" si="81"/>
        <v>#VALUE!</v>
      </c>
      <c r="F185" s="358" t="e">
        <f t="shared" si="81"/>
        <v>#VALUE!</v>
      </c>
      <c r="G185" s="359" t="e">
        <f t="shared" si="64"/>
        <v>#VALUE!</v>
      </c>
      <c r="J185" s="354" t="str">
        <f t="shared" si="60"/>
        <v>M176</v>
      </c>
      <c r="K185" s="355">
        <f t="shared" si="65"/>
        <v>3170.7354761591423</v>
      </c>
      <c r="L185" s="356">
        <f t="shared" si="73"/>
        <v>-1161.9517700405477</v>
      </c>
      <c r="M185" s="357">
        <f t="shared" si="82"/>
        <v>294611.94788102491</v>
      </c>
      <c r="N185" s="358">
        <f t="shared" si="82"/>
        <v>58933.984395847729</v>
      </c>
      <c r="O185" s="359">
        <f t="shared" si="67"/>
        <v>-142604.94788102485</v>
      </c>
      <c r="R185" s="354"/>
      <c r="S185" s="355">
        <f t="shared" si="68"/>
        <v>8082.9867495821509</v>
      </c>
      <c r="T185" s="356">
        <f t="shared" si="74"/>
        <v>-644.61311949163746</v>
      </c>
      <c r="U185" s="357">
        <f t="shared" si="83"/>
        <v>755436.56108857843</v>
      </c>
      <c r="V185" s="358">
        <f t="shared" si="83"/>
        <v>553717.19780735194</v>
      </c>
      <c r="W185" s="359">
        <f t="shared" si="69"/>
        <v>-85436.561088578645</v>
      </c>
      <c r="Z185" s="354"/>
      <c r="AA185" s="355" t="e">
        <f t="shared" si="70"/>
        <v>#NUM!</v>
      </c>
      <c r="AB185" s="356" t="e">
        <f t="shared" si="71"/>
        <v>#NUM!</v>
      </c>
      <c r="AC185" s="357" t="e">
        <f t="shared" si="84"/>
        <v>#NUM!</v>
      </c>
      <c r="AD185" s="358" t="e">
        <f t="shared" si="84"/>
        <v>#NUM!</v>
      </c>
      <c r="AE185" s="359" t="e">
        <f t="shared" si="72"/>
        <v>#NUM!</v>
      </c>
    </row>
    <row r="186" spans="2:31" x14ac:dyDescent="0.25">
      <c r="B186" s="354" t="s">
        <v>558</v>
      </c>
      <c r="C186" s="355" t="e">
        <f t="shared" si="61"/>
        <v>#VALUE!</v>
      </c>
      <c r="D186" s="356" t="e">
        <f t="shared" si="62"/>
        <v>#VALUE!</v>
      </c>
      <c r="E186" s="357" t="e">
        <f t="shared" si="81"/>
        <v>#VALUE!</v>
      </c>
      <c r="F186" s="358" t="e">
        <f t="shared" si="81"/>
        <v>#VALUE!</v>
      </c>
      <c r="G186" s="359" t="e">
        <f t="shared" si="64"/>
        <v>#VALUE!</v>
      </c>
      <c r="J186" s="354" t="str">
        <f t="shared" si="60"/>
        <v>M177</v>
      </c>
      <c r="K186" s="355">
        <f t="shared" si="65"/>
        <v>3197.1582717938018</v>
      </c>
      <c r="L186" s="356">
        <f t="shared" si="73"/>
        <v>-1188.3745656752071</v>
      </c>
      <c r="M186" s="357">
        <f t="shared" si="82"/>
        <v>297809.10615281871</v>
      </c>
      <c r="N186" s="358">
        <f t="shared" si="82"/>
        <v>57745.609830172521</v>
      </c>
      <c r="O186" s="359">
        <f t="shared" si="67"/>
        <v>-145802.10615281865</v>
      </c>
      <c r="R186" s="354"/>
      <c r="S186" s="355">
        <f t="shared" si="68"/>
        <v>8150.3449724953352</v>
      </c>
      <c r="T186" s="356">
        <f t="shared" si="74"/>
        <v>-711.97134240482205</v>
      </c>
      <c r="U186" s="357">
        <f t="shared" si="83"/>
        <v>763586.90606107377</v>
      </c>
      <c r="V186" s="358">
        <f t="shared" si="83"/>
        <v>553005.2264649471</v>
      </c>
      <c r="W186" s="359">
        <f t="shared" si="69"/>
        <v>-93586.906061073983</v>
      </c>
      <c r="Z186" s="354"/>
      <c r="AA186" s="355" t="e">
        <f t="shared" si="70"/>
        <v>#NUM!</v>
      </c>
      <c r="AB186" s="356" t="e">
        <f t="shared" si="71"/>
        <v>#NUM!</v>
      </c>
      <c r="AC186" s="357" t="e">
        <f t="shared" si="84"/>
        <v>#NUM!</v>
      </c>
      <c r="AD186" s="358" t="e">
        <f t="shared" si="84"/>
        <v>#NUM!</v>
      </c>
      <c r="AE186" s="359" t="e">
        <f t="shared" si="72"/>
        <v>#NUM!</v>
      </c>
    </row>
    <row r="187" spans="2:31" x14ac:dyDescent="0.25">
      <c r="B187" s="354" t="s">
        <v>559</v>
      </c>
      <c r="C187" s="355" t="e">
        <f t="shared" si="61"/>
        <v>#VALUE!</v>
      </c>
      <c r="D187" s="356" t="e">
        <f t="shared" si="62"/>
        <v>#VALUE!</v>
      </c>
      <c r="E187" s="357" t="e">
        <f t="shared" si="81"/>
        <v>#VALUE!</v>
      </c>
      <c r="F187" s="358" t="e">
        <f t="shared" si="81"/>
        <v>#VALUE!</v>
      </c>
      <c r="G187" s="359" t="e">
        <f t="shared" si="64"/>
        <v>#VALUE!</v>
      </c>
      <c r="J187" s="354" t="str">
        <f t="shared" si="60"/>
        <v>M178</v>
      </c>
      <c r="K187" s="355">
        <f t="shared" si="65"/>
        <v>3223.8012573920832</v>
      </c>
      <c r="L187" s="356">
        <f t="shared" si="73"/>
        <v>-1215.0175512734888</v>
      </c>
      <c r="M187" s="357">
        <f t="shared" si="82"/>
        <v>301032.90741021081</v>
      </c>
      <c r="N187" s="358">
        <f t="shared" si="82"/>
        <v>56530.592278899036</v>
      </c>
      <c r="O187" s="359">
        <f t="shared" si="67"/>
        <v>-149025.90741021073</v>
      </c>
      <c r="R187" s="354"/>
      <c r="S187" s="355">
        <f t="shared" si="68"/>
        <v>8218.264513932796</v>
      </c>
      <c r="T187" s="356">
        <f t="shared" si="74"/>
        <v>-779.89088384228319</v>
      </c>
      <c r="U187" s="357">
        <f t="shared" si="83"/>
        <v>771805.17057500652</v>
      </c>
      <c r="V187" s="358">
        <f t="shared" si="83"/>
        <v>552225.33558110485</v>
      </c>
      <c r="W187" s="359">
        <f t="shared" si="69"/>
        <v>-101805.17057500678</v>
      </c>
      <c r="Z187" s="354"/>
      <c r="AA187" s="355" t="e">
        <f t="shared" si="70"/>
        <v>#NUM!</v>
      </c>
      <c r="AB187" s="356" t="e">
        <f t="shared" si="71"/>
        <v>#NUM!</v>
      </c>
      <c r="AC187" s="357" t="e">
        <f t="shared" si="84"/>
        <v>#NUM!</v>
      </c>
      <c r="AD187" s="358" t="e">
        <f t="shared" si="84"/>
        <v>#NUM!</v>
      </c>
      <c r="AE187" s="359" t="e">
        <f t="shared" si="72"/>
        <v>#NUM!</v>
      </c>
    </row>
    <row r="188" spans="2:31" x14ac:dyDescent="0.25">
      <c r="B188" s="354" t="s">
        <v>560</v>
      </c>
      <c r="C188" s="355" t="e">
        <f t="shared" si="61"/>
        <v>#VALUE!</v>
      </c>
      <c r="D188" s="356" t="e">
        <f t="shared" si="62"/>
        <v>#VALUE!</v>
      </c>
      <c r="E188" s="357" t="e">
        <f t="shared" ref="E188:F203" si="85">E187+C188</f>
        <v>#VALUE!</v>
      </c>
      <c r="F188" s="358" t="e">
        <f t="shared" si="85"/>
        <v>#VALUE!</v>
      </c>
      <c r="G188" s="359" t="e">
        <f t="shared" si="64"/>
        <v>#VALUE!</v>
      </c>
      <c r="J188" s="354" t="str">
        <f t="shared" si="60"/>
        <v>M179</v>
      </c>
      <c r="K188" s="355">
        <f t="shared" si="65"/>
        <v>3250.6662678703506</v>
      </c>
      <c r="L188" s="356">
        <f t="shared" si="73"/>
        <v>-1241.8825617517559</v>
      </c>
      <c r="M188" s="357">
        <f t="shared" ref="M188:N203" si="86">M187+K188</f>
        <v>304283.57367808116</v>
      </c>
      <c r="N188" s="358">
        <f t="shared" si="86"/>
        <v>55288.709717147278</v>
      </c>
      <c r="O188" s="359">
        <f t="shared" si="67"/>
        <v>-152276.57367808107</v>
      </c>
      <c r="R188" s="354"/>
      <c r="S188" s="355">
        <f t="shared" si="68"/>
        <v>8286.7500515489028</v>
      </c>
      <c r="T188" s="356">
        <f t="shared" si="74"/>
        <v>-848.37642145838981</v>
      </c>
      <c r="U188" s="357">
        <f t="shared" si="83"/>
        <v>780091.92062655545</v>
      </c>
      <c r="V188" s="358">
        <f t="shared" si="83"/>
        <v>551376.95915964642</v>
      </c>
      <c r="W188" s="359">
        <f t="shared" si="69"/>
        <v>-110091.92062655569</v>
      </c>
      <c r="Z188" s="354"/>
      <c r="AA188" s="355" t="e">
        <f t="shared" si="70"/>
        <v>#NUM!</v>
      </c>
      <c r="AB188" s="356" t="e">
        <f t="shared" si="71"/>
        <v>#NUM!</v>
      </c>
      <c r="AC188" s="357" t="e">
        <f t="shared" si="84"/>
        <v>#NUM!</v>
      </c>
      <c r="AD188" s="358" t="e">
        <f t="shared" si="84"/>
        <v>#NUM!</v>
      </c>
      <c r="AE188" s="359" t="e">
        <f t="shared" si="72"/>
        <v>#NUM!</v>
      </c>
    </row>
    <row r="189" spans="2:31" x14ac:dyDescent="0.25">
      <c r="B189" s="354" t="s">
        <v>561</v>
      </c>
      <c r="C189" s="355" t="e">
        <f t="shared" si="61"/>
        <v>#VALUE!</v>
      </c>
      <c r="D189" s="356" t="e">
        <f t="shared" si="62"/>
        <v>#VALUE!</v>
      </c>
      <c r="E189" s="357" t="e">
        <f t="shared" si="85"/>
        <v>#VALUE!</v>
      </c>
      <c r="F189" s="358" t="e">
        <f t="shared" si="85"/>
        <v>#VALUE!</v>
      </c>
      <c r="G189" s="359" t="e">
        <f t="shared" si="64"/>
        <v>#VALUE!</v>
      </c>
      <c r="J189" s="354" t="str">
        <f t="shared" si="60"/>
        <v>M180</v>
      </c>
      <c r="K189" s="355">
        <f t="shared" si="65"/>
        <v>3277.7551534359363</v>
      </c>
      <c r="L189" s="356">
        <f t="shared" si="73"/>
        <v>-1268.9714473173422</v>
      </c>
      <c r="M189" s="357">
        <f t="shared" si="86"/>
        <v>307561.32883151708</v>
      </c>
      <c r="N189" s="358">
        <f t="shared" si="86"/>
        <v>54019.738269829933</v>
      </c>
      <c r="O189" s="359">
        <f t="shared" si="67"/>
        <v>-155554.32883151699</v>
      </c>
      <c r="R189" s="354"/>
      <c r="S189" s="355">
        <f t="shared" si="68"/>
        <v>8355.8063019784768</v>
      </c>
      <c r="T189" s="356">
        <f t="shared" si="74"/>
        <v>-917.43267188796403</v>
      </c>
      <c r="U189" s="357">
        <f t="shared" si="83"/>
        <v>788447.72692853399</v>
      </c>
      <c r="V189" s="358">
        <f t="shared" si="83"/>
        <v>550459.5264877585</v>
      </c>
      <c r="W189" s="359">
        <f t="shared" si="69"/>
        <v>-118447.72692853416</v>
      </c>
      <c r="Z189" s="354"/>
      <c r="AA189" s="355" t="e">
        <f t="shared" si="70"/>
        <v>#NUM!</v>
      </c>
      <c r="AB189" s="356" t="e">
        <f t="shared" si="71"/>
        <v>#NUM!</v>
      </c>
      <c r="AC189" s="357" t="e">
        <f t="shared" si="84"/>
        <v>#NUM!</v>
      </c>
      <c r="AD189" s="358" t="e">
        <f t="shared" si="84"/>
        <v>#NUM!</v>
      </c>
      <c r="AE189" s="359" t="e">
        <f t="shared" si="72"/>
        <v>#NUM!</v>
      </c>
    </row>
    <row r="190" spans="2:31" x14ac:dyDescent="0.25">
      <c r="B190" s="354" t="s">
        <v>562</v>
      </c>
      <c r="C190" s="355" t="e">
        <f t="shared" si="61"/>
        <v>#VALUE!</v>
      </c>
      <c r="D190" s="356" t="e">
        <f t="shared" si="62"/>
        <v>#VALUE!</v>
      </c>
      <c r="E190" s="357" t="e">
        <f t="shared" si="85"/>
        <v>#VALUE!</v>
      </c>
      <c r="F190" s="358" t="e">
        <f t="shared" si="85"/>
        <v>#VALUE!</v>
      </c>
      <c r="G190" s="359" t="e">
        <f t="shared" si="64"/>
        <v>#VALUE!</v>
      </c>
      <c r="J190" s="354" t="str">
        <f t="shared" si="60"/>
        <v>M181</v>
      </c>
      <c r="K190" s="355">
        <f t="shared" si="65"/>
        <v>3305.0697797145694</v>
      </c>
      <c r="L190" s="356">
        <f t="shared" si="73"/>
        <v>-1296.2860735959748</v>
      </c>
      <c r="M190" s="357">
        <f t="shared" si="86"/>
        <v>310866.39861123165</v>
      </c>
      <c r="N190" s="358">
        <f t="shared" si="86"/>
        <v>52723.452196233957</v>
      </c>
      <c r="O190" s="359">
        <f t="shared" si="67"/>
        <v>-158859.39861123156</v>
      </c>
      <c r="R190" s="354"/>
      <c r="S190" s="355">
        <f t="shared" si="68"/>
        <v>8425.4380211616317</v>
      </c>
      <c r="T190" s="356">
        <f t="shared" si="74"/>
        <v>-987.06439107111794</v>
      </c>
      <c r="U190" s="357">
        <f t="shared" si="83"/>
        <v>796873.16494969558</v>
      </c>
      <c r="V190" s="358">
        <f t="shared" si="83"/>
        <v>549472.46209668741</v>
      </c>
      <c r="W190" s="359">
        <f t="shared" si="69"/>
        <v>-126873.1649496958</v>
      </c>
      <c r="Z190" s="354"/>
      <c r="AA190" s="355" t="e">
        <f t="shared" si="70"/>
        <v>#NUM!</v>
      </c>
      <c r="AB190" s="356" t="e">
        <f t="shared" si="71"/>
        <v>#NUM!</v>
      </c>
      <c r="AC190" s="357" t="e">
        <f t="shared" si="84"/>
        <v>#NUM!</v>
      </c>
      <c r="AD190" s="358" t="e">
        <f t="shared" si="84"/>
        <v>#NUM!</v>
      </c>
      <c r="AE190" s="359" t="e">
        <f t="shared" si="72"/>
        <v>#NUM!</v>
      </c>
    </row>
    <row r="191" spans="2:31" x14ac:dyDescent="0.25">
      <c r="B191" s="354" t="s">
        <v>563</v>
      </c>
      <c r="C191" s="355" t="e">
        <f t="shared" si="61"/>
        <v>#VALUE!</v>
      </c>
      <c r="D191" s="356" t="e">
        <f t="shared" si="62"/>
        <v>#VALUE!</v>
      </c>
      <c r="E191" s="357" t="e">
        <f t="shared" si="85"/>
        <v>#VALUE!</v>
      </c>
      <c r="F191" s="358" t="e">
        <f t="shared" si="85"/>
        <v>#VALUE!</v>
      </c>
      <c r="G191" s="359" t="e">
        <f t="shared" si="64"/>
        <v>#VALUE!</v>
      </c>
      <c r="J191" s="354" t="str">
        <f t="shared" si="60"/>
        <v>M182</v>
      </c>
      <c r="K191" s="355">
        <f t="shared" si="65"/>
        <v>3332.6120278788576</v>
      </c>
      <c r="L191" s="356">
        <f t="shared" si="73"/>
        <v>-1323.828321760263</v>
      </c>
      <c r="M191" s="357">
        <f t="shared" si="86"/>
        <v>314199.01063911052</v>
      </c>
      <c r="N191" s="358">
        <f t="shared" si="86"/>
        <v>51399.623874473691</v>
      </c>
      <c r="O191" s="359">
        <f t="shared" si="67"/>
        <v>-162192.01063911041</v>
      </c>
      <c r="R191" s="354"/>
      <c r="S191" s="355">
        <f t="shared" si="68"/>
        <v>8495.6500046713118</v>
      </c>
      <c r="T191" s="356">
        <f t="shared" si="74"/>
        <v>-1057.2763745807983</v>
      </c>
      <c r="U191" s="357">
        <f t="shared" si="83"/>
        <v>805368.81495436688</v>
      </c>
      <c r="V191" s="358">
        <f t="shared" si="83"/>
        <v>548415.1857221066</v>
      </c>
      <c r="W191" s="359">
        <f t="shared" si="69"/>
        <v>-135368.81495436712</v>
      </c>
      <c r="Z191" s="354"/>
      <c r="AA191" s="355" t="e">
        <f t="shared" si="70"/>
        <v>#NUM!</v>
      </c>
      <c r="AB191" s="356" t="e">
        <f t="shared" si="71"/>
        <v>#NUM!</v>
      </c>
      <c r="AC191" s="357" t="e">
        <f t="shared" si="84"/>
        <v>#NUM!</v>
      </c>
      <c r="AD191" s="358" t="e">
        <f t="shared" si="84"/>
        <v>#NUM!</v>
      </c>
      <c r="AE191" s="359" t="e">
        <f t="shared" si="72"/>
        <v>#NUM!</v>
      </c>
    </row>
    <row r="192" spans="2:31" x14ac:dyDescent="0.25">
      <c r="B192" s="354" t="s">
        <v>564</v>
      </c>
      <c r="C192" s="355" t="e">
        <f t="shared" si="61"/>
        <v>#VALUE!</v>
      </c>
      <c r="D192" s="356" t="e">
        <f t="shared" si="62"/>
        <v>#VALUE!</v>
      </c>
      <c r="E192" s="357" t="e">
        <f t="shared" si="85"/>
        <v>#VALUE!</v>
      </c>
      <c r="F192" s="358" t="e">
        <f t="shared" si="85"/>
        <v>#VALUE!</v>
      </c>
      <c r="G192" s="359" t="e">
        <f t="shared" si="64"/>
        <v>#VALUE!</v>
      </c>
      <c r="J192" s="354" t="str">
        <f t="shared" si="60"/>
        <v>M183</v>
      </c>
      <c r="K192" s="355">
        <f t="shared" si="65"/>
        <v>3360.3837947778475</v>
      </c>
      <c r="L192" s="356">
        <f t="shared" si="73"/>
        <v>-1351.6000886592533</v>
      </c>
      <c r="M192" s="357">
        <f t="shared" si="86"/>
        <v>317559.39443388837</v>
      </c>
      <c r="N192" s="358">
        <f t="shared" si="86"/>
        <v>50048.023785814439</v>
      </c>
      <c r="O192" s="359">
        <f t="shared" si="67"/>
        <v>-165552.39443388826</v>
      </c>
      <c r="R192" s="354"/>
      <c r="S192" s="355">
        <f t="shared" si="68"/>
        <v>8566.4470880435729</v>
      </c>
      <c r="T192" s="356">
        <f t="shared" si="74"/>
        <v>-1128.0734579530592</v>
      </c>
      <c r="U192" s="357">
        <f t="shared" ref="U192:V207" si="87">U191+S192</f>
        <v>813935.26204241044</v>
      </c>
      <c r="V192" s="358">
        <f t="shared" si="87"/>
        <v>547287.11226415355</v>
      </c>
      <c r="W192" s="359">
        <f t="shared" si="69"/>
        <v>-143935.2620424107</v>
      </c>
      <c r="Z192" s="354"/>
      <c r="AA192" s="355" t="e">
        <f t="shared" si="70"/>
        <v>#NUM!</v>
      </c>
      <c r="AB192" s="356" t="e">
        <f t="shared" si="71"/>
        <v>#NUM!</v>
      </c>
      <c r="AC192" s="357" t="e">
        <f t="shared" ref="AC192:AD207" si="88">AC191+AA192</f>
        <v>#NUM!</v>
      </c>
      <c r="AD192" s="358" t="e">
        <f t="shared" si="88"/>
        <v>#NUM!</v>
      </c>
      <c r="AE192" s="359" t="e">
        <f t="shared" si="72"/>
        <v>#NUM!</v>
      </c>
    </row>
    <row r="193" spans="2:31" x14ac:dyDescent="0.25">
      <c r="B193" s="354" t="s">
        <v>565</v>
      </c>
      <c r="C193" s="355" t="e">
        <f t="shared" si="61"/>
        <v>#VALUE!</v>
      </c>
      <c r="D193" s="356" t="e">
        <f t="shared" si="62"/>
        <v>#VALUE!</v>
      </c>
      <c r="E193" s="357" t="e">
        <f t="shared" si="85"/>
        <v>#VALUE!</v>
      </c>
      <c r="F193" s="358" t="e">
        <f t="shared" si="85"/>
        <v>#VALUE!</v>
      </c>
      <c r="G193" s="359" t="e">
        <f t="shared" si="64"/>
        <v>#VALUE!</v>
      </c>
      <c r="J193" s="354" t="str">
        <f t="shared" si="60"/>
        <v>M184</v>
      </c>
      <c r="K193" s="355">
        <f t="shared" si="65"/>
        <v>3388.3869930676633</v>
      </c>
      <c r="L193" s="356">
        <f t="shared" si="73"/>
        <v>-1379.6032869490689</v>
      </c>
      <c r="M193" s="357">
        <f t="shared" si="86"/>
        <v>320947.78142695606</v>
      </c>
      <c r="N193" s="358">
        <f t="shared" si="86"/>
        <v>48668.420498865373</v>
      </c>
      <c r="O193" s="359">
        <f t="shared" si="67"/>
        <v>-168940.78142695592</v>
      </c>
      <c r="R193" s="354"/>
      <c r="S193" s="355">
        <f t="shared" si="68"/>
        <v>8637.8341471106014</v>
      </c>
      <c r="T193" s="356">
        <f t="shared" si="74"/>
        <v>-1199.4605170200891</v>
      </c>
      <c r="U193" s="357">
        <f t="shared" si="87"/>
        <v>822573.09618952102</v>
      </c>
      <c r="V193" s="358">
        <f t="shared" si="87"/>
        <v>546087.65174713347</v>
      </c>
      <c r="W193" s="359">
        <f t="shared" si="69"/>
        <v>-152573.09618952131</v>
      </c>
      <c r="Z193" s="354"/>
      <c r="AA193" s="355" t="e">
        <f t="shared" si="70"/>
        <v>#NUM!</v>
      </c>
      <c r="AB193" s="356" t="e">
        <f t="shared" si="71"/>
        <v>#NUM!</v>
      </c>
      <c r="AC193" s="357" t="e">
        <f t="shared" si="88"/>
        <v>#NUM!</v>
      </c>
      <c r="AD193" s="358" t="e">
        <f t="shared" si="88"/>
        <v>#NUM!</v>
      </c>
      <c r="AE193" s="359" t="e">
        <f t="shared" si="72"/>
        <v>#NUM!</v>
      </c>
    </row>
    <row r="194" spans="2:31" x14ac:dyDescent="0.25">
      <c r="B194" s="354" t="s">
        <v>566</v>
      </c>
      <c r="C194" s="355" t="e">
        <f t="shared" si="61"/>
        <v>#VALUE!</v>
      </c>
      <c r="D194" s="356" t="e">
        <f t="shared" si="62"/>
        <v>#VALUE!</v>
      </c>
      <c r="E194" s="357" t="e">
        <f t="shared" si="85"/>
        <v>#VALUE!</v>
      </c>
      <c r="F194" s="358" t="e">
        <f t="shared" si="85"/>
        <v>#VALUE!</v>
      </c>
      <c r="G194" s="359" t="e">
        <f t="shared" si="64"/>
        <v>#VALUE!</v>
      </c>
      <c r="J194" s="354" t="str">
        <f t="shared" si="60"/>
        <v>M185</v>
      </c>
      <c r="K194" s="355">
        <f t="shared" si="65"/>
        <v>3416.6235513432271</v>
      </c>
      <c r="L194" s="356">
        <f t="shared" si="73"/>
        <v>-1407.8398452246327</v>
      </c>
      <c r="M194" s="357">
        <f t="shared" si="86"/>
        <v>324364.40497829928</v>
      </c>
      <c r="N194" s="358">
        <f t="shared" si="86"/>
        <v>47260.58065364074</v>
      </c>
      <c r="O194" s="359">
        <f t="shared" si="67"/>
        <v>-172357.40497829914</v>
      </c>
      <c r="R194" s="354"/>
      <c r="S194" s="355">
        <f t="shared" si="68"/>
        <v>8709.8160983365233</v>
      </c>
      <c r="T194" s="356">
        <f t="shared" si="74"/>
        <v>-1271.442468246011</v>
      </c>
      <c r="U194" s="357">
        <f t="shared" si="87"/>
        <v>831282.9122878575</v>
      </c>
      <c r="V194" s="358">
        <f t="shared" si="87"/>
        <v>544816.20927888749</v>
      </c>
      <c r="W194" s="359">
        <f t="shared" si="69"/>
        <v>-161282.91228785785</v>
      </c>
      <c r="Z194" s="354"/>
      <c r="AA194" s="355" t="e">
        <f t="shared" si="70"/>
        <v>#NUM!</v>
      </c>
      <c r="AB194" s="356" t="e">
        <f t="shared" si="71"/>
        <v>#NUM!</v>
      </c>
      <c r="AC194" s="357" t="e">
        <f t="shared" si="88"/>
        <v>#NUM!</v>
      </c>
      <c r="AD194" s="358" t="e">
        <f t="shared" si="88"/>
        <v>#NUM!</v>
      </c>
      <c r="AE194" s="359" t="e">
        <f t="shared" si="72"/>
        <v>#NUM!</v>
      </c>
    </row>
    <row r="195" spans="2:31" x14ac:dyDescent="0.25">
      <c r="B195" s="354" t="s">
        <v>567</v>
      </c>
      <c r="C195" s="355" t="e">
        <f t="shared" si="61"/>
        <v>#VALUE!</v>
      </c>
      <c r="D195" s="356" t="e">
        <f t="shared" si="62"/>
        <v>#VALUE!</v>
      </c>
      <c r="E195" s="357" t="e">
        <f t="shared" si="85"/>
        <v>#VALUE!</v>
      </c>
      <c r="F195" s="358" t="e">
        <f t="shared" si="85"/>
        <v>#VALUE!</v>
      </c>
      <c r="G195" s="359" t="e">
        <f t="shared" si="64"/>
        <v>#VALUE!</v>
      </c>
      <c r="J195" s="354" t="str">
        <f t="shared" si="60"/>
        <v>M186</v>
      </c>
      <c r="K195" s="355">
        <f t="shared" si="65"/>
        <v>3445.0954142710871</v>
      </c>
      <c r="L195" s="356">
        <f t="shared" si="73"/>
        <v>-1436.3117081524929</v>
      </c>
      <c r="M195" s="357">
        <f t="shared" si="86"/>
        <v>327809.50039257039</v>
      </c>
      <c r="N195" s="358">
        <f t="shared" si="86"/>
        <v>45824.268945488249</v>
      </c>
      <c r="O195" s="359">
        <f t="shared" si="67"/>
        <v>-175802.50039257022</v>
      </c>
      <c r="R195" s="354"/>
      <c r="S195" s="355">
        <f t="shared" si="68"/>
        <v>8782.3978991559943</v>
      </c>
      <c r="T195" s="356">
        <f t="shared" si="74"/>
        <v>-1344.024269065482</v>
      </c>
      <c r="U195" s="357">
        <f t="shared" si="87"/>
        <v>840065.31018701347</v>
      </c>
      <c r="V195" s="358">
        <f t="shared" si="87"/>
        <v>543472.18500982202</v>
      </c>
      <c r="W195" s="359">
        <f t="shared" si="69"/>
        <v>-170065.31018701385</v>
      </c>
      <c r="Z195" s="354"/>
      <c r="AA195" s="355" t="e">
        <f t="shared" si="70"/>
        <v>#NUM!</v>
      </c>
      <c r="AB195" s="356" t="e">
        <f t="shared" si="71"/>
        <v>#NUM!</v>
      </c>
      <c r="AC195" s="357" t="e">
        <f t="shared" si="88"/>
        <v>#NUM!</v>
      </c>
      <c r="AD195" s="358" t="e">
        <f t="shared" si="88"/>
        <v>#NUM!</v>
      </c>
      <c r="AE195" s="359" t="e">
        <f t="shared" si="72"/>
        <v>#NUM!</v>
      </c>
    </row>
    <row r="196" spans="2:31" x14ac:dyDescent="0.25">
      <c r="B196" s="354" t="s">
        <v>568</v>
      </c>
      <c r="C196" s="355" t="e">
        <f t="shared" si="61"/>
        <v>#VALUE!</v>
      </c>
      <c r="D196" s="356" t="e">
        <f t="shared" si="62"/>
        <v>#VALUE!</v>
      </c>
      <c r="E196" s="357" t="e">
        <f t="shared" si="85"/>
        <v>#VALUE!</v>
      </c>
      <c r="F196" s="358" t="e">
        <f t="shared" si="85"/>
        <v>#VALUE!</v>
      </c>
      <c r="G196" s="359" t="e">
        <f t="shared" si="64"/>
        <v>#VALUE!</v>
      </c>
      <c r="J196" s="354" t="str">
        <f t="shared" si="60"/>
        <v>M187</v>
      </c>
      <c r="K196" s="355">
        <f t="shared" si="65"/>
        <v>3473.8045427233465</v>
      </c>
      <c r="L196" s="356">
        <f t="shared" si="73"/>
        <v>-1465.0208366047518</v>
      </c>
      <c r="M196" s="357">
        <f t="shared" si="86"/>
        <v>331283.30493529374</v>
      </c>
      <c r="N196" s="358">
        <f t="shared" si="86"/>
        <v>44359.248108883497</v>
      </c>
      <c r="O196" s="359">
        <f t="shared" si="67"/>
        <v>-179276.30493529356</v>
      </c>
      <c r="R196" s="354"/>
      <c r="S196" s="355">
        <f t="shared" si="68"/>
        <v>8855.5845483156281</v>
      </c>
      <c r="T196" s="356">
        <f t="shared" si="74"/>
        <v>-1417.2109182251154</v>
      </c>
      <c r="U196" s="357">
        <f t="shared" si="87"/>
        <v>848920.89473532909</v>
      </c>
      <c r="V196" s="358">
        <f t="shared" si="87"/>
        <v>542054.9740915969</v>
      </c>
      <c r="W196" s="359">
        <f t="shared" si="69"/>
        <v>-178920.89473532946</v>
      </c>
      <c r="Z196" s="354"/>
      <c r="AA196" s="355" t="e">
        <f t="shared" si="70"/>
        <v>#NUM!</v>
      </c>
      <c r="AB196" s="356" t="e">
        <f t="shared" si="71"/>
        <v>#NUM!</v>
      </c>
      <c r="AC196" s="357" t="e">
        <f t="shared" si="88"/>
        <v>#NUM!</v>
      </c>
      <c r="AD196" s="358" t="e">
        <f t="shared" si="88"/>
        <v>#NUM!</v>
      </c>
      <c r="AE196" s="359" t="e">
        <f t="shared" si="72"/>
        <v>#NUM!</v>
      </c>
    </row>
    <row r="197" spans="2:31" x14ac:dyDescent="0.25">
      <c r="B197" s="354" t="s">
        <v>569</v>
      </c>
      <c r="C197" s="355" t="e">
        <f t="shared" si="61"/>
        <v>#VALUE!</v>
      </c>
      <c r="D197" s="356" t="e">
        <f t="shared" si="62"/>
        <v>#VALUE!</v>
      </c>
      <c r="E197" s="357" t="e">
        <f t="shared" si="85"/>
        <v>#VALUE!</v>
      </c>
      <c r="F197" s="358" t="e">
        <f t="shared" si="85"/>
        <v>#VALUE!</v>
      </c>
      <c r="G197" s="359" t="e">
        <f t="shared" si="64"/>
        <v>#VALUE!</v>
      </c>
      <c r="J197" s="354" t="str">
        <f t="shared" si="60"/>
        <v>M188</v>
      </c>
      <c r="K197" s="355">
        <f t="shared" si="65"/>
        <v>3502.7529139127073</v>
      </c>
      <c r="L197" s="356">
        <f t="shared" si="73"/>
        <v>-1493.9692077941131</v>
      </c>
      <c r="M197" s="357">
        <f t="shared" si="86"/>
        <v>334786.05784920644</v>
      </c>
      <c r="N197" s="358">
        <f t="shared" si="86"/>
        <v>42865.278901089383</v>
      </c>
      <c r="O197" s="359">
        <f t="shared" si="67"/>
        <v>-182779.05784920626</v>
      </c>
      <c r="R197" s="354"/>
      <c r="S197" s="355">
        <f t="shared" si="68"/>
        <v>8929.3810862182581</v>
      </c>
      <c r="T197" s="356">
        <f t="shared" si="74"/>
        <v>-1491.0074561277456</v>
      </c>
      <c r="U197" s="357">
        <f t="shared" si="87"/>
        <v>857850.27582154737</v>
      </c>
      <c r="V197" s="358">
        <f t="shared" si="87"/>
        <v>540563.96663546911</v>
      </c>
      <c r="W197" s="359">
        <f t="shared" si="69"/>
        <v>-187850.27582154772</v>
      </c>
      <c r="Z197" s="354"/>
      <c r="AA197" s="355" t="e">
        <f t="shared" si="70"/>
        <v>#NUM!</v>
      </c>
      <c r="AB197" s="356" t="e">
        <f t="shared" si="71"/>
        <v>#NUM!</v>
      </c>
      <c r="AC197" s="357" t="e">
        <f t="shared" si="88"/>
        <v>#NUM!</v>
      </c>
      <c r="AD197" s="358" t="e">
        <f t="shared" si="88"/>
        <v>#NUM!</v>
      </c>
      <c r="AE197" s="359" t="e">
        <f t="shared" si="72"/>
        <v>#NUM!</v>
      </c>
    </row>
    <row r="198" spans="2:31" x14ac:dyDescent="0.25">
      <c r="B198" s="354" t="s">
        <v>570</v>
      </c>
      <c r="C198" s="355" t="e">
        <f t="shared" si="61"/>
        <v>#VALUE!</v>
      </c>
      <c r="D198" s="356" t="e">
        <f t="shared" si="62"/>
        <v>#VALUE!</v>
      </c>
      <c r="E198" s="357" t="e">
        <f t="shared" si="85"/>
        <v>#VALUE!</v>
      </c>
      <c r="F198" s="358" t="e">
        <f t="shared" si="85"/>
        <v>#VALUE!</v>
      </c>
      <c r="G198" s="359" t="e">
        <f t="shared" si="64"/>
        <v>#VALUE!</v>
      </c>
      <c r="J198" s="354" t="str">
        <f t="shared" si="60"/>
        <v>M189</v>
      </c>
      <c r="K198" s="355">
        <f t="shared" si="65"/>
        <v>3531.9425215286465</v>
      </c>
      <c r="L198" s="356">
        <f t="shared" si="73"/>
        <v>-1523.1588154100523</v>
      </c>
      <c r="M198" s="357">
        <f t="shared" si="86"/>
        <v>338318.00037073507</v>
      </c>
      <c r="N198" s="358">
        <f t="shared" si="86"/>
        <v>41342.120085679329</v>
      </c>
      <c r="O198" s="359">
        <f t="shared" si="67"/>
        <v>-186311.0003707349</v>
      </c>
      <c r="R198" s="354"/>
      <c r="S198" s="355">
        <f t="shared" si="68"/>
        <v>9003.7925952700771</v>
      </c>
      <c r="T198" s="356">
        <f t="shared" si="74"/>
        <v>-1565.4189651795643</v>
      </c>
      <c r="U198" s="357">
        <f t="shared" si="87"/>
        <v>866854.06841681746</v>
      </c>
      <c r="V198" s="358">
        <f t="shared" si="87"/>
        <v>538998.54767028952</v>
      </c>
      <c r="W198" s="359">
        <f t="shared" si="69"/>
        <v>-196854.06841681781</v>
      </c>
      <c r="Z198" s="354"/>
      <c r="AA198" s="355" t="e">
        <f t="shared" si="70"/>
        <v>#NUM!</v>
      </c>
      <c r="AB198" s="356" t="e">
        <f t="shared" si="71"/>
        <v>#NUM!</v>
      </c>
      <c r="AC198" s="357" t="e">
        <f t="shared" si="88"/>
        <v>#NUM!</v>
      </c>
      <c r="AD198" s="358" t="e">
        <f t="shared" si="88"/>
        <v>#NUM!</v>
      </c>
      <c r="AE198" s="359" t="e">
        <f t="shared" si="72"/>
        <v>#NUM!</v>
      </c>
    </row>
    <row r="199" spans="2:31" x14ac:dyDescent="0.25">
      <c r="B199" s="354" t="s">
        <v>571</v>
      </c>
      <c r="C199" s="355" t="e">
        <f t="shared" si="61"/>
        <v>#VALUE!</v>
      </c>
      <c r="D199" s="356" t="e">
        <f t="shared" si="62"/>
        <v>#VALUE!</v>
      </c>
      <c r="E199" s="357" t="e">
        <f t="shared" si="85"/>
        <v>#VALUE!</v>
      </c>
      <c r="F199" s="358" t="e">
        <f t="shared" si="85"/>
        <v>#VALUE!</v>
      </c>
      <c r="G199" s="359" t="e">
        <f t="shared" si="64"/>
        <v>#VALUE!</v>
      </c>
      <c r="J199" s="354" t="str">
        <f t="shared" si="60"/>
        <v>M190</v>
      </c>
      <c r="K199" s="355">
        <f t="shared" si="65"/>
        <v>3561.3753758747184</v>
      </c>
      <c r="L199" s="356">
        <f t="shared" si="73"/>
        <v>-1552.591669756124</v>
      </c>
      <c r="M199" s="357">
        <f t="shared" si="86"/>
        <v>341879.37574660976</v>
      </c>
      <c r="N199" s="358">
        <f t="shared" si="86"/>
        <v>39789.528415923203</v>
      </c>
      <c r="O199" s="359">
        <f t="shared" si="67"/>
        <v>-189872.37574660961</v>
      </c>
      <c r="R199" s="354"/>
      <c r="S199" s="355">
        <f t="shared" si="68"/>
        <v>9078.8242002306615</v>
      </c>
      <c r="T199" s="356">
        <f t="shared" si="74"/>
        <v>-1640.4505701401483</v>
      </c>
      <c r="U199" s="357">
        <f t="shared" si="87"/>
        <v>875932.89261704811</v>
      </c>
      <c r="V199" s="358">
        <f t="shared" si="87"/>
        <v>537358.09710014937</v>
      </c>
      <c r="W199" s="359">
        <f t="shared" si="69"/>
        <v>-205932.89261704846</v>
      </c>
      <c r="Z199" s="354"/>
      <c r="AA199" s="355" t="e">
        <f t="shared" si="70"/>
        <v>#NUM!</v>
      </c>
      <c r="AB199" s="356" t="e">
        <f t="shared" si="71"/>
        <v>#NUM!</v>
      </c>
      <c r="AC199" s="357" t="e">
        <f t="shared" si="88"/>
        <v>#NUM!</v>
      </c>
      <c r="AD199" s="358" t="e">
        <f t="shared" si="88"/>
        <v>#NUM!</v>
      </c>
      <c r="AE199" s="359" t="e">
        <f t="shared" si="72"/>
        <v>#NUM!</v>
      </c>
    </row>
    <row r="200" spans="2:31" x14ac:dyDescent="0.25">
      <c r="B200" s="354" t="s">
        <v>572</v>
      </c>
      <c r="C200" s="355" t="e">
        <f t="shared" si="61"/>
        <v>#VALUE!</v>
      </c>
      <c r="D200" s="356" t="e">
        <f t="shared" si="62"/>
        <v>#VALUE!</v>
      </c>
      <c r="E200" s="357" t="e">
        <f t="shared" si="85"/>
        <v>#VALUE!</v>
      </c>
      <c r="F200" s="358" t="e">
        <f t="shared" si="85"/>
        <v>#VALUE!</v>
      </c>
      <c r="G200" s="359" t="e">
        <f t="shared" si="64"/>
        <v>#VALUE!</v>
      </c>
      <c r="J200" s="354" t="str">
        <f t="shared" si="60"/>
        <v>M191</v>
      </c>
      <c r="K200" s="355">
        <f t="shared" si="65"/>
        <v>3591.0535040070081</v>
      </c>
      <c r="L200" s="356">
        <f t="shared" si="73"/>
        <v>-1582.2697978884134</v>
      </c>
      <c r="M200" s="357">
        <f t="shared" si="86"/>
        <v>345470.42925061675</v>
      </c>
      <c r="N200" s="358">
        <f t="shared" si="86"/>
        <v>38207.258618034786</v>
      </c>
      <c r="O200" s="359">
        <f t="shared" si="67"/>
        <v>-193463.42925061661</v>
      </c>
      <c r="R200" s="354"/>
      <c r="S200" s="355">
        <f t="shared" si="68"/>
        <v>9154.4810685659177</v>
      </c>
      <c r="T200" s="356">
        <f t="shared" si="74"/>
        <v>-1716.1074384754038</v>
      </c>
      <c r="U200" s="357">
        <f t="shared" si="87"/>
        <v>885087.37368561397</v>
      </c>
      <c r="V200" s="358">
        <f t="shared" si="87"/>
        <v>535641.98966167402</v>
      </c>
      <c r="W200" s="359">
        <f t="shared" si="69"/>
        <v>-215087.37368561438</v>
      </c>
      <c r="Z200" s="354"/>
      <c r="AA200" s="355" t="e">
        <f t="shared" si="70"/>
        <v>#NUM!</v>
      </c>
      <c r="AB200" s="356" t="e">
        <f t="shared" si="71"/>
        <v>#NUM!</v>
      </c>
      <c r="AC200" s="357" t="e">
        <f t="shared" si="88"/>
        <v>#NUM!</v>
      </c>
      <c r="AD200" s="358" t="e">
        <f t="shared" si="88"/>
        <v>#NUM!</v>
      </c>
      <c r="AE200" s="359" t="e">
        <f t="shared" si="72"/>
        <v>#NUM!</v>
      </c>
    </row>
    <row r="201" spans="2:31" x14ac:dyDescent="0.25">
      <c r="B201" s="354" t="s">
        <v>573</v>
      </c>
      <c r="C201" s="355" t="e">
        <f t="shared" si="61"/>
        <v>#VALUE!</v>
      </c>
      <c r="D201" s="356" t="e">
        <f t="shared" si="62"/>
        <v>#VALUE!</v>
      </c>
      <c r="E201" s="357" t="e">
        <f t="shared" si="85"/>
        <v>#VALUE!</v>
      </c>
      <c r="F201" s="358" t="e">
        <f t="shared" si="85"/>
        <v>#VALUE!</v>
      </c>
      <c r="G201" s="359" t="e">
        <f t="shared" si="64"/>
        <v>#VALUE!</v>
      </c>
      <c r="J201" s="354" t="str">
        <f t="shared" si="60"/>
        <v>M192</v>
      </c>
      <c r="K201" s="355">
        <f t="shared" si="65"/>
        <v>3620.9789498737327</v>
      </c>
      <c r="L201" s="356">
        <f t="shared" si="73"/>
        <v>-1612.1952437551383</v>
      </c>
      <c r="M201" s="357">
        <f t="shared" si="86"/>
        <v>349091.40820049046</v>
      </c>
      <c r="N201" s="358">
        <f t="shared" si="86"/>
        <v>36595.063374279649</v>
      </c>
      <c r="O201" s="359">
        <f t="shared" si="67"/>
        <v>-197084.40820049035</v>
      </c>
      <c r="R201" s="354"/>
      <c r="S201" s="355">
        <f t="shared" si="68"/>
        <v>9230.7684108039666</v>
      </c>
      <c r="T201" s="356">
        <f t="shared" si="74"/>
        <v>-1792.3947807134532</v>
      </c>
      <c r="U201" s="357">
        <f t="shared" si="87"/>
        <v>894318.14209641796</v>
      </c>
      <c r="V201" s="358">
        <f t="shared" si="87"/>
        <v>533849.59488096053</v>
      </c>
      <c r="W201" s="359">
        <f t="shared" si="69"/>
        <v>-224318.14209641833</v>
      </c>
      <c r="Z201" s="354"/>
      <c r="AA201" s="355" t="e">
        <f t="shared" si="70"/>
        <v>#NUM!</v>
      </c>
      <c r="AB201" s="356" t="e">
        <f t="shared" si="71"/>
        <v>#NUM!</v>
      </c>
      <c r="AC201" s="357" t="e">
        <f t="shared" si="88"/>
        <v>#NUM!</v>
      </c>
      <c r="AD201" s="358" t="e">
        <f t="shared" si="88"/>
        <v>#NUM!</v>
      </c>
      <c r="AE201" s="359" t="e">
        <f t="shared" si="72"/>
        <v>#NUM!</v>
      </c>
    </row>
    <row r="202" spans="2:31" x14ac:dyDescent="0.25">
      <c r="B202" s="354" t="s">
        <v>574</v>
      </c>
      <c r="C202" s="355" t="e">
        <f t="shared" si="61"/>
        <v>#VALUE!</v>
      </c>
      <c r="D202" s="356" t="e">
        <f t="shared" si="62"/>
        <v>#VALUE!</v>
      </c>
      <c r="E202" s="357" t="e">
        <f t="shared" si="85"/>
        <v>#VALUE!</v>
      </c>
      <c r="F202" s="358" t="e">
        <f t="shared" si="85"/>
        <v>#VALUE!</v>
      </c>
      <c r="G202" s="359" t="e">
        <f t="shared" si="64"/>
        <v>#VALUE!</v>
      </c>
      <c r="J202" s="354" t="str">
        <f t="shared" ref="J202:J249" si="89">B202</f>
        <v>M193</v>
      </c>
      <c r="K202" s="355">
        <f t="shared" si="65"/>
        <v>3651.1537744560137</v>
      </c>
      <c r="L202" s="356">
        <f t="shared" si="73"/>
        <v>-1642.3700683374195</v>
      </c>
      <c r="M202" s="357">
        <f t="shared" si="86"/>
        <v>352742.56197494647</v>
      </c>
      <c r="N202" s="358">
        <f t="shared" si="86"/>
        <v>34952.69330594223</v>
      </c>
      <c r="O202" s="359">
        <f t="shared" si="67"/>
        <v>-200735.56197494635</v>
      </c>
      <c r="R202" s="354"/>
      <c r="S202" s="355">
        <f t="shared" si="68"/>
        <v>9307.6914808939982</v>
      </c>
      <c r="T202" s="356">
        <f t="shared" si="74"/>
        <v>-1869.3178508034862</v>
      </c>
      <c r="U202" s="357">
        <f t="shared" si="87"/>
        <v>903625.83357731195</v>
      </c>
      <c r="V202" s="358">
        <f t="shared" si="87"/>
        <v>531980.27703015704</v>
      </c>
      <c r="W202" s="359">
        <f t="shared" si="69"/>
        <v>-233625.83357731233</v>
      </c>
      <c r="Z202" s="354"/>
      <c r="AA202" s="355" t="e">
        <f t="shared" si="70"/>
        <v>#NUM!</v>
      </c>
      <c r="AB202" s="356" t="e">
        <f t="shared" si="71"/>
        <v>#NUM!</v>
      </c>
      <c r="AC202" s="357" t="e">
        <f t="shared" si="88"/>
        <v>#NUM!</v>
      </c>
      <c r="AD202" s="358" t="e">
        <f t="shared" si="88"/>
        <v>#NUM!</v>
      </c>
      <c r="AE202" s="359" t="e">
        <f t="shared" si="72"/>
        <v>#NUM!</v>
      </c>
    </row>
    <row r="203" spans="2:31" x14ac:dyDescent="0.25">
      <c r="B203" s="354" t="s">
        <v>575</v>
      </c>
      <c r="C203" s="355" t="e">
        <f t="shared" si="61"/>
        <v>#VALUE!</v>
      </c>
      <c r="D203" s="356" t="e">
        <f t="shared" si="62"/>
        <v>#VALUE!</v>
      </c>
      <c r="E203" s="357" t="e">
        <f t="shared" si="85"/>
        <v>#VALUE!</v>
      </c>
      <c r="F203" s="358" t="e">
        <f t="shared" si="85"/>
        <v>#VALUE!</v>
      </c>
      <c r="G203" s="359" t="e">
        <f t="shared" si="64"/>
        <v>#VALUE!</v>
      </c>
      <c r="J203" s="354" t="str">
        <f t="shared" si="89"/>
        <v>M194</v>
      </c>
      <c r="K203" s="355">
        <f t="shared" si="65"/>
        <v>3681.5800559098143</v>
      </c>
      <c r="L203" s="356">
        <f t="shared" si="73"/>
        <v>-1672.7963497912197</v>
      </c>
      <c r="M203" s="357">
        <f t="shared" si="86"/>
        <v>356424.14203085628</v>
      </c>
      <c r="N203" s="358">
        <f t="shared" si="86"/>
        <v>33279.896956151009</v>
      </c>
      <c r="O203" s="359">
        <f t="shared" si="67"/>
        <v>-204417.14203085616</v>
      </c>
      <c r="R203" s="354"/>
      <c r="S203" s="355">
        <f t="shared" si="68"/>
        <v>9385.2555765681154</v>
      </c>
      <c r="T203" s="356">
        <f t="shared" si="74"/>
        <v>-1946.8819464776027</v>
      </c>
      <c r="U203" s="357">
        <f t="shared" si="87"/>
        <v>913011.08915388002</v>
      </c>
      <c r="V203" s="358">
        <f t="shared" si="87"/>
        <v>530033.39508367947</v>
      </c>
      <c r="W203" s="359">
        <f t="shared" si="69"/>
        <v>-243011.08915388043</v>
      </c>
      <c r="Z203" s="354"/>
      <c r="AA203" s="355" t="e">
        <f t="shared" si="70"/>
        <v>#NUM!</v>
      </c>
      <c r="AB203" s="356" t="e">
        <f t="shared" si="71"/>
        <v>#NUM!</v>
      </c>
      <c r="AC203" s="357" t="e">
        <f t="shared" si="88"/>
        <v>#NUM!</v>
      </c>
      <c r="AD203" s="358" t="e">
        <f t="shared" si="88"/>
        <v>#NUM!</v>
      </c>
      <c r="AE203" s="359" t="e">
        <f t="shared" si="72"/>
        <v>#NUM!</v>
      </c>
    </row>
    <row r="204" spans="2:31" x14ac:dyDescent="0.25">
      <c r="B204" s="354" t="s">
        <v>576</v>
      </c>
      <c r="C204" s="355" t="e">
        <f t="shared" ref="C204:C249" si="90">$D$6-D204</f>
        <v>#VALUE!</v>
      </c>
      <c r="D204" s="356" t="e">
        <f t="shared" ref="D204:D249" si="91">$D$4/12*G203</f>
        <v>#VALUE!</v>
      </c>
      <c r="E204" s="357" t="e">
        <f t="shared" ref="E204:F219" si="92">E203+C204</f>
        <v>#VALUE!</v>
      </c>
      <c r="F204" s="358" t="e">
        <f t="shared" si="92"/>
        <v>#VALUE!</v>
      </c>
      <c r="G204" s="359" t="e">
        <f t="shared" ref="G204:G249" si="93">G203-C204</f>
        <v>#VALUE!</v>
      </c>
      <c r="J204" s="354" t="str">
        <f t="shared" si="89"/>
        <v>M195</v>
      </c>
      <c r="K204" s="355">
        <f t="shared" ref="K204:K249" si="94">$L$6-L204</f>
        <v>3712.2598897090625</v>
      </c>
      <c r="L204" s="356">
        <f t="shared" si="73"/>
        <v>-1703.4761835904681</v>
      </c>
      <c r="M204" s="357">
        <f t="shared" ref="M204:N219" si="95">M203+K204</f>
        <v>360136.40192056535</v>
      </c>
      <c r="N204" s="358">
        <f t="shared" si="95"/>
        <v>31576.420772560541</v>
      </c>
      <c r="O204" s="359">
        <f t="shared" ref="O204:O249" si="96">O203-K204</f>
        <v>-208129.40192056523</v>
      </c>
      <c r="R204" s="354"/>
      <c r="S204" s="355">
        <f t="shared" ref="S204:S249" si="97">$T$6-T204</f>
        <v>9463.4660397061834</v>
      </c>
      <c r="T204" s="356">
        <f t="shared" si="74"/>
        <v>-2025.0924096156702</v>
      </c>
      <c r="U204" s="357">
        <f t="shared" si="87"/>
        <v>922474.55519358616</v>
      </c>
      <c r="V204" s="358">
        <f t="shared" si="87"/>
        <v>528008.30267406383</v>
      </c>
      <c r="W204" s="359">
        <f t="shared" ref="W204:W249" si="98">W203-S204</f>
        <v>-252474.55519358662</v>
      </c>
      <c r="Z204" s="354"/>
      <c r="AA204" s="355" t="e">
        <f t="shared" ref="AA204:AA249" si="99">$T$6-AB204</f>
        <v>#NUM!</v>
      </c>
      <c r="AB204" s="356" t="e">
        <f t="shared" ref="AB204:AB249" si="100">$AB$4/12*AE203</f>
        <v>#NUM!</v>
      </c>
      <c r="AC204" s="357" t="e">
        <f t="shared" si="88"/>
        <v>#NUM!</v>
      </c>
      <c r="AD204" s="358" t="e">
        <f t="shared" si="88"/>
        <v>#NUM!</v>
      </c>
      <c r="AE204" s="359" t="e">
        <f t="shared" ref="AE204:AE249" si="101">AE203-AA204</f>
        <v>#NUM!</v>
      </c>
    </row>
    <row r="205" spans="2:31" x14ac:dyDescent="0.25">
      <c r="B205" s="354" t="s">
        <v>577</v>
      </c>
      <c r="C205" s="355" t="e">
        <f t="shared" si="90"/>
        <v>#VALUE!</v>
      </c>
      <c r="D205" s="356" t="e">
        <f t="shared" si="91"/>
        <v>#VALUE!</v>
      </c>
      <c r="E205" s="357" t="e">
        <f t="shared" si="92"/>
        <v>#VALUE!</v>
      </c>
      <c r="F205" s="358" t="e">
        <f t="shared" si="92"/>
        <v>#VALUE!</v>
      </c>
      <c r="G205" s="359" t="e">
        <f t="shared" si="93"/>
        <v>#VALUE!</v>
      </c>
      <c r="J205" s="354" t="str">
        <f t="shared" si="89"/>
        <v>M196</v>
      </c>
      <c r="K205" s="355">
        <f t="shared" si="94"/>
        <v>3743.1953887899713</v>
      </c>
      <c r="L205" s="356">
        <f t="shared" ref="L205:L248" si="102">$L$4/12*O204</f>
        <v>-1734.4116826713769</v>
      </c>
      <c r="M205" s="357">
        <f t="shared" si="95"/>
        <v>363879.59730935533</v>
      </c>
      <c r="N205" s="358">
        <f t="shared" si="95"/>
        <v>29842.009089889165</v>
      </c>
      <c r="O205" s="359">
        <f t="shared" si="96"/>
        <v>-211872.59730935519</v>
      </c>
      <c r="R205" s="354"/>
      <c r="S205" s="355">
        <f t="shared" si="97"/>
        <v>9542.328256703735</v>
      </c>
      <c r="T205" s="356">
        <f t="shared" ref="T205:T248" si="103">$L$4/12*W204</f>
        <v>-2103.954626613222</v>
      </c>
      <c r="U205" s="357">
        <f t="shared" si="87"/>
        <v>932016.88345028984</v>
      </c>
      <c r="V205" s="358">
        <f t="shared" si="87"/>
        <v>525904.34804745065</v>
      </c>
      <c r="W205" s="359">
        <f t="shared" si="98"/>
        <v>-262016.88345029036</v>
      </c>
      <c r="Z205" s="354"/>
      <c r="AA205" s="355" t="e">
        <f t="shared" si="99"/>
        <v>#NUM!</v>
      </c>
      <c r="AB205" s="356" t="e">
        <f t="shared" si="100"/>
        <v>#NUM!</v>
      </c>
      <c r="AC205" s="357" t="e">
        <f t="shared" si="88"/>
        <v>#NUM!</v>
      </c>
      <c r="AD205" s="358" t="e">
        <f t="shared" si="88"/>
        <v>#NUM!</v>
      </c>
      <c r="AE205" s="359" t="e">
        <f t="shared" si="101"/>
        <v>#NUM!</v>
      </c>
    </row>
    <row r="206" spans="2:31" x14ac:dyDescent="0.25">
      <c r="B206" s="354" t="s">
        <v>578</v>
      </c>
      <c r="C206" s="355" t="e">
        <f t="shared" si="90"/>
        <v>#VALUE!</v>
      </c>
      <c r="D206" s="356" t="e">
        <f t="shared" si="91"/>
        <v>#VALUE!</v>
      </c>
      <c r="E206" s="357" t="e">
        <f t="shared" si="92"/>
        <v>#VALUE!</v>
      </c>
      <c r="F206" s="358" t="e">
        <f t="shared" si="92"/>
        <v>#VALUE!</v>
      </c>
      <c r="G206" s="359" t="e">
        <f t="shared" si="93"/>
        <v>#VALUE!</v>
      </c>
      <c r="J206" s="354" t="str">
        <f t="shared" si="89"/>
        <v>M197</v>
      </c>
      <c r="K206" s="355">
        <f t="shared" si="94"/>
        <v>3774.3886836965544</v>
      </c>
      <c r="L206" s="356">
        <f t="shared" si="102"/>
        <v>-1765.60497757796</v>
      </c>
      <c r="M206" s="357">
        <f t="shared" si="95"/>
        <v>367653.9859930519</v>
      </c>
      <c r="N206" s="358">
        <f t="shared" si="95"/>
        <v>28076.404112311204</v>
      </c>
      <c r="O206" s="359">
        <f t="shared" si="96"/>
        <v>-215646.98599305176</v>
      </c>
      <c r="R206" s="354"/>
      <c r="S206" s="355">
        <f t="shared" si="97"/>
        <v>9621.847658842933</v>
      </c>
      <c r="T206" s="356">
        <f t="shared" si="103"/>
        <v>-2183.4740287524196</v>
      </c>
      <c r="U206" s="357">
        <f t="shared" si="87"/>
        <v>941638.73110913276</v>
      </c>
      <c r="V206" s="358">
        <f t="shared" si="87"/>
        <v>523720.87401869823</v>
      </c>
      <c r="W206" s="359">
        <f t="shared" si="98"/>
        <v>-271638.73110913328</v>
      </c>
      <c r="Z206" s="354"/>
      <c r="AA206" s="355" t="e">
        <f t="shared" si="99"/>
        <v>#NUM!</v>
      </c>
      <c r="AB206" s="356" t="e">
        <f t="shared" si="100"/>
        <v>#NUM!</v>
      </c>
      <c r="AC206" s="357" t="e">
        <f t="shared" si="88"/>
        <v>#NUM!</v>
      </c>
      <c r="AD206" s="358" t="e">
        <f t="shared" si="88"/>
        <v>#NUM!</v>
      </c>
      <c r="AE206" s="359" t="e">
        <f t="shared" si="101"/>
        <v>#NUM!</v>
      </c>
    </row>
    <row r="207" spans="2:31" x14ac:dyDescent="0.25">
      <c r="B207" s="354" t="s">
        <v>579</v>
      </c>
      <c r="C207" s="355" t="e">
        <f t="shared" si="90"/>
        <v>#VALUE!</v>
      </c>
      <c r="D207" s="356" t="e">
        <f t="shared" si="91"/>
        <v>#VALUE!</v>
      </c>
      <c r="E207" s="357" t="e">
        <f t="shared" si="92"/>
        <v>#VALUE!</v>
      </c>
      <c r="F207" s="358" t="e">
        <f t="shared" si="92"/>
        <v>#VALUE!</v>
      </c>
      <c r="G207" s="359" t="e">
        <f t="shared" si="93"/>
        <v>#VALUE!</v>
      </c>
      <c r="J207" s="354" t="str">
        <f t="shared" si="89"/>
        <v>M198</v>
      </c>
      <c r="K207" s="355">
        <f t="shared" si="94"/>
        <v>3805.8419227273589</v>
      </c>
      <c r="L207" s="356">
        <f t="shared" si="102"/>
        <v>-1797.0582166087645</v>
      </c>
      <c r="M207" s="357">
        <f t="shared" si="95"/>
        <v>371459.82791577926</v>
      </c>
      <c r="N207" s="358">
        <f t="shared" si="95"/>
        <v>26279.345895702438</v>
      </c>
      <c r="O207" s="359">
        <f t="shared" si="96"/>
        <v>-219452.82791577911</v>
      </c>
      <c r="R207" s="354"/>
      <c r="S207" s="355">
        <f t="shared" si="97"/>
        <v>9702.0297226666225</v>
      </c>
      <c r="T207" s="356">
        <f t="shared" si="103"/>
        <v>-2263.6560925761105</v>
      </c>
      <c r="U207" s="357">
        <f t="shared" si="87"/>
        <v>951340.76083179936</v>
      </c>
      <c r="V207" s="358">
        <f t="shared" si="87"/>
        <v>521457.21792612213</v>
      </c>
      <c r="W207" s="359">
        <f t="shared" si="98"/>
        <v>-281340.76083179988</v>
      </c>
      <c r="Z207" s="354"/>
      <c r="AA207" s="355" t="e">
        <f t="shared" si="99"/>
        <v>#NUM!</v>
      </c>
      <c r="AB207" s="356" t="e">
        <f t="shared" si="100"/>
        <v>#NUM!</v>
      </c>
      <c r="AC207" s="357" t="e">
        <f t="shared" si="88"/>
        <v>#NUM!</v>
      </c>
      <c r="AD207" s="358" t="e">
        <f t="shared" si="88"/>
        <v>#NUM!</v>
      </c>
      <c r="AE207" s="359" t="e">
        <f t="shared" si="101"/>
        <v>#NUM!</v>
      </c>
    </row>
    <row r="208" spans="2:31" x14ac:dyDescent="0.25">
      <c r="B208" s="354" t="s">
        <v>580</v>
      </c>
      <c r="C208" s="355" t="e">
        <f t="shared" si="90"/>
        <v>#VALUE!</v>
      </c>
      <c r="D208" s="356" t="e">
        <f t="shared" si="91"/>
        <v>#VALUE!</v>
      </c>
      <c r="E208" s="357" t="e">
        <f t="shared" si="92"/>
        <v>#VALUE!</v>
      </c>
      <c r="F208" s="358" t="e">
        <f t="shared" si="92"/>
        <v>#VALUE!</v>
      </c>
      <c r="G208" s="359" t="e">
        <f t="shared" si="93"/>
        <v>#VALUE!</v>
      </c>
      <c r="J208" s="354" t="str">
        <f t="shared" si="89"/>
        <v>M199</v>
      </c>
      <c r="K208" s="355">
        <f t="shared" si="94"/>
        <v>3837.5572720834202</v>
      </c>
      <c r="L208" s="356">
        <f t="shared" si="102"/>
        <v>-1828.7735659648258</v>
      </c>
      <c r="M208" s="357">
        <f t="shared" si="95"/>
        <v>375297.38518786267</v>
      </c>
      <c r="N208" s="358">
        <f t="shared" si="95"/>
        <v>24450.572329737613</v>
      </c>
      <c r="O208" s="359">
        <f t="shared" si="96"/>
        <v>-223290.38518786253</v>
      </c>
      <c r="R208" s="354"/>
      <c r="S208" s="355">
        <f t="shared" si="97"/>
        <v>9782.8799703555123</v>
      </c>
      <c r="T208" s="356">
        <f t="shared" si="103"/>
        <v>-2344.5063402649989</v>
      </c>
      <c r="U208" s="357">
        <f t="shared" ref="U208:V223" si="104">U207+S208</f>
        <v>961123.6408021549</v>
      </c>
      <c r="V208" s="358">
        <f t="shared" si="104"/>
        <v>519112.71158585715</v>
      </c>
      <c r="W208" s="359">
        <f t="shared" si="98"/>
        <v>-291123.64080215537</v>
      </c>
      <c r="Z208" s="354"/>
      <c r="AA208" s="355" t="e">
        <f t="shared" si="99"/>
        <v>#NUM!</v>
      </c>
      <c r="AB208" s="356" t="e">
        <f t="shared" si="100"/>
        <v>#NUM!</v>
      </c>
      <c r="AC208" s="357" t="e">
        <f t="shared" ref="AC208:AD223" si="105">AC207+AA208</f>
        <v>#NUM!</v>
      </c>
      <c r="AD208" s="358" t="e">
        <f t="shared" si="105"/>
        <v>#NUM!</v>
      </c>
      <c r="AE208" s="359" t="e">
        <f t="shared" si="101"/>
        <v>#NUM!</v>
      </c>
    </row>
    <row r="209" spans="2:31" x14ac:dyDescent="0.25">
      <c r="B209" s="354" t="s">
        <v>581</v>
      </c>
      <c r="C209" s="355" t="e">
        <f t="shared" si="90"/>
        <v>#VALUE!</v>
      </c>
      <c r="D209" s="356" t="e">
        <f t="shared" si="91"/>
        <v>#VALUE!</v>
      </c>
      <c r="E209" s="357" t="e">
        <f t="shared" si="92"/>
        <v>#VALUE!</v>
      </c>
      <c r="F209" s="358" t="e">
        <f t="shared" si="92"/>
        <v>#VALUE!</v>
      </c>
      <c r="G209" s="359" t="e">
        <f t="shared" si="93"/>
        <v>#VALUE!</v>
      </c>
      <c r="J209" s="354" t="str">
        <f t="shared" si="89"/>
        <v>M200</v>
      </c>
      <c r="K209" s="355">
        <f t="shared" si="94"/>
        <v>3869.5369160174487</v>
      </c>
      <c r="L209" s="356">
        <f t="shared" si="102"/>
        <v>-1860.7532098988543</v>
      </c>
      <c r="M209" s="357">
        <f t="shared" si="95"/>
        <v>379166.92210388015</v>
      </c>
      <c r="N209" s="358">
        <f t="shared" si="95"/>
        <v>22589.819119838758</v>
      </c>
      <c r="O209" s="359">
        <f t="shared" si="96"/>
        <v>-227159.92210387997</v>
      </c>
      <c r="R209" s="354"/>
      <c r="S209" s="355">
        <f t="shared" si="97"/>
        <v>9864.4039701084748</v>
      </c>
      <c r="T209" s="356">
        <f t="shared" si="103"/>
        <v>-2426.0303400179614</v>
      </c>
      <c r="U209" s="357">
        <f t="shared" si="104"/>
        <v>970988.04477226338</v>
      </c>
      <c r="V209" s="358">
        <f t="shared" si="104"/>
        <v>516686.68124583917</v>
      </c>
      <c r="W209" s="359">
        <f t="shared" si="98"/>
        <v>-300988.04477226385</v>
      </c>
      <c r="Z209" s="354"/>
      <c r="AA209" s="355" t="e">
        <f t="shared" si="99"/>
        <v>#NUM!</v>
      </c>
      <c r="AB209" s="356" t="e">
        <f t="shared" si="100"/>
        <v>#NUM!</v>
      </c>
      <c r="AC209" s="357" t="e">
        <f t="shared" si="105"/>
        <v>#NUM!</v>
      </c>
      <c r="AD209" s="358" t="e">
        <f t="shared" si="105"/>
        <v>#NUM!</v>
      </c>
      <c r="AE209" s="359" t="e">
        <f t="shared" si="101"/>
        <v>#NUM!</v>
      </c>
    </row>
    <row r="210" spans="2:31" x14ac:dyDescent="0.25">
      <c r="B210" s="354" t="s">
        <v>582</v>
      </c>
      <c r="C210" s="355" t="e">
        <f t="shared" si="90"/>
        <v>#VALUE!</v>
      </c>
      <c r="D210" s="356" t="e">
        <f t="shared" si="91"/>
        <v>#VALUE!</v>
      </c>
      <c r="E210" s="357" t="e">
        <f t="shared" si="92"/>
        <v>#VALUE!</v>
      </c>
      <c r="F210" s="358" t="e">
        <f t="shared" si="92"/>
        <v>#VALUE!</v>
      </c>
      <c r="G210" s="359" t="e">
        <f t="shared" si="93"/>
        <v>#VALUE!</v>
      </c>
      <c r="J210" s="354" t="str">
        <f t="shared" si="89"/>
        <v>M201</v>
      </c>
      <c r="K210" s="355">
        <f t="shared" si="94"/>
        <v>3901.7830569842608</v>
      </c>
      <c r="L210" s="356">
        <f t="shared" si="102"/>
        <v>-1892.9993508656664</v>
      </c>
      <c r="M210" s="357">
        <f t="shared" si="95"/>
        <v>383068.7051608644</v>
      </c>
      <c r="N210" s="358">
        <f t="shared" si="95"/>
        <v>20696.819768973091</v>
      </c>
      <c r="O210" s="359">
        <f t="shared" si="96"/>
        <v>-231061.70516086422</v>
      </c>
      <c r="R210" s="354"/>
      <c r="S210" s="355">
        <f t="shared" si="97"/>
        <v>9946.6073365260454</v>
      </c>
      <c r="T210" s="356">
        <f t="shared" si="103"/>
        <v>-2508.233706435532</v>
      </c>
      <c r="U210" s="357">
        <f t="shared" si="104"/>
        <v>980934.65210878942</v>
      </c>
      <c r="V210" s="358">
        <f t="shared" si="104"/>
        <v>514178.44753940363</v>
      </c>
      <c r="W210" s="359">
        <f t="shared" si="98"/>
        <v>-310934.65210878989</v>
      </c>
      <c r="Z210" s="354"/>
      <c r="AA210" s="355" t="e">
        <f t="shared" si="99"/>
        <v>#NUM!</v>
      </c>
      <c r="AB210" s="356" t="e">
        <f t="shared" si="100"/>
        <v>#NUM!</v>
      </c>
      <c r="AC210" s="357" t="e">
        <f t="shared" si="105"/>
        <v>#NUM!</v>
      </c>
      <c r="AD210" s="358" t="e">
        <f t="shared" si="105"/>
        <v>#NUM!</v>
      </c>
      <c r="AE210" s="359" t="e">
        <f t="shared" si="101"/>
        <v>#NUM!</v>
      </c>
    </row>
    <row r="211" spans="2:31" x14ac:dyDescent="0.25">
      <c r="B211" s="354" t="s">
        <v>583</v>
      </c>
      <c r="C211" s="355" t="e">
        <f t="shared" si="90"/>
        <v>#VALUE!</v>
      </c>
      <c r="D211" s="356" t="e">
        <f t="shared" si="91"/>
        <v>#VALUE!</v>
      </c>
      <c r="E211" s="357" t="e">
        <f t="shared" si="92"/>
        <v>#VALUE!</v>
      </c>
      <c r="F211" s="358" t="e">
        <f t="shared" si="92"/>
        <v>#VALUE!</v>
      </c>
      <c r="G211" s="359" t="e">
        <f t="shared" si="93"/>
        <v>#VALUE!</v>
      </c>
      <c r="J211" s="354" t="str">
        <f t="shared" si="89"/>
        <v>M202</v>
      </c>
      <c r="K211" s="355">
        <f t="shared" si="94"/>
        <v>3934.2979157924628</v>
      </c>
      <c r="L211" s="356">
        <f t="shared" si="102"/>
        <v>-1925.5142096738684</v>
      </c>
      <c r="M211" s="357">
        <f t="shared" si="95"/>
        <v>387003.00307665684</v>
      </c>
      <c r="N211" s="358">
        <f t="shared" si="95"/>
        <v>18771.305559299224</v>
      </c>
      <c r="O211" s="359">
        <f t="shared" si="96"/>
        <v>-234996.00307665669</v>
      </c>
      <c r="R211" s="354"/>
      <c r="S211" s="355">
        <f t="shared" si="97"/>
        <v>10029.495730997096</v>
      </c>
      <c r="T211" s="356">
        <f t="shared" si="103"/>
        <v>-2591.1221009065825</v>
      </c>
      <c r="U211" s="357">
        <f t="shared" si="104"/>
        <v>990964.14783978648</v>
      </c>
      <c r="V211" s="358">
        <f t="shared" si="104"/>
        <v>511587.32543849706</v>
      </c>
      <c r="W211" s="359">
        <f t="shared" si="98"/>
        <v>-320964.14783978701</v>
      </c>
      <c r="Z211" s="354"/>
      <c r="AA211" s="355" t="e">
        <f t="shared" si="99"/>
        <v>#NUM!</v>
      </c>
      <c r="AB211" s="356" t="e">
        <f t="shared" si="100"/>
        <v>#NUM!</v>
      </c>
      <c r="AC211" s="357" t="e">
        <f t="shared" si="105"/>
        <v>#NUM!</v>
      </c>
      <c r="AD211" s="358" t="e">
        <f t="shared" si="105"/>
        <v>#NUM!</v>
      </c>
      <c r="AE211" s="359" t="e">
        <f t="shared" si="101"/>
        <v>#NUM!</v>
      </c>
    </row>
    <row r="212" spans="2:31" x14ac:dyDescent="0.25">
      <c r="B212" s="354" t="s">
        <v>584</v>
      </c>
      <c r="C212" s="355" t="e">
        <f t="shared" si="90"/>
        <v>#VALUE!</v>
      </c>
      <c r="D212" s="356" t="e">
        <f t="shared" si="91"/>
        <v>#VALUE!</v>
      </c>
      <c r="E212" s="357" t="e">
        <f t="shared" si="92"/>
        <v>#VALUE!</v>
      </c>
      <c r="F212" s="358" t="e">
        <f t="shared" si="92"/>
        <v>#VALUE!</v>
      </c>
      <c r="G212" s="359" t="e">
        <f t="shared" si="93"/>
        <v>#VALUE!</v>
      </c>
      <c r="J212" s="354" t="str">
        <f t="shared" si="89"/>
        <v>M203</v>
      </c>
      <c r="K212" s="355">
        <f t="shared" si="94"/>
        <v>3967.0837317574001</v>
      </c>
      <c r="L212" s="356">
        <f t="shared" si="102"/>
        <v>-1958.3000256388057</v>
      </c>
      <c r="M212" s="357">
        <f t="shared" si="95"/>
        <v>390970.08680841426</v>
      </c>
      <c r="N212" s="358">
        <f t="shared" si="95"/>
        <v>16813.00553366042</v>
      </c>
      <c r="O212" s="359">
        <f t="shared" si="96"/>
        <v>-238963.08680841408</v>
      </c>
      <c r="R212" s="354"/>
      <c r="S212" s="355">
        <f t="shared" si="97"/>
        <v>10113.074862088739</v>
      </c>
      <c r="T212" s="356">
        <f t="shared" si="103"/>
        <v>-2674.701231998225</v>
      </c>
      <c r="U212" s="357">
        <f t="shared" si="104"/>
        <v>1001077.2227018753</v>
      </c>
      <c r="V212" s="358">
        <f t="shared" si="104"/>
        <v>508912.62420649885</v>
      </c>
      <c r="W212" s="359">
        <f t="shared" si="98"/>
        <v>-331077.22270187573</v>
      </c>
      <c r="Z212" s="354"/>
      <c r="AA212" s="355" t="e">
        <f t="shared" si="99"/>
        <v>#NUM!</v>
      </c>
      <c r="AB212" s="356" t="e">
        <f t="shared" si="100"/>
        <v>#NUM!</v>
      </c>
      <c r="AC212" s="357" t="e">
        <f t="shared" si="105"/>
        <v>#NUM!</v>
      </c>
      <c r="AD212" s="358" t="e">
        <f t="shared" si="105"/>
        <v>#NUM!</v>
      </c>
      <c r="AE212" s="359" t="e">
        <f t="shared" si="101"/>
        <v>#NUM!</v>
      </c>
    </row>
    <row r="213" spans="2:31" x14ac:dyDescent="0.25">
      <c r="B213" s="354" t="s">
        <v>585</v>
      </c>
      <c r="C213" s="355" t="e">
        <f t="shared" si="90"/>
        <v>#VALUE!</v>
      </c>
      <c r="D213" s="356" t="e">
        <f t="shared" si="91"/>
        <v>#VALUE!</v>
      </c>
      <c r="E213" s="357" t="e">
        <f t="shared" si="92"/>
        <v>#VALUE!</v>
      </c>
      <c r="F213" s="358" t="e">
        <f t="shared" si="92"/>
        <v>#VALUE!</v>
      </c>
      <c r="G213" s="359" t="e">
        <f t="shared" si="93"/>
        <v>#VALUE!</v>
      </c>
      <c r="J213" s="354" t="str">
        <f t="shared" si="89"/>
        <v>M204</v>
      </c>
      <c r="K213" s="355">
        <f t="shared" si="94"/>
        <v>4000.1427628553784</v>
      </c>
      <c r="L213" s="356">
        <f t="shared" si="102"/>
        <v>-1991.3590567367839</v>
      </c>
      <c r="M213" s="357">
        <f t="shared" si="95"/>
        <v>394970.22957126965</v>
      </c>
      <c r="N213" s="358">
        <f t="shared" si="95"/>
        <v>14821.646476923635</v>
      </c>
      <c r="O213" s="359">
        <f t="shared" si="96"/>
        <v>-242963.22957126945</v>
      </c>
      <c r="R213" s="354"/>
      <c r="S213" s="355">
        <f t="shared" si="97"/>
        <v>10197.350485939478</v>
      </c>
      <c r="T213" s="356">
        <f t="shared" si="103"/>
        <v>-2758.9768558489645</v>
      </c>
      <c r="U213" s="357">
        <f t="shared" si="104"/>
        <v>1011274.5731878148</v>
      </c>
      <c r="V213" s="358">
        <f t="shared" si="104"/>
        <v>506153.64735064987</v>
      </c>
      <c r="W213" s="359">
        <f t="shared" si="98"/>
        <v>-341274.5731878152</v>
      </c>
      <c r="Z213" s="354"/>
      <c r="AA213" s="355" t="e">
        <f t="shared" si="99"/>
        <v>#NUM!</v>
      </c>
      <c r="AB213" s="356" t="e">
        <f t="shared" si="100"/>
        <v>#NUM!</v>
      </c>
      <c r="AC213" s="357" t="e">
        <f t="shared" si="105"/>
        <v>#NUM!</v>
      </c>
      <c r="AD213" s="358" t="e">
        <f t="shared" si="105"/>
        <v>#NUM!</v>
      </c>
      <c r="AE213" s="359" t="e">
        <f t="shared" si="101"/>
        <v>#NUM!</v>
      </c>
    </row>
    <row r="214" spans="2:31" x14ac:dyDescent="0.25">
      <c r="B214" s="354" t="s">
        <v>586</v>
      </c>
      <c r="C214" s="355" t="e">
        <f t="shared" si="90"/>
        <v>#VALUE!</v>
      </c>
      <c r="D214" s="356" t="e">
        <f t="shared" si="91"/>
        <v>#VALUE!</v>
      </c>
      <c r="E214" s="357" t="e">
        <f t="shared" si="92"/>
        <v>#VALUE!</v>
      </c>
      <c r="F214" s="358" t="e">
        <f t="shared" si="92"/>
        <v>#VALUE!</v>
      </c>
      <c r="G214" s="359" t="e">
        <f t="shared" si="93"/>
        <v>#VALUE!</v>
      </c>
      <c r="J214" s="354" t="str">
        <f t="shared" si="89"/>
        <v>M205</v>
      </c>
      <c r="K214" s="355">
        <f t="shared" si="94"/>
        <v>4033.477285879173</v>
      </c>
      <c r="L214" s="356">
        <f t="shared" si="102"/>
        <v>-2024.6935797605786</v>
      </c>
      <c r="M214" s="357">
        <f t="shared" si="95"/>
        <v>399003.70685714885</v>
      </c>
      <c r="N214" s="358">
        <f t="shared" si="95"/>
        <v>12796.952897163057</v>
      </c>
      <c r="O214" s="359">
        <f t="shared" si="96"/>
        <v>-246996.70685714862</v>
      </c>
      <c r="R214" s="354"/>
      <c r="S214" s="355">
        <f t="shared" si="97"/>
        <v>10282.328406655641</v>
      </c>
      <c r="T214" s="356">
        <f t="shared" si="103"/>
        <v>-2843.9547765651268</v>
      </c>
      <c r="U214" s="357">
        <f t="shared" si="104"/>
        <v>1021556.9015944705</v>
      </c>
      <c r="V214" s="358">
        <f t="shared" si="104"/>
        <v>503309.69257408474</v>
      </c>
      <c r="W214" s="359">
        <f t="shared" si="98"/>
        <v>-351556.90159447084</v>
      </c>
      <c r="Z214" s="354"/>
      <c r="AA214" s="355" t="e">
        <f t="shared" si="99"/>
        <v>#NUM!</v>
      </c>
      <c r="AB214" s="356" t="e">
        <f t="shared" si="100"/>
        <v>#NUM!</v>
      </c>
      <c r="AC214" s="357" t="e">
        <f t="shared" si="105"/>
        <v>#NUM!</v>
      </c>
      <c r="AD214" s="358" t="e">
        <f t="shared" si="105"/>
        <v>#NUM!</v>
      </c>
      <c r="AE214" s="359" t="e">
        <f t="shared" si="101"/>
        <v>#NUM!</v>
      </c>
    </row>
    <row r="215" spans="2:31" x14ac:dyDescent="0.25">
      <c r="B215" s="354" t="s">
        <v>587</v>
      </c>
      <c r="C215" s="355" t="e">
        <f t="shared" si="90"/>
        <v>#VALUE!</v>
      </c>
      <c r="D215" s="356" t="e">
        <f t="shared" si="91"/>
        <v>#VALUE!</v>
      </c>
      <c r="E215" s="357" t="e">
        <f t="shared" si="92"/>
        <v>#VALUE!</v>
      </c>
      <c r="F215" s="358" t="e">
        <f t="shared" si="92"/>
        <v>#VALUE!</v>
      </c>
      <c r="G215" s="359" t="e">
        <f t="shared" si="93"/>
        <v>#VALUE!</v>
      </c>
      <c r="J215" s="354" t="str">
        <f t="shared" si="89"/>
        <v>M206</v>
      </c>
      <c r="K215" s="355">
        <f t="shared" si="94"/>
        <v>4067.089596594833</v>
      </c>
      <c r="L215" s="356">
        <f t="shared" si="102"/>
        <v>-2058.3058904762383</v>
      </c>
      <c r="M215" s="357">
        <f t="shared" si="95"/>
        <v>403070.79645374371</v>
      </c>
      <c r="N215" s="358">
        <f t="shared" si="95"/>
        <v>10738.647006686819</v>
      </c>
      <c r="O215" s="359">
        <f t="shared" si="96"/>
        <v>-251063.79645374345</v>
      </c>
      <c r="R215" s="354"/>
      <c r="S215" s="355">
        <f t="shared" si="97"/>
        <v>10368.014476711103</v>
      </c>
      <c r="T215" s="356">
        <f t="shared" si="103"/>
        <v>-2929.6408466205903</v>
      </c>
      <c r="U215" s="357">
        <f t="shared" si="104"/>
        <v>1031924.9160711815</v>
      </c>
      <c r="V215" s="358">
        <f t="shared" si="104"/>
        <v>500380.05172746413</v>
      </c>
      <c r="W215" s="359">
        <f t="shared" si="98"/>
        <v>-361924.91607118194</v>
      </c>
      <c r="Z215" s="354"/>
      <c r="AA215" s="355" t="e">
        <f t="shared" si="99"/>
        <v>#NUM!</v>
      </c>
      <c r="AB215" s="356" t="e">
        <f t="shared" si="100"/>
        <v>#NUM!</v>
      </c>
      <c r="AC215" s="357" t="e">
        <f t="shared" si="105"/>
        <v>#NUM!</v>
      </c>
      <c r="AD215" s="358" t="e">
        <f t="shared" si="105"/>
        <v>#NUM!</v>
      </c>
      <c r="AE215" s="359" t="e">
        <f t="shared" si="101"/>
        <v>#NUM!</v>
      </c>
    </row>
    <row r="216" spans="2:31" x14ac:dyDescent="0.25">
      <c r="B216" s="354" t="s">
        <v>588</v>
      </c>
      <c r="C216" s="355" t="e">
        <f t="shared" si="90"/>
        <v>#VALUE!</v>
      </c>
      <c r="D216" s="356" t="e">
        <f t="shared" si="91"/>
        <v>#VALUE!</v>
      </c>
      <c r="E216" s="357" t="e">
        <f t="shared" si="92"/>
        <v>#VALUE!</v>
      </c>
      <c r="F216" s="358" t="e">
        <f t="shared" si="92"/>
        <v>#VALUE!</v>
      </c>
      <c r="G216" s="359" t="e">
        <f t="shared" si="93"/>
        <v>#VALUE!</v>
      </c>
      <c r="J216" s="354" t="str">
        <f t="shared" si="89"/>
        <v>M207</v>
      </c>
      <c r="K216" s="355">
        <f t="shared" si="94"/>
        <v>4100.9820098997898</v>
      </c>
      <c r="L216" s="356">
        <f t="shared" si="102"/>
        <v>-2092.1983037811951</v>
      </c>
      <c r="M216" s="357">
        <f t="shared" si="95"/>
        <v>407171.77846364351</v>
      </c>
      <c r="N216" s="358">
        <f t="shared" si="95"/>
        <v>8646.4487029056236</v>
      </c>
      <c r="O216" s="359">
        <f t="shared" si="96"/>
        <v>-255164.77846364325</v>
      </c>
      <c r="R216" s="354"/>
      <c r="S216" s="355">
        <f t="shared" si="97"/>
        <v>10454.414597350362</v>
      </c>
      <c r="T216" s="356">
        <f t="shared" si="103"/>
        <v>-3016.0409672598494</v>
      </c>
      <c r="U216" s="357">
        <f t="shared" si="104"/>
        <v>1042379.3306685319</v>
      </c>
      <c r="V216" s="358">
        <f t="shared" si="104"/>
        <v>497364.01076020428</v>
      </c>
      <c r="W216" s="359">
        <f t="shared" si="98"/>
        <v>-372379.33066853229</v>
      </c>
      <c r="Z216" s="354"/>
      <c r="AA216" s="355" t="e">
        <f t="shared" si="99"/>
        <v>#NUM!</v>
      </c>
      <c r="AB216" s="356" t="e">
        <f t="shared" si="100"/>
        <v>#NUM!</v>
      </c>
      <c r="AC216" s="357" t="e">
        <f t="shared" si="105"/>
        <v>#NUM!</v>
      </c>
      <c r="AD216" s="358" t="e">
        <f t="shared" si="105"/>
        <v>#NUM!</v>
      </c>
      <c r="AE216" s="359" t="e">
        <f t="shared" si="101"/>
        <v>#NUM!</v>
      </c>
    </row>
    <row r="217" spans="2:31" x14ac:dyDescent="0.25">
      <c r="B217" s="354" t="s">
        <v>589</v>
      </c>
      <c r="C217" s="355" t="e">
        <f t="shared" si="90"/>
        <v>#VALUE!</v>
      </c>
      <c r="D217" s="356" t="e">
        <f t="shared" si="91"/>
        <v>#VALUE!</v>
      </c>
      <c r="E217" s="357" t="e">
        <f t="shared" si="92"/>
        <v>#VALUE!</v>
      </c>
      <c r="F217" s="358" t="e">
        <f t="shared" si="92"/>
        <v>#VALUE!</v>
      </c>
      <c r="G217" s="359" t="e">
        <f t="shared" si="93"/>
        <v>#VALUE!</v>
      </c>
      <c r="J217" s="354" t="str">
        <f t="shared" si="89"/>
        <v>M208</v>
      </c>
      <c r="K217" s="355">
        <f t="shared" si="94"/>
        <v>4135.1568599822886</v>
      </c>
      <c r="L217" s="356">
        <f t="shared" si="102"/>
        <v>-2126.3731538636939</v>
      </c>
      <c r="M217" s="357">
        <f t="shared" si="95"/>
        <v>411306.9353236258</v>
      </c>
      <c r="N217" s="358">
        <f t="shared" si="95"/>
        <v>6520.0755490419297</v>
      </c>
      <c r="O217" s="359">
        <f t="shared" si="96"/>
        <v>-259299.93532362554</v>
      </c>
      <c r="R217" s="354"/>
      <c r="S217" s="355">
        <f t="shared" si="97"/>
        <v>10541.53471899495</v>
      </c>
      <c r="T217" s="356">
        <f t="shared" si="103"/>
        <v>-3103.1610889044359</v>
      </c>
      <c r="U217" s="357">
        <f t="shared" si="104"/>
        <v>1052920.8653875268</v>
      </c>
      <c r="V217" s="358">
        <f t="shared" si="104"/>
        <v>494260.84967129986</v>
      </c>
      <c r="W217" s="359">
        <f t="shared" si="98"/>
        <v>-382920.86538752721</v>
      </c>
      <c r="Z217" s="354"/>
      <c r="AA217" s="355" t="e">
        <f t="shared" si="99"/>
        <v>#NUM!</v>
      </c>
      <c r="AB217" s="356" t="e">
        <f t="shared" si="100"/>
        <v>#NUM!</v>
      </c>
      <c r="AC217" s="357" t="e">
        <f t="shared" si="105"/>
        <v>#NUM!</v>
      </c>
      <c r="AD217" s="358" t="e">
        <f t="shared" si="105"/>
        <v>#NUM!</v>
      </c>
      <c r="AE217" s="359" t="e">
        <f t="shared" si="101"/>
        <v>#NUM!</v>
      </c>
    </row>
    <row r="218" spans="2:31" x14ac:dyDescent="0.25">
      <c r="B218" s="354" t="s">
        <v>590</v>
      </c>
      <c r="C218" s="355" t="e">
        <f t="shared" si="90"/>
        <v>#VALUE!</v>
      </c>
      <c r="D218" s="356" t="e">
        <f t="shared" si="91"/>
        <v>#VALUE!</v>
      </c>
      <c r="E218" s="357" t="e">
        <f t="shared" si="92"/>
        <v>#VALUE!</v>
      </c>
      <c r="F218" s="358" t="e">
        <f t="shared" si="92"/>
        <v>#VALUE!</v>
      </c>
      <c r="G218" s="359" t="e">
        <f t="shared" si="93"/>
        <v>#VALUE!</v>
      </c>
      <c r="J218" s="354" t="str">
        <f t="shared" si="89"/>
        <v>M209</v>
      </c>
      <c r="K218" s="355">
        <f t="shared" si="94"/>
        <v>4169.6165004821405</v>
      </c>
      <c r="L218" s="356">
        <f t="shared" si="102"/>
        <v>-2160.8327943635463</v>
      </c>
      <c r="M218" s="357">
        <f t="shared" si="95"/>
        <v>415476.55182410794</v>
      </c>
      <c r="N218" s="358">
        <f t="shared" si="95"/>
        <v>4359.2427546783838</v>
      </c>
      <c r="O218" s="359">
        <f t="shared" si="96"/>
        <v>-263469.55182410771</v>
      </c>
      <c r="R218" s="354"/>
      <c r="S218" s="355">
        <f t="shared" si="97"/>
        <v>10629.380841653239</v>
      </c>
      <c r="T218" s="356">
        <f t="shared" si="103"/>
        <v>-3191.0072115627268</v>
      </c>
      <c r="U218" s="357">
        <f t="shared" si="104"/>
        <v>1063550.2462291801</v>
      </c>
      <c r="V218" s="358">
        <f t="shared" si="104"/>
        <v>491069.84245973715</v>
      </c>
      <c r="W218" s="359">
        <f t="shared" si="98"/>
        <v>-393550.24622918043</v>
      </c>
      <c r="Z218" s="354"/>
      <c r="AA218" s="355" t="e">
        <f t="shared" si="99"/>
        <v>#NUM!</v>
      </c>
      <c r="AB218" s="356" t="e">
        <f t="shared" si="100"/>
        <v>#NUM!</v>
      </c>
      <c r="AC218" s="357" t="e">
        <f t="shared" si="105"/>
        <v>#NUM!</v>
      </c>
      <c r="AD218" s="358" t="e">
        <f t="shared" si="105"/>
        <v>#NUM!</v>
      </c>
      <c r="AE218" s="359" t="e">
        <f t="shared" si="101"/>
        <v>#NUM!</v>
      </c>
    </row>
    <row r="219" spans="2:31" x14ac:dyDescent="0.25">
      <c r="B219" s="354" t="s">
        <v>591</v>
      </c>
      <c r="C219" s="355" t="e">
        <f t="shared" si="90"/>
        <v>#VALUE!</v>
      </c>
      <c r="D219" s="356" t="e">
        <f t="shared" si="91"/>
        <v>#VALUE!</v>
      </c>
      <c r="E219" s="357" t="e">
        <f t="shared" si="92"/>
        <v>#VALUE!</v>
      </c>
      <c r="F219" s="358" t="e">
        <f t="shared" si="92"/>
        <v>#VALUE!</v>
      </c>
      <c r="G219" s="359" t="e">
        <f t="shared" si="93"/>
        <v>#VALUE!</v>
      </c>
      <c r="J219" s="354" t="str">
        <f t="shared" si="89"/>
        <v>M210</v>
      </c>
      <c r="K219" s="355">
        <f t="shared" si="94"/>
        <v>4204.3633046528257</v>
      </c>
      <c r="L219" s="356">
        <f t="shared" si="102"/>
        <v>-2195.5795985342311</v>
      </c>
      <c r="M219" s="357">
        <f t="shared" si="95"/>
        <v>419680.91512876074</v>
      </c>
      <c r="N219" s="358">
        <f t="shared" si="95"/>
        <v>2163.6631561441527</v>
      </c>
      <c r="O219" s="359">
        <f t="shared" si="96"/>
        <v>-267673.91512876051</v>
      </c>
      <c r="R219" s="354"/>
      <c r="S219" s="355">
        <f t="shared" si="97"/>
        <v>10717.959015333683</v>
      </c>
      <c r="T219" s="356">
        <f t="shared" si="103"/>
        <v>-3279.5853852431701</v>
      </c>
      <c r="U219" s="357">
        <f t="shared" si="104"/>
        <v>1074268.2052445139</v>
      </c>
      <c r="V219" s="358">
        <f t="shared" si="104"/>
        <v>487790.25707449397</v>
      </c>
      <c r="W219" s="359">
        <f t="shared" si="98"/>
        <v>-404268.2052445141</v>
      </c>
      <c r="Z219" s="354"/>
      <c r="AA219" s="355" t="e">
        <f t="shared" si="99"/>
        <v>#NUM!</v>
      </c>
      <c r="AB219" s="356" t="e">
        <f t="shared" si="100"/>
        <v>#NUM!</v>
      </c>
      <c r="AC219" s="357" t="e">
        <f t="shared" si="105"/>
        <v>#NUM!</v>
      </c>
      <c r="AD219" s="358" t="e">
        <f t="shared" si="105"/>
        <v>#NUM!</v>
      </c>
      <c r="AE219" s="359" t="e">
        <f t="shared" si="101"/>
        <v>#NUM!</v>
      </c>
    </row>
    <row r="220" spans="2:31" x14ac:dyDescent="0.25">
      <c r="B220" s="354" t="s">
        <v>592</v>
      </c>
      <c r="C220" s="355" t="e">
        <f t="shared" si="90"/>
        <v>#VALUE!</v>
      </c>
      <c r="D220" s="356" t="e">
        <f t="shared" si="91"/>
        <v>#VALUE!</v>
      </c>
      <c r="E220" s="357" t="e">
        <f t="shared" ref="E220:F235" si="106">E219+C220</f>
        <v>#VALUE!</v>
      </c>
      <c r="F220" s="358" t="e">
        <f t="shared" si="106"/>
        <v>#VALUE!</v>
      </c>
      <c r="G220" s="359" t="e">
        <f t="shared" si="93"/>
        <v>#VALUE!</v>
      </c>
      <c r="J220" s="354" t="str">
        <f t="shared" si="89"/>
        <v>M211</v>
      </c>
      <c r="K220" s="355">
        <f t="shared" si="94"/>
        <v>4239.3996655249321</v>
      </c>
      <c r="L220" s="356">
        <f t="shared" si="102"/>
        <v>-2230.6159594063374</v>
      </c>
      <c r="M220" s="357">
        <f t="shared" ref="M220:N235" si="107">M219+K220</f>
        <v>423920.31479428569</v>
      </c>
      <c r="N220" s="358">
        <f t="shared" si="107"/>
        <v>-66.952803262184716</v>
      </c>
      <c r="O220" s="359">
        <f t="shared" si="96"/>
        <v>-271913.31479428546</v>
      </c>
      <c r="R220" s="354"/>
      <c r="S220" s="355">
        <f t="shared" si="97"/>
        <v>10807.275340461463</v>
      </c>
      <c r="T220" s="356">
        <f t="shared" si="103"/>
        <v>-3368.9017103709507</v>
      </c>
      <c r="U220" s="357">
        <f t="shared" si="104"/>
        <v>1085075.4805849753</v>
      </c>
      <c r="V220" s="358">
        <f t="shared" si="104"/>
        <v>484421.35536412301</v>
      </c>
      <c r="W220" s="359">
        <f t="shared" si="98"/>
        <v>-415075.48058497556</v>
      </c>
      <c r="Z220" s="354"/>
      <c r="AA220" s="355" t="e">
        <f t="shared" si="99"/>
        <v>#NUM!</v>
      </c>
      <c r="AB220" s="356" t="e">
        <f t="shared" si="100"/>
        <v>#NUM!</v>
      </c>
      <c r="AC220" s="357" t="e">
        <f t="shared" si="105"/>
        <v>#NUM!</v>
      </c>
      <c r="AD220" s="358" t="e">
        <f t="shared" si="105"/>
        <v>#NUM!</v>
      </c>
      <c r="AE220" s="359" t="e">
        <f t="shared" si="101"/>
        <v>#NUM!</v>
      </c>
    </row>
    <row r="221" spans="2:31" x14ac:dyDescent="0.25">
      <c r="B221" s="354" t="s">
        <v>593</v>
      </c>
      <c r="C221" s="355" t="e">
        <f t="shared" si="90"/>
        <v>#VALUE!</v>
      </c>
      <c r="D221" s="356" t="e">
        <f t="shared" si="91"/>
        <v>#VALUE!</v>
      </c>
      <c r="E221" s="357" t="e">
        <f t="shared" si="106"/>
        <v>#VALUE!</v>
      </c>
      <c r="F221" s="358" t="e">
        <f t="shared" si="106"/>
        <v>#VALUE!</v>
      </c>
      <c r="G221" s="359" t="e">
        <f t="shared" si="93"/>
        <v>#VALUE!</v>
      </c>
      <c r="J221" s="354" t="str">
        <f t="shared" si="89"/>
        <v>M212</v>
      </c>
      <c r="K221" s="355">
        <f t="shared" si="94"/>
        <v>4274.7279960709729</v>
      </c>
      <c r="L221" s="356">
        <f t="shared" si="102"/>
        <v>-2265.9442899523788</v>
      </c>
      <c r="M221" s="357">
        <f t="shared" si="107"/>
        <v>428195.04279035667</v>
      </c>
      <c r="N221" s="358">
        <f t="shared" si="107"/>
        <v>-2332.8970932145635</v>
      </c>
      <c r="O221" s="359">
        <f t="shared" si="96"/>
        <v>-276188.04279035644</v>
      </c>
      <c r="R221" s="354"/>
      <c r="S221" s="355">
        <f t="shared" si="97"/>
        <v>10897.335968298643</v>
      </c>
      <c r="T221" s="356">
        <f t="shared" si="103"/>
        <v>-3458.9623382081295</v>
      </c>
      <c r="U221" s="357">
        <f t="shared" si="104"/>
        <v>1095972.8165532739</v>
      </c>
      <c r="V221" s="358">
        <f t="shared" si="104"/>
        <v>480962.39302591491</v>
      </c>
      <c r="W221" s="359">
        <f t="shared" si="98"/>
        <v>-425972.81655327423</v>
      </c>
      <c r="Z221" s="354"/>
      <c r="AA221" s="355" t="e">
        <f t="shared" si="99"/>
        <v>#NUM!</v>
      </c>
      <c r="AB221" s="356" t="e">
        <f t="shared" si="100"/>
        <v>#NUM!</v>
      </c>
      <c r="AC221" s="357" t="e">
        <f t="shared" si="105"/>
        <v>#NUM!</v>
      </c>
      <c r="AD221" s="358" t="e">
        <f t="shared" si="105"/>
        <v>#NUM!</v>
      </c>
      <c r="AE221" s="359" t="e">
        <f t="shared" si="101"/>
        <v>#NUM!</v>
      </c>
    </row>
    <row r="222" spans="2:31" x14ac:dyDescent="0.25">
      <c r="B222" s="354" t="s">
        <v>594</v>
      </c>
      <c r="C222" s="355" t="e">
        <f t="shared" si="90"/>
        <v>#VALUE!</v>
      </c>
      <c r="D222" s="356" t="e">
        <f t="shared" si="91"/>
        <v>#VALUE!</v>
      </c>
      <c r="E222" s="357" t="e">
        <f t="shared" si="106"/>
        <v>#VALUE!</v>
      </c>
      <c r="F222" s="358" t="e">
        <f t="shared" si="106"/>
        <v>#VALUE!</v>
      </c>
      <c r="G222" s="359" t="e">
        <f t="shared" si="93"/>
        <v>#VALUE!</v>
      </c>
      <c r="J222" s="354" t="str">
        <f t="shared" si="89"/>
        <v>M213</v>
      </c>
      <c r="K222" s="355">
        <f t="shared" si="94"/>
        <v>4310.3507293715647</v>
      </c>
      <c r="L222" s="356">
        <f t="shared" si="102"/>
        <v>-2301.5670232529701</v>
      </c>
      <c r="M222" s="357">
        <f t="shared" si="107"/>
        <v>432505.39351972821</v>
      </c>
      <c r="N222" s="358">
        <f t="shared" si="107"/>
        <v>-4634.464116467534</v>
      </c>
      <c r="O222" s="359">
        <f t="shared" si="96"/>
        <v>-280498.39351972798</v>
      </c>
      <c r="R222" s="354"/>
      <c r="S222" s="355">
        <f t="shared" si="97"/>
        <v>10988.147101367798</v>
      </c>
      <c r="T222" s="356">
        <f t="shared" si="103"/>
        <v>-3549.7734712772854</v>
      </c>
      <c r="U222" s="357">
        <f t="shared" si="104"/>
        <v>1106960.9636546418</v>
      </c>
      <c r="V222" s="358">
        <f t="shared" si="104"/>
        <v>477412.61955463764</v>
      </c>
      <c r="W222" s="359">
        <f t="shared" si="98"/>
        <v>-436960.96365464205</v>
      </c>
      <c r="Z222" s="354"/>
      <c r="AA222" s="355" t="e">
        <f t="shared" si="99"/>
        <v>#NUM!</v>
      </c>
      <c r="AB222" s="356" t="e">
        <f t="shared" si="100"/>
        <v>#NUM!</v>
      </c>
      <c r="AC222" s="357" t="e">
        <f t="shared" si="105"/>
        <v>#NUM!</v>
      </c>
      <c r="AD222" s="358" t="e">
        <f t="shared" si="105"/>
        <v>#NUM!</v>
      </c>
      <c r="AE222" s="359" t="e">
        <f t="shared" si="101"/>
        <v>#NUM!</v>
      </c>
    </row>
    <row r="223" spans="2:31" x14ac:dyDescent="0.25">
      <c r="B223" s="354" t="s">
        <v>595</v>
      </c>
      <c r="C223" s="355" t="e">
        <f t="shared" si="90"/>
        <v>#VALUE!</v>
      </c>
      <c r="D223" s="356" t="e">
        <f t="shared" si="91"/>
        <v>#VALUE!</v>
      </c>
      <c r="E223" s="357" t="e">
        <f t="shared" si="106"/>
        <v>#VALUE!</v>
      </c>
      <c r="F223" s="358" t="e">
        <f t="shared" si="106"/>
        <v>#VALUE!</v>
      </c>
      <c r="G223" s="359" t="e">
        <f t="shared" si="93"/>
        <v>#VALUE!</v>
      </c>
      <c r="J223" s="354" t="str">
        <f t="shared" si="89"/>
        <v>M214</v>
      </c>
      <c r="K223" s="355">
        <f t="shared" si="94"/>
        <v>4346.2703187829939</v>
      </c>
      <c r="L223" s="356">
        <f t="shared" si="102"/>
        <v>-2337.4866126643997</v>
      </c>
      <c r="M223" s="357">
        <f t="shared" si="107"/>
        <v>436851.66383851122</v>
      </c>
      <c r="N223" s="358">
        <f t="shared" si="107"/>
        <v>-6971.9507291319333</v>
      </c>
      <c r="O223" s="359">
        <f t="shared" si="96"/>
        <v>-284844.66383851098</v>
      </c>
      <c r="R223" s="354"/>
      <c r="S223" s="355">
        <f t="shared" si="97"/>
        <v>11079.714993879197</v>
      </c>
      <c r="T223" s="356">
        <f t="shared" si="103"/>
        <v>-3641.3413637886838</v>
      </c>
      <c r="U223" s="357">
        <f t="shared" si="104"/>
        <v>1118040.678648521</v>
      </c>
      <c r="V223" s="358">
        <f t="shared" si="104"/>
        <v>473771.27819084894</v>
      </c>
      <c r="W223" s="359">
        <f t="shared" si="98"/>
        <v>-448040.67864852125</v>
      </c>
      <c r="Z223" s="354"/>
      <c r="AA223" s="355" t="e">
        <f t="shared" si="99"/>
        <v>#NUM!</v>
      </c>
      <c r="AB223" s="356" t="e">
        <f t="shared" si="100"/>
        <v>#NUM!</v>
      </c>
      <c r="AC223" s="357" t="e">
        <f t="shared" si="105"/>
        <v>#NUM!</v>
      </c>
      <c r="AD223" s="358" t="e">
        <f t="shared" si="105"/>
        <v>#NUM!</v>
      </c>
      <c r="AE223" s="359" t="e">
        <f t="shared" si="101"/>
        <v>#NUM!</v>
      </c>
    </row>
    <row r="224" spans="2:31" x14ac:dyDescent="0.25">
      <c r="B224" s="354" t="s">
        <v>596</v>
      </c>
      <c r="C224" s="355" t="e">
        <f t="shared" si="90"/>
        <v>#VALUE!</v>
      </c>
      <c r="D224" s="356" t="e">
        <f t="shared" si="91"/>
        <v>#VALUE!</v>
      </c>
      <c r="E224" s="357" t="e">
        <f t="shared" si="106"/>
        <v>#VALUE!</v>
      </c>
      <c r="F224" s="358" t="e">
        <f t="shared" si="106"/>
        <v>#VALUE!</v>
      </c>
      <c r="G224" s="359" t="e">
        <f t="shared" si="93"/>
        <v>#VALUE!</v>
      </c>
      <c r="J224" s="354" t="str">
        <f t="shared" si="89"/>
        <v>M215</v>
      </c>
      <c r="K224" s="355">
        <f t="shared" si="94"/>
        <v>4382.4892381061863</v>
      </c>
      <c r="L224" s="356">
        <f t="shared" si="102"/>
        <v>-2373.7055319875917</v>
      </c>
      <c r="M224" s="357">
        <f t="shared" si="107"/>
        <v>441234.1530766174</v>
      </c>
      <c r="N224" s="358">
        <f t="shared" si="107"/>
        <v>-9345.6562611195259</v>
      </c>
      <c r="O224" s="359">
        <f t="shared" si="96"/>
        <v>-289227.15307661716</v>
      </c>
      <c r="R224" s="354"/>
      <c r="S224" s="355">
        <f t="shared" si="97"/>
        <v>11172.045952161523</v>
      </c>
      <c r="T224" s="356">
        <f t="shared" si="103"/>
        <v>-3733.6723220710105</v>
      </c>
      <c r="U224" s="357">
        <f t="shared" ref="U224:V239" si="108">U223+S224</f>
        <v>1129212.7246006825</v>
      </c>
      <c r="V224" s="358">
        <f t="shared" si="108"/>
        <v>470037.60586877796</v>
      </c>
      <c r="W224" s="359">
        <f t="shared" si="98"/>
        <v>-459212.72460068279</v>
      </c>
      <c r="Z224" s="354"/>
      <c r="AA224" s="355" t="e">
        <f t="shared" si="99"/>
        <v>#NUM!</v>
      </c>
      <c r="AB224" s="356" t="e">
        <f t="shared" si="100"/>
        <v>#NUM!</v>
      </c>
      <c r="AC224" s="357" t="e">
        <f t="shared" ref="AC224:AD239" si="109">AC223+AA224</f>
        <v>#NUM!</v>
      </c>
      <c r="AD224" s="358" t="e">
        <f t="shared" si="109"/>
        <v>#NUM!</v>
      </c>
      <c r="AE224" s="359" t="e">
        <f t="shared" si="101"/>
        <v>#NUM!</v>
      </c>
    </row>
    <row r="225" spans="2:31" x14ac:dyDescent="0.25">
      <c r="B225" s="354" t="s">
        <v>597</v>
      </c>
      <c r="C225" s="355" t="e">
        <f t="shared" si="90"/>
        <v>#VALUE!</v>
      </c>
      <c r="D225" s="356" t="e">
        <f t="shared" si="91"/>
        <v>#VALUE!</v>
      </c>
      <c r="E225" s="357" t="e">
        <f t="shared" si="106"/>
        <v>#VALUE!</v>
      </c>
      <c r="F225" s="358" t="e">
        <f t="shared" si="106"/>
        <v>#VALUE!</v>
      </c>
      <c r="G225" s="359" t="e">
        <f t="shared" si="93"/>
        <v>#VALUE!</v>
      </c>
      <c r="J225" s="354" t="str">
        <f t="shared" si="89"/>
        <v>M216</v>
      </c>
      <c r="K225" s="355">
        <f t="shared" si="94"/>
        <v>4419.0099817570708</v>
      </c>
      <c r="L225" s="356">
        <f t="shared" si="102"/>
        <v>-2410.2262756384762</v>
      </c>
      <c r="M225" s="357">
        <f t="shared" si="107"/>
        <v>445653.16305837448</v>
      </c>
      <c r="N225" s="358">
        <f t="shared" si="107"/>
        <v>-11755.882536758003</v>
      </c>
      <c r="O225" s="359">
        <f t="shared" si="96"/>
        <v>-293646.16305837425</v>
      </c>
      <c r="R225" s="354"/>
      <c r="S225" s="355">
        <f t="shared" si="97"/>
        <v>11265.146335096202</v>
      </c>
      <c r="T225" s="356">
        <f t="shared" si="103"/>
        <v>-3826.7727050056897</v>
      </c>
      <c r="U225" s="357">
        <f t="shared" si="108"/>
        <v>1140477.8709357786</v>
      </c>
      <c r="V225" s="358">
        <f t="shared" si="108"/>
        <v>466210.83316377224</v>
      </c>
      <c r="W225" s="359">
        <f t="shared" si="98"/>
        <v>-470477.87093577901</v>
      </c>
      <c r="Z225" s="354"/>
      <c r="AA225" s="355" t="e">
        <f t="shared" si="99"/>
        <v>#NUM!</v>
      </c>
      <c r="AB225" s="356" t="e">
        <f t="shared" si="100"/>
        <v>#NUM!</v>
      </c>
      <c r="AC225" s="357" t="e">
        <f t="shared" si="109"/>
        <v>#NUM!</v>
      </c>
      <c r="AD225" s="358" t="e">
        <f t="shared" si="109"/>
        <v>#NUM!</v>
      </c>
      <c r="AE225" s="359" t="e">
        <f t="shared" si="101"/>
        <v>#NUM!</v>
      </c>
    </row>
    <row r="226" spans="2:31" x14ac:dyDescent="0.25">
      <c r="B226" s="354" t="s">
        <v>598</v>
      </c>
      <c r="C226" s="355" t="e">
        <f t="shared" si="90"/>
        <v>#VALUE!</v>
      </c>
      <c r="D226" s="356" t="e">
        <f t="shared" si="91"/>
        <v>#VALUE!</v>
      </c>
      <c r="E226" s="357" t="e">
        <f t="shared" si="106"/>
        <v>#VALUE!</v>
      </c>
      <c r="F226" s="358" t="e">
        <f t="shared" si="106"/>
        <v>#VALUE!</v>
      </c>
      <c r="G226" s="359" t="e">
        <f t="shared" si="93"/>
        <v>#VALUE!</v>
      </c>
      <c r="J226" s="354" t="str">
        <f t="shared" si="89"/>
        <v>M217</v>
      </c>
      <c r="K226" s="355">
        <f t="shared" si="94"/>
        <v>4455.8350649383801</v>
      </c>
      <c r="L226" s="356">
        <f t="shared" si="102"/>
        <v>-2447.0513588197855</v>
      </c>
      <c r="M226" s="357">
        <f t="shared" si="107"/>
        <v>450108.99812331289</v>
      </c>
      <c r="N226" s="358">
        <f t="shared" si="107"/>
        <v>-14202.933895577789</v>
      </c>
      <c r="O226" s="359">
        <f t="shared" si="96"/>
        <v>-298101.99812331266</v>
      </c>
      <c r="R226" s="354"/>
      <c r="S226" s="355">
        <f t="shared" si="97"/>
        <v>11359.022554555339</v>
      </c>
      <c r="T226" s="356">
        <f t="shared" si="103"/>
        <v>-3920.6489244648251</v>
      </c>
      <c r="U226" s="357">
        <f t="shared" si="108"/>
        <v>1151836.893490334</v>
      </c>
      <c r="V226" s="358">
        <f t="shared" si="108"/>
        <v>462290.18423930742</v>
      </c>
      <c r="W226" s="359">
        <f t="shared" si="98"/>
        <v>-481836.89349033433</v>
      </c>
      <c r="Z226" s="354"/>
      <c r="AA226" s="355" t="e">
        <f t="shared" si="99"/>
        <v>#NUM!</v>
      </c>
      <c r="AB226" s="356" t="e">
        <f t="shared" si="100"/>
        <v>#NUM!</v>
      </c>
      <c r="AC226" s="357" t="e">
        <f t="shared" si="109"/>
        <v>#NUM!</v>
      </c>
      <c r="AD226" s="358" t="e">
        <f t="shared" si="109"/>
        <v>#NUM!</v>
      </c>
      <c r="AE226" s="359" t="e">
        <f t="shared" si="101"/>
        <v>#NUM!</v>
      </c>
    </row>
    <row r="227" spans="2:31" x14ac:dyDescent="0.25">
      <c r="B227" s="354" t="s">
        <v>599</v>
      </c>
      <c r="C227" s="355" t="e">
        <f t="shared" si="90"/>
        <v>#VALUE!</v>
      </c>
      <c r="D227" s="356" t="e">
        <f t="shared" si="91"/>
        <v>#VALUE!</v>
      </c>
      <c r="E227" s="357" t="e">
        <f t="shared" si="106"/>
        <v>#VALUE!</v>
      </c>
      <c r="F227" s="358" t="e">
        <f t="shared" si="106"/>
        <v>#VALUE!</v>
      </c>
      <c r="G227" s="359" t="e">
        <f t="shared" si="93"/>
        <v>#VALUE!</v>
      </c>
      <c r="J227" s="354" t="str">
        <f t="shared" si="89"/>
        <v>M218</v>
      </c>
      <c r="K227" s="355">
        <f t="shared" si="94"/>
        <v>4492.9670238128665</v>
      </c>
      <c r="L227" s="356">
        <f t="shared" si="102"/>
        <v>-2484.1833176942723</v>
      </c>
      <c r="M227" s="357">
        <f t="shared" si="107"/>
        <v>454601.96514712577</v>
      </c>
      <c r="N227" s="358">
        <f t="shared" si="107"/>
        <v>-16687.11721327206</v>
      </c>
      <c r="O227" s="359">
        <f t="shared" si="96"/>
        <v>-302594.96514712553</v>
      </c>
      <c r="R227" s="354"/>
      <c r="S227" s="355">
        <f t="shared" si="97"/>
        <v>11453.681075843298</v>
      </c>
      <c r="T227" s="356">
        <f t="shared" si="103"/>
        <v>-4015.307445752786</v>
      </c>
      <c r="U227" s="357">
        <f t="shared" si="108"/>
        <v>1163290.5745661773</v>
      </c>
      <c r="V227" s="358">
        <f t="shared" si="108"/>
        <v>458274.87679355463</v>
      </c>
      <c r="W227" s="359">
        <f t="shared" si="98"/>
        <v>-493290.57456617762</v>
      </c>
      <c r="Z227" s="354"/>
      <c r="AA227" s="355" t="e">
        <f t="shared" si="99"/>
        <v>#NUM!</v>
      </c>
      <c r="AB227" s="356" t="e">
        <f t="shared" si="100"/>
        <v>#NUM!</v>
      </c>
      <c r="AC227" s="357" t="e">
        <f t="shared" si="109"/>
        <v>#NUM!</v>
      </c>
      <c r="AD227" s="358" t="e">
        <f t="shared" si="109"/>
        <v>#NUM!</v>
      </c>
      <c r="AE227" s="359" t="e">
        <f t="shared" si="101"/>
        <v>#NUM!</v>
      </c>
    </row>
    <row r="228" spans="2:31" x14ac:dyDescent="0.25">
      <c r="B228" s="354" t="s">
        <v>600</v>
      </c>
      <c r="C228" s="355" t="e">
        <f t="shared" si="90"/>
        <v>#VALUE!</v>
      </c>
      <c r="D228" s="356" t="e">
        <f t="shared" si="91"/>
        <v>#VALUE!</v>
      </c>
      <c r="E228" s="357" t="e">
        <f t="shared" si="106"/>
        <v>#VALUE!</v>
      </c>
      <c r="F228" s="358" t="e">
        <f t="shared" si="106"/>
        <v>#VALUE!</v>
      </c>
      <c r="G228" s="359" t="e">
        <f t="shared" si="93"/>
        <v>#VALUE!</v>
      </c>
      <c r="J228" s="354" t="str">
        <f t="shared" si="89"/>
        <v>M219</v>
      </c>
      <c r="K228" s="355">
        <f t="shared" si="94"/>
        <v>4530.4084156779736</v>
      </c>
      <c r="L228" s="356">
        <f t="shared" si="102"/>
        <v>-2521.6247095593794</v>
      </c>
      <c r="M228" s="357">
        <f t="shared" si="107"/>
        <v>459132.37356280372</v>
      </c>
      <c r="N228" s="358">
        <f t="shared" si="107"/>
        <v>-19208.741922831439</v>
      </c>
      <c r="O228" s="359">
        <f t="shared" si="96"/>
        <v>-307125.37356280349</v>
      </c>
      <c r="R228" s="354"/>
      <c r="S228" s="355">
        <f t="shared" si="97"/>
        <v>11549.128418141994</v>
      </c>
      <c r="T228" s="356">
        <f t="shared" si="103"/>
        <v>-4110.7547880514803</v>
      </c>
      <c r="U228" s="357">
        <f t="shared" si="108"/>
        <v>1174839.7029843193</v>
      </c>
      <c r="V228" s="358">
        <f t="shared" si="108"/>
        <v>454164.12200550316</v>
      </c>
      <c r="W228" s="359">
        <f t="shared" si="98"/>
        <v>-504839.70298431959</v>
      </c>
      <c r="Z228" s="354"/>
      <c r="AA228" s="355" t="e">
        <f t="shared" si="99"/>
        <v>#NUM!</v>
      </c>
      <c r="AB228" s="356" t="e">
        <f t="shared" si="100"/>
        <v>#NUM!</v>
      </c>
      <c r="AC228" s="357" t="e">
        <f t="shared" si="109"/>
        <v>#NUM!</v>
      </c>
      <c r="AD228" s="358" t="e">
        <f t="shared" si="109"/>
        <v>#NUM!</v>
      </c>
      <c r="AE228" s="359" t="e">
        <f t="shared" si="101"/>
        <v>#NUM!</v>
      </c>
    </row>
    <row r="229" spans="2:31" x14ac:dyDescent="0.25">
      <c r="B229" s="354" t="s">
        <v>601</v>
      </c>
      <c r="C229" s="355" t="e">
        <f t="shared" si="90"/>
        <v>#VALUE!</v>
      </c>
      <c r="D229" s="356" t="e">
        <f t="shared" si="91"/>
        <v>#VALUE!</v>
      </c>
      <c r="E229" s="357" t="e">
        <f t="shared" si="106"/>
        <v>#VALUE!</v>
      </c>
      <c r="F229" s="358" t="e">
        <f t="shared" si="106"/>
        <v>#VALUE!</v>
      </c>
      <c r="G229" s="359" t="e">
        <f t="shared" si="93"/>
        <v>#VALUE!</v>
      </c>
      <c r="J229" s="354" t="str">
        <f t="shared" si="89"/>
        <v>M220</v>
      </c>
      <c r="K229" s="355">
        <f t="shared" si="94"/>
        <v>4568.1618191419566</v>
      </c>
      <c r="L229" s="356">
        <f t="shared" si="102"/>
        <v>-2559.3781130233624</v>
      </c>
      <c r="M229" s="357">
        <f t="shared" si="107"/>
        <v>463700.53538194566</v>
      </c>
      <c r="N229" s="358">
        <f t="shared" si="107"/>
        <v>-21768.120035854801</v>
      </c>
      <c r="O229" s="359">
        <f t="shared" si="96"/>
        <v>-311693.53538194543</v>
      </c>
      <c r="R229" s="354"/>
      <c r="S229" s="355">
        <f t="shared" si="97"/>
        <v>11645.371154959843</v>
      </c>
      <c r="T229" s="356">
        <f t="shared" si="103"/>
        <v>-4206.9975248693299</v>
      </c>
      <c r="U229" s="357">
        <f t="shared" si="108"/>
        <v>1186485.0741392791</v>
      </c>
      <c r="V229" s="358">
        <f t="shared" si="108"/>
        <v>449957.12448063382</v>
      </c>
      <c r="W229" s="359">
        <f t="shared" si="98"/>
        <v>-516485.07413927943</v>
      </c>
      <c r="Z229" s="354"/>
      <c r="AA229" s="355" t="e">
        <f t="shared" si="99"/>
        <v>#NUM!</v>
      </c>
      <c r="AB229" s="356" t="e">
        <f t="shared" si="100"/>
        <v>#NUM!</v>
      </c>
      <c r="AC229" s="357" t="e">
        <f t="shared" si="109"/>
        <v>#NUM!</v>
      </c>
      <c r="AD229" s="358" t="e">
        <f t="shared" si="109"/>
        <v>#NUM!</v>
      </c>
      <c r="AE229" s="359" t="e">
        <f t="shared" si="101"/>
        <v>#NUM!</v>
      </c>
    </row>
    <row r="230" spans="2:31" x14ac:dyDescent="0.25">
      <c r="B230" s="354" t="s">
        <v>602</v>
      </c>
      <c r="C230" s="355" t="e">
        <f t="shared" si="90"/>
        <v>#VALUE!</v>
      </c>
      <c r="D230" s="356" t="e">
        <f t="shared" si="91"/>
        <v>#VALUE!</v>
      </c>
      <c r="E230" s="357" t="e">
        <f t="shared" si="106"/>
        <v>#VALUE!</v>
      </c>
      <c r="F230" s="358" t="e">
        <f t="shared" si="106"/>
        <v>#VALUE!</v>
      </c>
      <c r="G230" s="359" t="e">
        <f t="shared" si="93"/>
        <v>#VALUE!</v>
      </c>
      <c r="J230" s="354" t="str">
        <f t="shared" si="89"/>
        <v>M221</v>
      </c>
      <c r="K230" s="355">
        <f t="shared" si="94"/>
        <v>4606.2298343014727</v>
      </c>
      <c r="L230" s="356">
        <f t="shared" si="102"/>
        <v>-2597.4461281828785</v>
      </c>
      <c r="M230" s="357">
        <f t="shared" si="107"/>
        <v>468306.76521624712</v>
      </c>
      <c r="N230" s="358">
        <f t="shared" si="107"/>
        <v>-24365.566164037678</v>
      </c>
      <c r="O230" s="359">
        <f t="shared" si="96"/>
        <v>-316299.76521624689</v>
      </c>
      <c r="R230" s="354"/>
      <c r="S230" s="355">
        <f t="shared" si="97"/>
        <v>11742.415914584508</v>
      </c>
      <c r="T230" s="356">
        <f t="shared" si="103"/>
        <v>-4304.0422844939949</v>
      </c>
      <c r="U230" s="357">
        <f t="shared" si="108"/>
        <v>1198227.4900538635</v>
      </c>
      <c r="V230" s="358">
        <f t="shared" si="108"/>
        <v>445653.08219613985</v>
      </c>
      <c r="W230" s="359">
        <f t="shared" si="98"/>
        <v>-528227.49005386396</v>
      </c>
      <c r="Z230" s="354"/>
      <c r="AA230" s="355" t="e">
        <f t="shared" si="99"/>
        <v>#NUM!</v>
      </c>
      <c r="AB230" s="356" t="e">
        <f t="shared" si="100"/>
        <v>#NUM!</v>
      </c>
      <c r="AC230" s="357" t="e">
        <f t="shared" si="109"/>
        <v>#NUM!</v>
      </c>
      <c r="AD230" s="358" t="e">
        <f t="shared" si="109"/>
        <v>#NUM!</v>
      </c>
      <c r="AE230" s="359" t="e">
        <f t="shared" si="101"/>
        <v>#NUM!</v>
      </c>
    </row>
    <row r="231" spans="2:31" x14ac:dyDescent="0.25">
      <c r="B231" s="354" t="s">
        <v>603</v>
      </c>
      <c r="C231" s="355" t="e">
        <f t="shared" si="90"/>
        <v>#VALUE!</v>
      </c>
      <c r="D231" s="356" t="e">
        <f t="shared" si="91"/>
        <v>#VALUE!</v>
      </c>
      <c r="E231" s="357" t="e">
        <f t="shared" si="106"/>
        <v>#VALUE!</v>
      </c>
      <c r="F231" s="358" t="e">
        <f t="shared" si="106"/>
        <v>#VALUE!</v>
      </c>
      <c r="G231" s="359" t="e">
        <f t="shared" si="93"/>
        <v>#VALUE!</v>
      </c>
      <c r="J231" s="354" t="str">
        <f t="shared" si="89"/>
        <v>M222</v>
      </c>
      <c r="K231" s="355">
        <f t="shared" si="94"/>
        <v>4644.6150829206517</v>
      </c>
      <c r="L231" s="356">
        <f t="shared" si="102"/>
        <v>-2635.8313768020575</v>
      </c>
      <c r="M231" s="357">
        <f t="shared" si="107"/>
        <v>472951.38029916777</v>
      </c>
      <c r="N231" s="358">
        <f t="shared" si="107"/>
        <v>-27001.397540839735</v>
      </c>
      <c r="O231" s="359">
        <f t="shared" si="96"/>
        <v>-320944.38029916753</v>
      </c>
      <c r="R231" s="354"/>
      <c r="S231" s="355">
        <f t="shared" si="97"/>
        <v>11840.269380539379</v>
      </c>
      <c r="T231" s="356">
        <f t="shared" si="103"/>
        <v>-4401.8957504488662</v>
      </c>
      <c r="U231" s="357">
        <f t="shared" si="108"/>
        <v>1210067.7594344029</v>
      </c>
      <c r="V231" s="358">
        <f t="shared" si="108"/>
        <v>441251.18644569098</v>
      </c>
      <c r="W231" s="359">
        <f t="shared" si="98"/>
        <v>-540067.75943440339</v>
      </c>
      <c r="Z231" s="354"/>
      <c r="AA231" s="355" t="e">
        <f t="shared" si="99"/>
        <v>#NUM!</v>
      </c>
      <c r="AB231" s="356" t="e">
        <f t="shared" si="100"/>
        <v>#NUM!</v>
      </c>
      <c r="AC231" s="357" t="e">
        <f t="shared" si="109"/>
        <v>#NUM!</v>
      </c>
      <c r="AD231" s="358" t="e">
        <f t="shared" si="109"/>
        <v>#NUM!</v>
      </c>
      <c r="AE231" s="359" t="e">
        <f t="shared" si="101"/>
        <v>#NUM!</v>
      </c>
    </row>
    <row r="232" spans="2:31" x14ac:dyDescent="0.25">
      <c r="B232" s="354" t="s">
        <v>604</v>
      </c>
      <c r="C232" s="355" t="e">
        <f t="shared" si="90"/>
        <v>#VALUE!</v>
      </c>
      <c r="D232" s="356" t="e">
        <f t="shared" si="91"/>
        <v>#VALUE!</v>
      </c>
      <c r="E232" s="357" t="e">
        <f t="shared" si="106"/>
        <v>#VALUE!</v>
      </c>
      <c r="F232" s="358" t="e">
        <f t="shared" si="106"/>
        <v>#VALUE!</v>
      </c>
      <c r="G232" s="359" t="e">
        <f t="shared" si="93"/>
        <v>#VALUE!</v>
      </c>
      <c r="J232" s="354" t="str">
        <f t="shared" si="89"/>
        <v>M223</v>
      </c>
      <c r="K232" s="355">
        <f t="shared" si="94"/>
        <v>4683.3202086116571</v>
      </c>
      <c r="L232" s="356">
        <f t="shared" si="102"/>
        <v>-2674.5365024930629</v>
      </c>
      <c r="M232" s="357">
        <f t="shared" si="107"/>
        <v>477634.70050777943</v>
      </c>
      <c r="N232" s="358">
        <f t="shared" si="107"/>
        <v>-29675.934043332796</v>
      </c>
      <c r="O232" s="359">
        <f t="shared" si="96"/>
        <v>-325627.7005077792</v>
      </c>
      <c r="R232" s="354"/>
      <c r="S232" s="355">
        <f t="shared" si="97"/>
        <v>11938.938292043875</v>
      </c>
      <c r="T232" s="356">
        <f t="shared" si="103"/>
        <v>-4500.5646619533618</v>
      </c>
      <c r="U232" s="357">
        <f t="shared" si="108"/>
        <v>1222006.6977264469</v>
      </c>
      <c r="V232" s="358">
        <f t="shared" si="108"/>
        <v>436750.62178373762</v>
      </c>
      <c r="W232" s="359">
        <f t="shared" si="98"/>
        <v>-552006.69772644725</v>
      </c>
      <c r="Z232" s="354"/>
      <c r="AA232" s="355" t="e">
        <f t="shared" si="99"/>
        <v>#NUM!</v>
      </c>
      <c r="AB232" s="356" t="e">
        <f t="shared" si="100"/>
        <v>#NUM!</v>
      </c>
      <c r="AC232" s="357" t="e">
        <f t="shared" si="109"/>
        <v>#NUM!</v>
      </c>
      <c r="AD232" s="358" t="e">
        <f t="shared" si="109"/>
        <v>#NUM!</v>
      </c>
      <c r="AE232" s="359" t="e">
        <f t="shared" si="101"/>
        <v>#NUM!</v>
      </c>
    </row>
    <row r="233" spans="2:31" x14ac:dyDescent="0.25">
      <c r="B233" s="354" t="s">
        <v>605</v>
      </c>
      <c r="C233" s="355" t="e">
        <f t="shared" si="90"/>
        <v>#VALUE!</v>
      </c>
      <c r="D233" s="356" t="e">
        <f t="shared" si="91"/>
        <v>#VALUE!</v>
      </c>
      <c r="E233" s="357" t="e">
        <f t="shared" si="106"/>
        <v>#VALUE!</v>
      </c>
      <c r="F233" s="358" t="e">
        <f t="shared" si="106"/>
        <v>#VALUE!</v>
      </c>
      <c r="G233" s="359" t="e">
        <f t="shared" si="93"/>
        <v>#VALUE!</v>
      </c>
      <c r="J233" s="354" t="str">
        <f t="shared" si="89"/>
        <v>M224</v>
      </c>
      <c r="K233" s="355">
        <f t="shared" si="94"/>
        <v>4722.347877016754</v>
      </c>
      <c r="L233" s="356">
        <f t="shared" si="102"/>
        <v>-2713.5641708981598</v>
      </c>
      <c r="M233" s="357">
        <f t="shared" si="107"/>
        <v>482357.04838479619</v>
      </c>
      <c r="N233" s="358">
        <f t="shared" si="107"/>
        <v>-32389.498214230956</v>
      </c>
      <c r="O233" s="359">
        <f t="shared" si="96"/>
        <v>-330350.04838479595</v>
      </c>
      <c r="R233" s="354"/>
      <c r="S233" s="355">
        <f t="shared" si="97"/>
        <v>12038.429444477573</v>
      </c>
      <c r="T233" s="356">
        <f t="shared" si="103"/>
        <v>-4600.0558143870603</v>
      </c>
      <c r="U233" s="357">
        <f t="shared" si="108"/>
        <v>1234045.1271709246</v>
      </c>
      <c r="V233" s="358">
        <f t="shared" si="108"/>
        <v>432150.56596935057</v>
      </c>
      <c r="W233" s="359">
        <f t="shared" si="98"/>
        <v>-564045.1271709248</v>
      </c>
      <c r="Z233" s="354"/>
      <c r="AA233" s="355" t="e">
        <f t="shared" si="99"/>
        <v>#NUM!</v>
      </c>
      <c r="AB233" s="356" t="e">
        <f t="shared" si="100"/>
        <v>#NUM!</v>
      </c>
      <c r="AC233" s="357" t="e">
        <f t="shared" si="109"/>
        <v>#NUM!</v>
      </c>
      <c r="AD233" s="358" t="e">
        <f t="shared" si="109"/>
        <v>#NUM!</v>
      </c>
      <c r="AE233" s="359" t="e">
        <f t="shared" si="101"/>
        <v>#NUM!</v>
      </c>
    </row>
    <row r="234" spans="2:31" x14ac:dyDescent="0.25">
      <c r="B234" s="354" t="s">
        <v>606</v>
      </c>
      <c r="C234" s="355" t="e">
        <f t="shared" si="90"/>
        <v>#VALUE!</v>
      </c>
      <c r="D234" s="356" t="e">
        <f t="shared" si="91"/>
        <v>#VALUE!</v>
      </c>
      <c r="E234" s="357" t="e">
        <f t="shared" si="106"/>
        <v>#VALUE!</v>
      </c>
      <c r="F234" s="358" t="e">
        <f t="shared" si="106"/>
        <v>#VALUE!</v>
      </c>
      <c r="G234" s="359" t="e">
        <f t="shared" si="93"/>
        <v>#VALUE!</v>
      </c>
      <c r="J234" s="354" t="str">
        <f t="shared" si="89"/>
        <v>M225</v>
      </c>
      <c r="K234" s="355">
        <f t="shared" si="94"/>
        <v>4761.7007759918943</v>
      </c>
      <c r="L234" s="356">
        <f t="shared" si="102"/>
        <v>-2752.9170698732996</v>
      </c>
      <c r="M234" s="357">
        <f t="shared" si="107"/>
        <v>487118.74916078808</v>
      </c>
      <c r="N234" s="358">
        <f t="shared" si="107"/>
        <v>-35142.415284104252</v>
      </c>
      <c r="O234" s="359">
        <f t="shared" si="96"/>
        <v>-335111.74916078785</v>
      </c>
      <c r="R234" s="354"/>
      <c r="S234" s="355">
        <f t="shared" si="97"/>
        <v>12138.74968984822</v>
      </c>
      <c r="T234" s="356">
        <f t="shared" si="103"/>
        <v>-4700.3760597577066</v>
      </c>
      <c r="U234" s="357">
        <f t="shared" si="108"/>
        <v>1246183.8768607727</v>
      </c>
      <c r="V234" s="358">
        <f t="shared" si="108"/>
        <v>427450.18990959285</v>
      </c>
      <c r="W234" s="359">
        <f t="shared" si="98"/>
        <v>-576183.87686077296</v>
      </c>
      <c r="Z234" s="354"/>
      <c r="AA234" s="355" t="e">
        <f t="shared" si="99"/>
        <v>#NUM!</v>
      </c>
      <c r="AB234" s="356" t="e">
        <f t="shared" si="100"/>
        <v>#NUM!</v>
      </c>
      <c r="AC234" s="357" t="e">
        <f t="shared" si="109"/>
        <v>#NUM!</v>
      </c>
      <c r="AD234" s="358" t="e">
        <f t="shared" si="109"/>
        <v>#NUM!</v>
      </c>
      <c r="AE234" s="359" t="e">
        <f t="shared" si="101"/>
        <v>#NUM!</v>
      </c>
    </row>
    <row r="235" spans="2:31" x14ac:dyDescent="0.25">
      <c r="B235" s="354" t="s">
        <v>607</v>
      </c>
      <c r="C235" s="355" t="e">
        <f t="shared" si="90"/>
        <v>#VALUE!</v>
      </c>
      <c r="D235" s="356" t="e">
        <f t="shared" si="91"/>
        <v>#VALUE!</v>
      </c>
      <c r="E235" s="357" t="e">
        <f t="shared" si="106"/>
        <v>#VALUE!</v>
      </c>
      <c r="F235" s="358" t="e">
        <f t="shared" si="106"/>
        <v>#VALUE!</v>
      </c>
      <c r="G235" s="359" t="e">
        <f t="shared" si="93"/>
        <v>#VALUE!</v>
      </c>
      <c r="J235" s="354" t="str">
        <f t="shared" si="89"/>
        <v>M226</v>
      </c>
      <c r="K235" s="355">
        <f t="shared" si="94"/>
        <v>4801.3816157918263</v>
      </c>
      <c r="L235" s="356">
        <f t="shared" si="102"/>
        <v>-2792.5979096732322</v>
      </c>
      <c r="M235" s="357">
        <f t="shared" si="107"/>
        <v>491920.1307765799</v>
      </c>
      <c r="N235" s="358">
        <f t="shared" si="107"/>
        <v>-37935.013193777486</v>
      </c>
      <c r="O235" s="359">
        <f t="shared" si="96"/>
        <v>-339913.13077657967</v>
      </c>
      <c r="R235" s="354"/>
      <c r="S235" s="355">
        <f t="shared" si="97"/>
        <v>12239.905937263622</v>
      </c>
      <c r="T235" s="356">
        <f t="shared" si="103"/>
        <v>-4801.5323071731082</v>
      </c>
      <c r="U235" s="357">
        <f t="shared" si="108"/>
        <v>1258423.7827980362</v>
      </c>
      <c r="V235" s="358">
        <f t="shared" si="108"/>
        <v>422648.65760241973</v>
      </c>
      <c r="W235" s="359">
        <f t="shared" si="98"/>
        <v>-588423.78279803658</v>
      </c>
      <c r="Z235" s="354"/>
      <c r="AA235" s="355" t="e">
        <f t="shared" si="99"/>
        <v>#NUM!</v>
      </c>
      <c r="AB235" s="356" t="e">
        <f t="shared" si="100"/>
        <v>#NUM!</v>
      </c>
      <c r="AC235" s="357" t="e">
        <f t="shared" si="109"/>
        <v>#NUM!</v>
      </c>
      <c r="AD235" s="358" t="e">
        <f t="shared" si="109"/>
        <v>#NUM!</v>
      </c>
      <c r="AE235" s="359" t="e">
        <f t="shared" si="101"/>
        <v>#NUM!</v>
      </c>
    </row>
    <row r="236" spans="2:31" x14ac:dyDescent="0.25">
      <c r="B236" s="354" t="s">
        <v>608</v>
      </c>
      <c r="C236" s="355" t="e">
        <f t="shared" si="90"/>
        <v>#VALUE!</v>
      </c>
      <c r="D236" s="356" t="e">
        <f t="shared" si="91"/>
        <v>#VALUE!</v>
      </c>
      <c r="E236" s="357" t="e">
        <f t="shared" ref="E236:F249" si="110">E235+C236</f>
        <v>#VALUE!</v>
      </c>
      <c r="F236" s="358" t="e">
        <f t="shared" si="110"/>
        <v>#VALUE!</v>
      </c>
      <c r="G236" s="359" t="e">
        <f t="shared" si="93"/>
        <v>#VALUE!</v>
      </c>
      <c r="J236" s="354" t="str">
        <f t="shared" si="89"/>
        <v>M227</v>
      </c>
      <c r="K236" s="355">
        <f t="shared" si="94"/>
        <v>4841.3931292567586</v>
      </c>
      <c r="L236" s="356">
        <f t="shared" si="102"/>
        <v>-2832.6094231381639</v>
      </c>
      <c r="M236" s="357">
        <f t="shared" ref="M236:N249" si="111">M235+K236</f>
        <v>496761.52390583669</v>
      </c>
      <c r="N236" s="358">
        <f t="shared" si="111"/>
        <v>-40767.622616915651</v>
      </c>
      <c r="O236" s="359">
        <f t="shared" si="96"/>
        <v>-344754.52390583645</v>
      </c>
      <c r="R236" s="354"/>
      <c r="S236" s="355">
        <f t="shared" si="97"/>
        <v>12341.905153407484</v>
      </c>
      <c r="T236" s="356">
        <f t="shared" si="103"/>
        <v>-4903.5315233169713</v>
      </c>
      <c r="U236" s="357">
        <f t="shared" si="108"/>
        <v>1270765.6879514437</v>
      </c>
      <c r="V236" s="358">
        <f t="shared" si="108"/>
        <v>417745.12607910275</v>
      </c>
      <c r="W236" s="359">
        <f t="shared" si="98"/>
        <v>-600765.68795144407</v>
      </c>
      <c r="Z236" s="354"/>
      <c r="AA236" s="355" t="e">
        <f t="shared" si="99"/>
        <v>#NUM!</v>
      </c>
      <c r="AB236" s="356" t="e">
        <f t="shared" si="100"/>
        <v>#NUM!</v>
      </c>
      <c r="AC236" s="357" t="e">
        <f t="shared" si="109"/>
        <v>#NUM!</v>
      </c>
      <c r="AD236" s="358" t="e">
        <f t="shared" si="109"/>
        <v>#NUM!</v>
      </c>
      <c r="AE236" s="359" t="e">
        <f t="shared" si="101"/>
        <v>#NUM!</v>
      </c>
    </row>
    <row r="237" spans="2:31" x14ac:dyDescent="0.25">
      <c r="B237" s="354" t="s">
        <v>609</v>
      </c>
      <c r="C237" s="355" t="e">
        <f t="shared" si="90"/>
        <v>#VALUE!</v>
      </c>
      <c r="D237" s="356" t="e">
        <f t="shared" si="91"/>
        <v>#VALUE!</v>
      </c>
      <c r="E237" s="357" t="e">
        <f t="shared" si="110"/>
        <v>#VALUE!</v>
      </c>
      <c r="F237" s="358" t="e">
        <f t="shared" si="110"/>
        <v>#VALUE!</v>
      </c>
      <c r="G237" s="359" t="e">
        <f t="shared" si="93"/>
        <v>#VALUE!</v>
      </c>
      <c r="J237" s="354" t="str">
        <f t="shared" si="89"/>
        <v>M228</v>
      </c>
      <c r="K237" s="355">
        <f t="shared" si="94"/>
        <v>4881.7380720005649</v>
      </c>
      <c r="L237" s="356">
        <f t="shared" si="102"/>
        <v>-2872.9543658819703</v>
      </c>
      <c r="M237" s="357">
        <f t="shared" si="111"/>
        <v>501643.26197783725</v>
      </c>
      <c r="N237" s="358">
        <f t="shared" si="111"/>
        <v>-43640.576982797618</v>
      </c>
      <c r="O237" s="359">
        <f t="shared" si="96"/>
        <v>-349636.26197783701</v>
      </c>
      <c r="R237" s="354"/>
      <c r="S237" s="355">
        <f t="shared" si="97"/>
        <v>12444.754363019212</v>
      </c>
      <c r="T237" s="356">
        <f t="shared" si="103"/>
        <v>-5006.3807329287001</v>
      </c>
      <c r="U237" s="357">
        <f t="shared" si="108"/>
        <v>1283210.442314463</v>
      </c>
      <c r="V237" s="358">
        <f t="shared" si="108"/>
        <v>412738.74534617405</v>
      </c>
      <c r="W237" s="359">
        <f t="shared" si="98"/>
        <v>-613210.44231446332</v>
      </c>
      <c r="Z237" s="354"/>
      <c r="AA237" s="355" t="e">
        <f t="shared" si="99"/>
        <v>#NUM!</v>
      </c>
      <c r="AB237" s="356" t="e">
        <f t="shared" si="100"/>
        <v>#NUM!</v>
      </c>
      <c r="AC237" s="357" t="e">
        <f t="shared" si="109"/>
        <v>#NUM!</v>
      </c>
      <c r="AD237" s="358" t="e">
        <f t="shared" si="109"/>
        <v>#NUM!</v>
      </c>
      <c r="AE237" s="359" t="e">
        <f t="shared" si="101"/>
        <v>#NUM!</v>
      </c>
    </row>
    <row r="238" spans="2:31" x14ac:dyDescent="0.25">
      <c r="B238" s="354" t="s">
        <v>610</v>
      </c>
      <c r="C238" s="355" t="e">
        <f t="shared" si="90"/>
        <v>#VALUE!</v>
      </c>
      <c r="D238" s="356" t="e">
        <f t="shared" si="91"/>
        <v>#VALUE!</v>
      </c>
      <c r="E238" s="357" t="e">
        <f t="shared" si="110"/>
        <v>#VALUE!</v>
      </c>
      <c r="F238" s="358" t="e">
        <f t="shared" si="110"/>
        <v>#VALUE!</v>
      </c>
      <c r="G238" s="359" t="e">
        <f t="shared" si="93"/>
        <v>#VALUE!</v>
      </c>
      <c r="J238" s="354" t="str">
        <f t="shared" si="89"/>
        <v>M229</v>
      </c>
      <c r="K238" s="355">
        <f t="shared" si="94"/>
        <v>4922.4192226005698</v>
      </c>
      <c r="L238" s="356">
        <f t="shared" si="102"/>
        <v>-2913.6355164819752</v>
      </c>
      <c r="M238" s="357">
        <f t="shared" si="111"/>
        <v>506565.68120043783</v>
      </c>
      <c r="N238" s="358">
        <f t="shared" si="111"/>
        <v>-46554.212499279594</v>
      </c>
      <c r="O238" s="359">
        <f t="shared" si="96"/>
        <v>-354558.6812004376</v>
      </c>
      <c r="R238" s="354"/>
      <c r="S238" s="355">
        <f t="shared" si="97"/>
        <v>12548.460649377706</v>
      </c>
      <c r="T238" s="356">
        <f t="shared" si="103"/>
        <v>-5110.0870192871944</v>
      </c>
      <c r="U238" s="357">
        <f t="shared" si="108"/>
        <v>1295758.9029638406</v>
      </c>
      <c r="V238" s="358">
        <f t="shared" si="108"/>
        <v>407628.65832688689</v>
      </c>
      <c r="W238" s="359">
        <f t="shared" si="98"/>
        <v>-625758.90296384098</v>
      </c>
      <c r="Z238" s="354"/>
      <c r="AA238" s="355" t="e">
        <f t="shared" si="99"/>
        <v>#NUM!</v>
      </c>
      <c r="AB238" s="356" t="e">
        <f t="shared" si="100"/>
        <v>#NUM!</v>
      </c>
      <c r="AC238" s="357" t="e">
        <f t="shared" si="109"/>
        <v>#NUM!</v>
      </c>
      <c r="AD238" s="358" t="e">
        <f t="shared" si="109"/>
        <v>#NUM!</v>
      </c>
      <c r="AE238" s="359" t="e">
        <f t="shared" si="101"/>
        <v>#NUM!</v>
      </c>
    </row>
    <row r="239" spans="2:31" x14ac:dyDescent="0.25">
      <c r="B239" s="354" t="s">
        <v>611</v>
      </c>
      <c r="C239" s="355" t="e">
        <f t="shared" si="90"/>
        <v>#VALUE!</v>
      </c>
      <c r="D239" s="356" t="e">
        <f t="shared" si="91"/>
        <v>#VALUE!</v>
      </c>
      <c r="E239" s="357" t="e">
        <f t="shared" si="110"/>
        <v>#VALUE!</v>
      </c>
      <c r="F239" s="358" t="e">
        <f t="shared" si="110"/>
        <v>#VALUE!</v>
      </c>
      <c r="G239" s="359" t="e">
        <f t="shared" si="93"/>
        <v>#VALUE!</v>
      </c>
      <c r="J239" s="354" t="str">
        <f t="shared" si="89"/>
        <v>M230</v>
      </c>
      <c r="K239" s="355">
        <f t="shared" si="94"/>
        <v>4963.439382788908</v>
      </c>
      <c r="L239" s="356">
        <f t="shared" si="102"/>
        <v>-2954.6556766703134</v>
      </c>
      <c r="M239" s="357">
        <f t="shared" si="111"/>
        <v>511529.12058322673</v>
      </c>
      <c r="N239" s="358">
        <f t="shared" si="111"/>
        <v>-49508.868175949909</v>
      </c>
      <c r="O239" s="359">
        <f t="shared" si="96"/>
        <v>-359522.1205832265</v>
      </c>
      <c r="R239" s="354"/>
      <c r="S239" s="355">
        <f t="shared" si="97"/>
        <v>12653.031154789187</v>
      </c>
      <c r="T239" s="356">
        <f t="shared" si="103"/>
        <v>-5214.6575246986749</v>
      </c>
      <c r="U239" s="357">
        <f t="shared" si="108"/>
        <v>1308411.9341186299</v>
      </c>
      <c r="V239" s="358">
        <f t="shared" si="108"/>
        <v>402414.00080218824</v>
      </c>
      <c r="W239" s="359">
        <f t="shared" si="98"/>
        <v>-638411.93411863013</v>
      </c>
      <c r="Z239" s="354"/>
      <c r="AA239" s="355" t="e">
        <f t="shared" si="99"/>
        <v>#NUM!</v>
      </c>
      <c r="AB239" s="356" t="e">
        <f t="shared" si="100"/>
        <v>#NUM!</v>
      </c>
      <c r="AC239" s="357" t="e">
        <f t="shared" si="109"/>
        <v>#NUM!</v>
      </c>
      <c r="AD239" s="358" t="e">
        <f t="shared" si="109"/>
        <v>#NUM!</v>
      </c>
      <c r="AE239" s="359" t="e">
        <f t="shared" si="101"/>
        <v>#NUM!</v>
      </c>
    </row>
    <row r="240" spans="2:31" x14ac:dyDescent="0.25">
      <c r="B240" s="354" t="s">
        <v>612</v>
      </c>
      <c r="C240" s="355" t="e">
        <f t="shared" si="90"/>
        <v>#VALUE!</v>
      </c>
      <c r="D240" s="356" t="e">
        <f t="shared" si="91"/>
        <v>#VALUE!</v>
      </c>
      <c r="E240" s="357" t="e">
        <f t="shared" si="110"/>
        <v>#VALUE!</v>
      </c>
      <c r="F240" s="358" t="e">
        <f t="shared" si="110"/>
        <v>#VALUE!</v>
      </c>
      <c r="G240" s="359" t="e">
        <f t="shared" si="93"/>
        <v>#VALUE!</v>
      </c>
      <c r="J240" s="354" t="str">
        <f t="shared" si="89"/>
        <v>M231</v>
      </c>
      <c r="K240" s="355">
        <f t="shared" si="94"/>
        <v>5004.8013776454818</v>
      </c>
      <c r="L240" s="356">
        <f t="shared" si="102"/>
        <v>-2996.0176715268876</v>
      </c>
      <c r="M240" s="357">
        <f t="shared" si="111"/>
        <v>516533.92196087219</v>
      </c>
      <c r="N240" s="358">
        <f t="shared" si="111"/>
        <v>-52504.885847476799</v>
      </c>
      <c r="O240" s="359">
        <f t="shared" si="96"/>
        <v>-364526.92196087196</v>
      </c>
      <c r="R240" s="354"/>
      <c r="S240" s="355">
        <f t="shared" si="97"/>
        <v>12758.473081079097</v>
      </c>
      <c r="T240" s="356">
        <f t="shared" si="103"/>
        <v>-5320.0994509885841</v>
      </c>
      <c r="U240" s="357">
        <f t="shared" ref="U240:V249" si="112">U239+S240</f>
        <v>1321170.407199709</v>
      </c>
      <c r="V240" s="358">
        <f t="shared" si="112"/>
        <v>397093.90135119966</v>
      </c>
      <c r="W240" s="359">
        <f t="shared" si="98"/>
        <v>-651170.40719970921</v>
      </c>
      <c r="Z240" s="354"/>
      <c r="AA240" s="355" t="e">
        <f t="shared" si="99"/>
        <v>#NUM!</v>
      </c>
      <c r="AB240" s="356" t="e">
        <f t="shared" si="100"/>
        <v>#NUM!</v>
      </c>
      <c r="AC240" s="357" t="e">
        <f t="shared" ref="AC240:AD249" si="113">AC239+AA240</f>
        <v>#NUM!</v>
      </c>
      <c r="AD240" s="358" t="e">
        <f t="shared" si="113"/>
        <v>#NUM!</v>
      </c>
      <c r="AE240" s="359" t="e">
        <f t="shared" si="101"/>
        <v>#NUM!</v>
      </c>
    </row>
    <row r="241" spans="2:31" x14ac:dyDescent="0.25">
      <c r="B241" s="354" t="s">
        <v>613</v>
      </c>
      <c r="C241" s="355" t="e">
        <f t="shared" si="90"/>
        <v>#VALUE!</v>
      </c>
      <c r="D241" s="356" t="e">
        <f t="shared" si="91"/>
        <v>#VALUE!</v>
      </c>
      <c r="E241" s="357" t="e">
        <f t="shared" si="110"/>
        <v>#VALUE!</v>
      </c>
      <c r="F241" s="358" t="e">
        <f t="shared" si="110"/>
        <v>#VALUE!</v>
      </c>
      <c r="G241" s="359" t="e">
        <f t="shared" si="93"/>
        <v>#VALUE!</v>
      </c>
      <c r="J241" s="354" t="str">
        <f t="shared" si="89"/>
        <v>M232</v>
      </c>
      <c r="K241" s="355">
        <f t="shared" si="94"/>
        <v>5046.5080557925276</v>
      </c>
      <c r="L241" s="356">
        <f t="shared" si="102"/>
        <v>-3037.7243496739329</v>
      </c>
      <c r="M241" s="357">
        <f t="shared" si="111"/>
        <v>521580.43001666473</v>
      </c>
      <c r="N241" s="358">
        <f t="shared" si="111"/>
        <v>-55542.610197150731</v>
      </c>
      <c r="O241" s="359">
        <f t="shared" si="96"/>
        <v>-369573.4300166645</v>
      </c>
      <c r="R241" s="354"/>
      <c r="S241" s="355">
        <f t="shared" si="97"/>
        <v>12864.793690088089</v>
      </c>
      <c r="T241" s="356">
        <f t="shared" si="103"/>
        <v>-5426.4200599975766</v>
      </c>
      <c r="U241" s="357">
        <f t="shared" si="112"/>
        <v>1334035.2008897969</v>
      </c>
      <c r="V241" s="358">
        <f t="shared" si="112"/>
        <v>391667.48129120207</v>
      </c>
      <c r="W241" s="359">
        <f t="shared" si="98"/>
        <v>-664035.2008897973</v>
      </c>
      <c r="Z241" s="354"/>
      <c r="AA241" s="355" t="e">
        <f t="shared" si="99"/>
        <v>#NUM!</v>
      </c>
      <c r="AB241" s="356" t="e">
        <f t="shared" si="100"/>
        <v>#NUM!</v>
      </c>
      <c r="AC241" s="357" t="e">
        <f t="shared" si="113"/>
        <v>#NUM!</v>
      </c>
      <c r="AD241" s="358" t="e">
        <f t="shared" si="113"/>
        <v>#NUM!</v>
      </c>
      <c r="AE241" s="359" t="e">
        <f t="shared" si="101"/>
        <v>#NUM!</v>
      </c>
    </row>
    <row r="242" spans="2:31" x14ac:dyDescent="0.25">
      <c r="B242" s="354" t="s">
        <v>614</v>
      </c>
      <c r="C242" s="355" t="e">
        <f t="shared" si="90"/>
        <v>#VALUE!</v>
      </c>
      <c r="D242" s="356" t="e">
        <f t="shared" si="91"/>
        <v>#VALUE!</v>
      </c>
      <c r="E242" s="357" t="e">
        <f t="shared" si="110"/>
        <v>#VALUE!</v>
      </c>
      <c r="F242" s="358" t="e">
        <f t="shared" si="110"/>
        <v>#VALUE!</v>
      </c>
      <c r="G242" s="359" t="e">
        <f t="shared" si="93"/>
        <v>#VALUE!</v>
      </c>
      <c r="J242" s="354" t="str">
        <f t="shared" si="89"/>
        <v>M233</v>
      </c>
      <c r="K242" s="355">
        <f t="shared" si="94"/>
        <v>5088.5622895907982</v>
      </c>
      <c r="L242" s="356">
        <f t="shared" si="102"/>
        <v>-3079.778583472204</v>
      </c>
      <c r="M242" s="357">
        <f t="shared" si="111"/>
        <v>526668.9923062555</v>
      </c>
      <c r="N242" s="358">
        <f t="shared" si="111"/>
        <v>-58622.388780622932</v>
      </c>
      <c r="O242" s="359">
        <f t="shared" si="96"/>
        <v>-374661.99230625527</v>
      </c>
      <c r="R242" s="354"/>
      <c r="S242" s="355">
        <f t="shared" si="97"/>
        <v>12972.000304172157</v>
      </c>
      <c r="T242" s="356">
        <f t="shared" si="103"/>
        <v>-5533.6266740816445</v>
      </c>
      <c r="U242" s="357">
        <f t="shared" si="112"/>
        <v>1347007.201193969</v>
      </c>
      <c r="V242" s="358">
        <f t="shared" si="112"/>
        <v>386133.85461712041</v>
      </c>
      <c r="W242" s="359">
        <f t="shared" si="98"/>
        <v>-677007.20119396946</v>
      </c>
      <c r="Z242" s="354"/>
      <c r="AA242" s="355" t="e">
        <f t="shared" si="99"/>
        <v>#NUM!</v>
      </c>
      <c r="AB242" s="356" t="e">
        <f t="shared" si="100"/>
        <v>#NUM!</v>
      </c>
      <c r="AC242" s="357" t="e">
        <f t="shared" si="113"/>
        <v>#NUM!</v>
      </c>
      <c r="AD242" s="358" t="e">
        <f t="shared" si="113"/>
        <v>#NUM!</v>
      </c>
      <c r="AE242" s="359" t="e">
        <f t="shared" si="101"/>
        <v>#NUM!</v>
      </c>
    </row>
    <row r="243" spans="2:31" x14ac:dyDescent="0.25">
      <c r="B243" s="354" t="s">
        <v>615</v>
      </c>
      <c r="C243" s="355" t="e">
        <f t="shared" si="90"/>
        <v>#VALUE!</v>
      </c>
      <c r="D243" s="356" t="e">
        <f t="shared" si="91"/>
        <v>#VALUE!</v>
      </c>
      <c r="E243" s="357" t="e">
        <f t="shared" si="110"/>
        <v>#VALUE!</v>
      </c>
      <c r="F243" s="358" t="e">
        <f t="shared" si="110"/>
        <v>#VALUE!</v>
      </c>
      <c r="G243" s="359" t="e">
        <f t="shared" si="93"/>
        <v>#VALUE!</v>
      </c>
      <c r="J243" s="354" t="str">
        <f t="shared" si="89"/>
        <v>M234</v>
      </c>
      <c r="K243" s="355">
        <f t="shared" si="94"/>
        <v>5130.9669753373882</v>
      </c>
      <c r="L243" s="356">
        <f t="shared" si="102"/>
        <v>-3122.1832692187941</v>
      </c>
      <c r="M243" s="357">
        <f t="shared" si="111"/>
        <v>531799.95928159286</v>
      </c>
      <c r="N243" s="358">
        <f t="shared" si="111"/>
        <v>-61744.572049841729</v>
      </c>
      <c r="O243" s="359">
        <f t="shared" si="96"/>
        <v>-379792.95928159263</v>
      </c>
      <c r="R243" s="354"/>
      <c r="S243" s="355">
        <f t="shared" si="97"/>
        <v>13080.100306706925</v>
      </c>
      <c r="T243" s="356">
        <f t="shared" si="103"/>
        <v>-5641.7266766164121</v>
      </c>
      <c r="U243" s="357">
        <f t="shared" si="112"/>
        <v>1360087.301500676</v>
      </c>
      <c r="V243" s="358">
        <f t="shared" si="112"/>
        <v>380492.127940504</v>
      </c>
      <c r="W243" s="359">
        <f t="shared" si="98"/>
        <v>-690087.30150067643</v>
      </c>
      <c r="Z243" s="354"/>
      <c r="AA243" s="355" t="e">
        <f t="shared" si="99"/>
        <v>#NUM!</v>
      </c>
      <c r="AB243" s="356" t="e">
        <f t="shared" si="100"/>
        <v>#NUM!</v>
      </c>
      <c r="AC243" s="357" t="e">
        <f t="shared" si="113"/>
        <v>#NUM!</v>
      </c>
      <c r="AD243" s="358" t="e">
        <f t="shared" si="113"/>
        <v>#NUM!</v>
      </c>
      <c r="AE243" s="359" t="e">
        <f t="shared" si="101"/>
        <v>#NUM!</v>
      </c>
    </row>
    <row r="244" spans="2:31" x14ac:dyDescent="0.25">
      <c r="B244" s="354" t="s">
        <v>616</v>
      </c>
      <c r="C244" s="355" t="e">
        <f t="shared" si="90"/>
        <v>#VALUE!</v>
      </c>
      <c r="D244" s="356" t="e">
        <f t="shared" si="91"/>
        <v>#VALUE!</v>
      </c>
      <c r="E244" s="357" t="e">
        <f t="shared" si="110"/>
        <v>#VALUE!</v>
      </c>
      <c r="F244" s="358" t="e">
        <f t="shared" si="110"/>
        <v>#VALUE!</v>
      </c>
      <c r="G244" s="359" t="e">
        <f t="shared" si="93"/>
        <v>#VALUE!</v>
      </c>
      <c r="J244" s="354" t="str">
        <f t="shared" si="89"/>
        <v>M235</v>
      </c>
      <c r="K244" s="355">
        <f t="shared" si="94"/>
        <v>5173.7250334651999</v>
      </c>
      <c r="L244" s="356">
        <f t="shared" si="102"/>
        <v>-3164.9413273466052</v>
      </c>
      <c r="M244" s="357">
        <f t="shared" si="111"/>
        <v>536973.68431505805</v>
      </c>
      <c r="N244" s="358">
        <f t="shared" si="111"/>
        <v>-64909.513377188334</v>
      </c>
      <c r="O244" s="359">
        <f t="shared" si="96"/>
        <v>-384966.68431505782</v>
      </c>
      <c r="R244" s="354"/>
      <c r="S244" s="355">
        <f t="shared" si="97"/>
        <v>13189.10114259615</v>
      </c>
      <c r="T244" s="356">
        <f t="shared" si="103"/>
        <v>-5750.7275125056367</v>
      </c>
      <c r="U244" s="357">
        <f t="shared" si="112"/>
        <v>1373276.4026432722</v>
      </c>
      <c r="V244" s="358">
        <f t="shared" si="112"/>
        <v>374741.40042799833</v>
      </c>
      <c r="W244" s="359">
        <f t="shared" si="98"/>
        <v>-703276.40264327254</v>
      </c>
      <c r="Z244" s="354"/>
      <c r="AA244" s="355" t="e">
        <f t="shared" si="99"/>
        <v>#NUM!</v>
      </c>
      <c r="AB244" s="356" t="e">
        <f t="shared" si="100"/>
        <v>#NUM!</v>
      </c>
      <c r="AC244" s="357" t="e">
        <f t="shared" si="113"/>
        <v>#NUM!</v>
      </c>
      <c r="AD244" s="358" t="e">
        <f t="shared" si="113"/>
        <v>#NUM!</v>
      </c>
      <c r="AE244" s="359" t="e">
        <f t="shared" si="101"/>
        <v>#NUM!</v>
      </c>
    </row>
    <row r="245" spans="2:31" x14ac:dyDescent="0.25">
      <c r="B245" s="354" t="s">
        <v>617</v>
      </c>
      <c r="C245" s="355" t="e">
        <f t="shared" si="90"/>
        <v>#VALUE!</v>
      </c>
      <c r="D245" s="356" t="e">
        <f t="shared" si="91"/>
        <v>#VALUE!</v>
      </c>
      <c r="E245" s="357" t="e">
        <f t="shared" si="110"/>
        <v>#VALUE!</v>
      </c>
      <c r="F245" s="358" t="e">
        <f t="shared" si="110"/>
        <v>#VALUE!</v>
      </c>
      <c r="G245" s="359" t="e">
        <f t="shared" si="93"/>
        <v>#VALUE!</v>
      </c>
      <c r="J245" s="354" t="str">
        <f t="shared" si="89"/>
        <v>M236</v>
      </c>
      <c r="K245" s="355">
        <f t="shared" si="94"/>
        <v>5216.8394087440765</v>
      </c>
      <c r="L245" s="356">
        <f t="shared" si="102"/>
        <v>-3208.0557026254819</v>
      </c>
      <c r="M245" s="357">
        <f t="shared" si="111"/>
        <v>542190.52372380218</v>
      </c>
      <c r="N245" s="358">
        <f t="shared" si="111"/>
        <v>-68117.569079813809</v>
      </c>
      <c r="O245" s="359">
        <f t="shared" si="96"/>
        <v>-390183.52372380189</v>
      </c>
      <c r="R245" s="354"/>
      <c r="S245" s="355">
        <f t="shared" si="97"/>
        <v>13299.010318784451</v>
      </c>
      <c r="T245" s="356">
        <f t="shared" si="103"/>
        <v>-5860.6366886939377</v>
      </c>
      <c r="U245" s="357">
        <f t="shared" si="112"/>
        <v>1386575.4129620567</v>
      </c>
      <c r="V245" s="358">
        <f t="shared" si="112"/>
        <v>368880.76373930438</v>
      </c>
      <c r="W245" s="359">
        <f t="shared" si="98"/>
        <v>-716575.41296205693</v>
      </c>
      <c r="Z245" s="354"/>
      <c r="AA245" s="355" t="e">
        <f t="shared" si="99"/>
        <v>#NUM!</v>
      </c>
      <c r="AB245" s="356" t="e">
        <f t="shared" si="100"/>
        <v>#NUM!</v>
      </c>
      <c r="AC245" s="357" t="e">
        <f t="shared" si="113"/>
        <v>#NUM!</v>
      </c>
      <c r="AD245" s="358" t="e">
        <f t="shared" si="113"/>
        <v>#NUM!</v>
      </c>
      <c r="AE245" s="359" t="e">
        <f t="shared" si="101"/>
        <v>#NUM!</v>
      </c>
    </row>
    <row r="246" spans="2:31" x14ac:dyDescent="0.25">
      <c r="B246" s="354" t="s">
        <v>618</v>
      </c>
      <c r="C246" s="355" t="e">
        <f t="shared" si="90"/>
        <v>#VALUE!</v>
      </c>
      <c r="D246" s="356" t="e">
        <f t="shared" si="91"/>
        <v>#VALUE!</v>
      </c>
      <c r="E246" s="357" t="e">
        <f t="shared" si="110"/>
        <v>#VALUE!</v>
      </c>
      <c r="F246" s="358" t="e">
        <f t="shared" si="110"/>
        <v>#VALUE!</v>
      </c>
      <c r="G246" s="359" t="e">
        <f t="shared" si="93"/>
        <v>#VALUE!</v>
      </c>
      <c r="J246" s="354" t="str">
        <f t="shared" si="89"/>
        <v>M237</v>
      </c>
      <c r="K246" s="355">
        <f t="shared" si="94"/>
        <v>5260.3130704836103</v>
      </c>
      <c r="L246" s="356">
        <f t="shared" si="102"/>
        <v>-3251.5293643650157</v>
      </c>
      <c r="M246" s="357">
        <f t="shared" si="111"/>
        <v>547450.8367942858</v>
      </c>
      <c r="N246" s="358">
        <f t="shared" si="111"/>
        <v>-71369.098444178831</v>
      </c>
      <c r="O246" s="359">
        <f t="shared" si="96"/>
        <v>-395443.83679428551</v>
      </c>
      <c r="R246" s="354"/>
      <c r="S246" s="355">
        <f t="shared" si="97"/>
        <v>13409.83540477432</v>
      </c>
      <c r="T246" s="356">
        <f t="shared" si="103"/>
        <v>-5971.4617746838076</v>
      </c>
      <c r="U246" s="357">
        <f t="shared" si="112"/>
        <v>1399985.2483668311</v>
      </c>
      <c r="V246" s="358">
        <f t="shared" si="112"/>
        <v>362909.30196462059</v>
      </c>
      <c r="W246" s="359">
        <f t="shared" si="98"/>
        <v>-729985.24836683122</v>
      </c>
      <c r="Z246" s="354"/>
      <c r="AA246" s="355" t="e">
        <f t="shared" si="99"/>
        <v>#NUM!</v>
      </c>
      <c r="AB246" s="356" t="e">
        <f t="shared" si="100"/>
        <v>#NUM!</v>
      </c>
      <c r="AC246" s="357" t="e">
        <f t="shared" si="113"/>
        <v>#NUM!</v>
      </c>
      <c r="AD246" s="358" t="e">
        <f t="shared" si="113"/>
        <v>#NUM!</v>
      </c>
      <c r="AE246" s="359" t="e">
        <f t="shared" si="101"/>
        <v>#NUM!</v>
      </c>
    </row>
    <row r="247" spans="2:31" x14ac:dyDescent="0.25">
      <c r="B247" s="354" t="s">
        <v>619</v>
      </c>
      <c r="C247" s="355" t="e">
        <f t="shared" si="90"/>
        <v>#VALUE!</v>
      </c>
      <c r="D247" s="356" t="e">
        <f t="shared" si="91"/>
        <v>#VALUE!</v>
      </c>
      <c r="E247" s="357" t="e">
        <f t="shared" si="110"/>
        <v>#VALUE!</v>
      </c>
      <c r="F247" s="358" t="e">
        <f t="shared" si="110"/>
        <v>#VALUE!</v>
      </c>
      <c r="G247" s="359" t="e">
        <f t="shared" si="93"/>
        <v>#VALUE!</v>
      </c>
      <c r="J247" s="354" t="str">
        <f t="shared" si="89"/>
        <v>M238</v>
      </c>
      <c r="K247" s="355">
        <f t="shared" si="94"/>
        <v>5304.1490127376401</v>
      </c>
      <c r="L247" s="356">
        <f t="shared" si="102"/>
        <v>-3295.3653066190459</v>
      </c>
      <c r="M247" s="357">
        <f t="shared" si="111"/>
        <v>552754.98580702348</v>
      </c>
      <c r="N247" s="358">
        <f t="shared" si="111"/>
        <v>-74664.463750797877</v>
      </c>
      <c r="O247" s="359">
        <f t="shared" si="96"/>
        <v>-400747.98580702313</v>
      </c>
      <c r="R247" s="354"/>
      <c r="S247" s="355">
        <f t="shared" si="97"/>
        <v>13521.584033147439</v>
      </c>
      <c r="T247" s="356">
        <f t="shared" si="103"/>
        <v>-6083.2104030569271</v>
      </c>
      <c r="U247" s="357">
        <f t="shared" si="112"/>
        <v>1413506.8323999785</v>
      </c>
      <c r="V247" s="358">
        <f t="shared" si="112"/>
        <v>356826.09156156366</v>
      </c>
      <c r="W247" s="359">
        <f t="shared" si="98"/>
        <v>-743506.83239997865</v>
      </c>
      <c r="Z247" s="354"/>
      <c r="AA247" s="355" t="e">
        <f t="shared" si="99"/>
        <v>#NUM!</v>
      </c>
      <c r="AB247" s="356" t="e">
        <f t="shared" si="100"/>
        <v>#NUM!</v>
      </c>
      <c r="AC247" s="357" t="e">
        <f t="shared" si="113"/>
        <v>#NUM!</v>
      </c>
      <c r="AD247" s="358" t="e">
        <f t="shared" si="113"/>
        <v>#NUM!</v>
      </c>
      <c r="AE247" s="359" t="e">
        <f t="shared" si="101"/>
        <v>#NUM!</v>
      </c>
    </row>
    <row r="248" spans="2:31" x14ac:dyDescent="0.25">
      <c r="B248" s="354" t="s">
        <v>620</v>
      </c>
      <c r="C248" s="355" t="e">
        <f t="shared" si="90"/>
        <v>#VALUE!</v>
      </c>
      <c r="D248" s="356" t="e">
        <f t="shared" si="91"/>
        <v>#VALUE!</v>
      </c>
      <c r="E248" s="357" t="e">
        <f t="shared" si="110"/>
        <v>#VALUE!</v>
      </c>
      <c r="F248" s="358" t="e">
        <f t="shared" si="110"/>
        <v>#VALUE!</v>
      </c>
      <c r="G248" s="359" t="e">
        <f t="shared" si="93"/>
        <v>#VALUE!</v>
      </c>
      <c r="J248" s="354" t="str">
        <f t="shared" si="89"/>
        <v>M239</v>
      </c>
      <c r="K248" s="355">
        <f t="shared" si="94"/>
        <v>5348.3502545104539</v>
      </c>
      <c r="L248" s="356">
        <f t="shared" si="102"/>
        <v>-3339.5665483918592</v>
      </c>
      <c r="M248" s="357">
        <f t="shared" si="111"/>
        <v>558103.33606153389</v>
      </c>
      <c r="N248" s="358">
        <f t="shared" si="111"/>
        <v>-78004.030299189733</v>
      </c>
      <c r="O248" s="359">
        <f t="shared" si="96"/>
        <v>-406096.3360615336</v>
      </c>
      <c r="R248" s="354"/>
      <c r="S248" s="355">
        <f t="shared" si="97"/>
        <v>13634.263900090335</v>
      </c>
      <c r="T248" s="356">
        <f t="shared" si="103"/>
        <v>-6195.8902699998216</v>
      </c>
      <c r="U248" s="357">
        <f t="shared" si="112"/>
        <v>1427141.0963000688</v>
      </c>
      <c r="V248" s="358">
        <f t="shared" si="112"/>
        <v>350630.20129156386</v>
      </c>
      <c r="W248" s="359">
        <f t="shared" si="98"/>
        <v>-757141.09630006901</v>
      </c>
      <c r="Z248" s="354"/>
      <c r="AA248" s="355" t="e">
        <f t="shared" si="99"/>
        <v>#NUM!</v>
      </c>
      <c r="AB248" s="356" t="e">
        <f t="shared" si="100"/>
        <v>#NUM!</v>
      </c>
      <c r="AC248" s="357" t="e">
        <f t="shared" si="113"/>
        <v>#NUM!</v>
      </c>
      <c r="AD248" s="358" t="e">
        <f t="shared" si="113"/>
        <v>#NUM!</v>
      </c>
      <c r="AE248" s="359" t="e">
        <f t="shared" si="101"/>
        <v>#NUM!</v>
      </c>
    </row>
    <row r="249" spans="2:31" ht="13" thickBot="1" x14ac:dyDescent="0.3">
      <c r="B249" s="354" t="s">
        <v>621</v>
      </c>
      <c r="C249" s="355" t="e">
        <f t="shared" si="90"/>
        <v>#VALUE!</v>
      </c>
      <c r="D249" s="360" t="e">
        <f t="shared" si="91"/>
        <v>#VALUE!</v>
      </c>
      <c r="E249" s="361" t="e">
        <f t="shared" si="110"/>
        <v>#VALUE!</v>
      </c>
      <c r="F249" s="362" t="e">
        <f t="shared" si="110"/>
        <v>#VALUE!</v>
      </c>
      <c r="G249" s="363" t="e">
        <f t="shared" si="93"/>
        <v>#VALUE!</v>
      </c>
      <c r="J249" s="354" t="str">
        <f t="shared" si="89"/>
        <v>M240</v>
      </c>
      <c r="K249" s="355">
        <f t="shared" si="94"/>
        <v>5392.9198399647075</v>
      </c>
      <c r="L249" s="356">
        <f>$L$4/12*O248</f>
        <v>-3384.1361338461134</v>
      </c>
      <c r="M249" s="361">
        <f t="shared" si="111"/>
        <v>563496.2559014986</v>
      </c>
      <c r="N249" s="362">
        <f t="shared" si="111"/>
        <v>-81388.166433035847</v>
      </c>
      <c r="O249" s="363">
        <f t="shared" si="96"/>
        <v>-411489.25590149831</v>
      </c>
      <c r="R249" s="364"/>
      <c r="S249" s="355">
        <f t="shared" si="97"/>
        <v>13747.882765924422</v>
      </c>
      <c r="T249" s="356">
        <f>$L$4/12*W248</f>
        <v>-6309.5091358339087</v>
      </c>
      <c r="U249" s="361">
        <f t="shared" si="112"/>
        <v>1440888.9790659931</v>
      </c>
      <c r="V249" s="362">
        <f t="shared" si="112"/>
        <v>344320.69215572998</v>
      </c>
      <c r="W249" s="363">
        <f t="shared" si="98"/>
        <v>-770888.97906599345</v>
      </c>
      <c r="Z249" s="364"/>
      <c r="AA249" s="355" t="e">
        <f t="shared" si="99"/>
        <v>#NUM!</v>
      </c>
      <c r="AB249" s="356" t="e">
        <f t="shared" si="100"/>
        <v>#NUM!</v>
      </c>
      <c r="AC249" s="361" t="e">
        <f t="shared" si="113"/>
        <v>#NUM!</v>
      </c>
      <c r="AD249" s="362" t="e">
        <f t="shared" si="113"/>
        <v>#NUM!</v>
      </c>
      <c r="AE249" s="363" t="e">
        <f t="shared" si="101"/>
        <v>#NUM!</v>
      </c>
    </row>
    <row r="250" spans="2:31" x14ac:dyDescent="0.25">
      <c r="C250" s="365"/>
      <c r="D250" s="366"/>
      <c r="E250" s="367"/>
      <c r="F250" s="368"/>
      <c r="G250" s="368"/>
      <c r="K250" s="365"/>
      <c r="L250" s="366"/>
      <c r="M250" s="367"/>
      <c r="N250" s="368"/>
      <c r="O250" s="368"/>
      <c r="S250" s="365"/>
      <c r="T250" s="366"/>
      <c r="U250" s="367"/>
      <c r="V250" s="368"/>
      <c r="W250" s="368"/>
      <c r="AA250" s="365"/>
      <c r="AB250" s="366"/>
      <c r="AC250" s="367"/>
      <c r="AD250" s="368"/>
      <c r="AE250" s="368"/>
    </row>
    <row r="251" spans="2:31" x14ac:dyDescent="0.25">
      <c r="C251" s="365"/>
      <c r="D251" s="366"/>
      <c r="E251" s="367"/>
      <c r="F251" s="368"/>
      <c r="G251" s="368"/>
      <c r="K251" s="365"/>
      <c r="L251" s="366"/>
      <c r="M251" s="367"/>
      <c r="N251" s="368"/>
      <c r="O251" s="368"/>
      <c r="S251" s="365"/>
      <c r="T251" s="366"/>
      <c r="U251" s="367"/>
      <c r="V251" s="368"/>
      <c r="W251" s="368"/>
      <c r="AA251" s="365"/>
      <c r="AB251" s="366"/>
      <c r="AC251" s="367"/>
      <c r="AD251" s="368"/>
      <c r="AE251" s="368"/>
    </row>
    <row r="252" spans="2:31" x14ac:dyDescent="0.25">
      <c r="C252" s="365"/>
      <c r="D252" s="366"/>
      <c r="E252" s="367"/>
      <c r="F252" s="368"/>
      <c r="G252" s="368"/>
      <c r="K252" s="365"/>
      <c r="L252" s="366"/>
      <c r="M252" s="367"/>
      <c r="N252" s="368"/>
      <c r="O252" s="368"/>
      <c r="S252" s="365"/>
      <c r="T252" s="366"/>
      <c r="U252" s="367"/>
      <c r="V252" s="368"/>
      <c r="W252" s="368"/>
      <c r="AA252" s="365"/>
      <c r="AB252" s="366"/>
      <c r="AC252" s="367"/>
      <c r="AD252" s="368"/>
      <c r="AE252" s="368"/>
    </row>
    <row r="253" spans="2:31" x14ac:dyDescent="0.25">
      <c r="C253" s="365"/>
      <c r="D253" s="366"/>
      <c r="E253" s="367"/>
      <c r="F253" s="368"/>
      <c r="G253" s="368"/>
      <c r="K253" s="365"/>
      <c r="L253" s="366"/>
      <c r="M253" s="367"/>
      <c r="N253" s="368"/>
      <c r="O253" s="368"/>
      <c r="S253" s="365"/>
      <c r="T253" s="366"/>
      <c r="U253" s="367"/>
      <c r="V253" s="368"/>
      <c r="W253" s="368"/>
      <c r="AA253" s="365"/>
      <c r="AB253" s="366"/>
      <c r="AC253" s="367"/>
      <c r="AD253" s="368"/>
      <c r="AE253" s="368"/>
    </row>
    <row r="254" spans="2:31" x14ac:dyDescent="0.25">
      <c r="C254" s="365"/>
      <c r="D254" s="366"/>
      <c r="E254" s="367"/>
      <c r="F254" s="368"/>
      <c r="G254" s="368"/>
      <c r="K254" s="365"/>
      <c r="L254" s="366"/>
      <c r="M254" s="367"/>
      <c r="N254" s="368"/>
      <c r="O254" s="368"/>
      <c r="S254" s="365"/>
      <c r="T254" s="366"/>
      <c r="U254" s="367"/>
      <c r="V254" s="368"/>
      <c r="W254" s="368"/>
      <c r="AA254" s="365"/>
      <c r="AB254" s="366"/>
      <c r="AC254" s="367"/>
      <c r="AD254" s="368"/>
      <c r="AE254" s="368"/>
    </row>
    <row r="255" spans="2:31" x14ac:dyDescent="0.25">
      <c r="C255" s="365"/>
      <c r="D255" s="366"/>
      <c r="E255" s="367"/>
      <c r="F255" s="368"/>
      <c r="G255" s="368"/>
      <c r="K255" s="365"/>
      <c r="L255" s="366"/>
      <c r="M255" s="367"/>
      <c r="N255" s="368"/>
      <c r="O255" s="368"/>
      <c r="S255" s="365"/>
      <c r="T255" s="366"/>
      <c r="U255" s="367"/>
      <c r="V255" s="368"/>
      <c r="W255" s="368"/>
      <c r="AA255" s="365"/>
      <c r="AB255" s="366"/>
      <c r="AC255" s="367"/>
      <c r="AD255" s="368"/>
      <c r="AE255" s="368"/>
    </row>
    <row r="256" spans="2:31" x14ac:dyDescent="0.25">
      <c r="C256" s="365"/>
      <c r="D256" s="366"/>
      <c r="E256" s="367"/>
      <c r="F256" s="368"/>
      <c r="G256" s="368"/>
      <c r="K256" s="365"/>
      <c r="L256" s="366"/>
      <c r="M256" s="367"/>
      <c r="N256" s="368"/>
      <c r="O256" s="368"/>
      <c r="S256" s="365"/>
      <c r="T256" s="366"/>
      <c r="U256" s="367"/>
      <c r="V256" s="368"/>
      <c r="W256" s="368"/>
      <c r="AA256" s="365"/>
      <c r="AB256" s="366"/>
      <c r="AC256" s="367"/>
      <c r="AD256" s="368"/>
      <c r="AE256" s="368"/>
    </row>
    <row r="257" spans="3:31" x14ac:dyDescent="0.25">
      <c r="C257" s="365"/>
      <c r="D257" s="366"/>
      <c r="E257" s="367"/>
      <c r="F257" s="368"/>
      <c r="G257" s="368"/>
      <c r="K257" s="365"/>
      <c r="L257" s="366"/>
      <c r="M257" s="367"/>
      <c r="N257" s="368"/>
      <c r="O257" s="368"/>
      <c r="S257" s="365"/>
      <c r="T257" s="366"/>
      <c r="U257" s="367"/>
      <c r="V257" s="368"/>
      <c r="W257" s="368"/>
      <c r="AA257" s="365"/>
      <c r="AB257" s="366"/>
      <c r="AC257" s="367"/>
      <c r="AD257" s="368"/>
      <c r="AE257" s="368"/>
    </row>
    <row r="258" spans="3:31" x14ac:dyDescent="0.25">
      <c r="C258" s="365"/>
      <c r="D258" s="366"/>
      <c r="E258" s="367"/>
      <c r="F258" s="368"/>
      <c r="G258" s="368"/>
      <c r="K258" s="365"/>
      <c r="L258" s="366"/>
      <c r="M258" s="367"/>
      <c r="N258" s="368"/>
      <c r="O258" s="368"/>
      <c r="S258" s="365"/>
      <c r="T258" s="366"/>
      <c r="U258" s="367"/>
      <c r="V258" s="368"/>
      <c r="W258" s="368"/>
      <c r="AA258" s="365"/>
      <c r="AB258" s="366"/>
      <c r="AC258" s="367"/>
      <c r="AD258" s="368"/>
      <c r="AE258" s="368"/>
    </row>
    <row r="259" spans="3:31" x14ac:dyDescent="0.25">
      <c r="C259" s="365"/>
      <c r="D259" s="366"/>
      <c r="E259" s="367"/>
      <c r="F259" s="368"/>
      <c r="G259" s="368"/>
      <c r="K259" s="365"/>
      <c r="L259" s="366"/>
      <c r="M259" s="367"/>
      <c r="N259" s="368"/>
      <c r="O259" s="368"/>
      <c r="S259" s="365"/>
      <c r="T259" s="366"/>
      <c r="U259" s="367"/>
      <c r="V259" s="368"/>
      <c r="W259" s="368"/>
      <c r="AA259" s="365"/>
      <c r="AB259" s="366"/>
      <c r="AC259" s="367"/>
      <c r="AD259" s="368"/>
      <c r="AE259" s="368"/>
    </row>
    <row r="260" spans="3:31" x14ac:dyDescent="0.25">
      <c r="C260" s="365"/>
      <c r="D260" s="366"/>
      <c r="E260" s="367"/>
      <c r="F260" s="368"/>
      <c r="G260" s="368"/>
      <c r="K260" s="365"/>
      <c r="L260" s="366"/>
      <c r="M260" s="367"/>
      <c r="N260" s="368"/>
      <c r="O260" s="368"/>
      <c r="S260" s="365"/>
      <c r="T260" s="366"/>
      <c r="U260" s="367"/>
      <c r="V260" s="368"/>
      <c r="W260" s="368"/>
      <c r="AA260" s="365"/>
      <c r="AB260" s="366"/>
      <c r="AC260" s="367"/>
      <c r="AD260" s="368"/>
      <c r="AE260" s="368"/>
    </row>
    <row r="261" spans="3:31" x14ac:dyDescent="0.25">
      <c r="C261" s="365"/>
      <c r="D261" s="366"/>
      <c r="E261" s="367"/>
      <c r="F261" s="368"/>
      <c r="G261" s="368"/>
      <c r="K261" s="365"/>
      <c r="L261" s="366"/>
      <c r="M261" s="367"/>
      <c r="N261" s="368"/>
      <c r="O261" s="368"/>
      <c r="S261" s="365"/>
      <c r="T261" s="366"/>
      <c r="U261" s="367"/>
      <c r="V261" s="368"/>
      <c r="W261" s="368"/>
      <c r="AA261" s="365"/>
      <c r="AB261" s="366"/>
      <c r="AC261" s="367"/>
      <c r="AD261" s="368"/>
      <c r="AE261" s="368"/>
    </row>
    <row r="262" spans="3:31" x14ac:dyDescent="0.25">
      <c r="C262" s="365"/>
      <c r="D262" s="366"/>
      <c r="E262" s="367"/>
      <c r="F262" s="368"/>
      <c r="G262" s="368"/>
      <c r="K262" s="365"/>
      <c r="L262" s="366"/>
      <c r="M262" s="367"/>
      <c r="N262" s="368"/>
      <c r="O262" s="368"/>
      <c r="S262" s="365"/>
      <c r="T262" s="366"/>
      <c r="U262" s="367"/>
      <c r="V262" s="368"/>
      <c r="W262" s="368"/>
      <c r="AA262" s="365"/>
      <c r="AB262" s="366"/>
      <c r="AC262" s="367"/>
      <c r="AD262" s="368"/>
      <c r="AE262" s="368"/>
    </row>
    <row r="263" spans="3:31" x14ac:dyDescent="0.25">
      <c r="C263" s="365"/>
      <c r="D263" s="366"/>
      <c r="E263" s="367"/>
      <c r="F263" s="368"/>
      <c r="G263" s="368"/>
      <c r="K263" s="365"/>
      <c r="L263" s="366"/>
      <c r="M263" s="367"/>
      <c r="N263" s="368"/>
      <c r="O263" s="368"/>
      <c r="S263" s="365"/>
      <c r="T263" s="366"/>
      <c r="U263" s="367"/>
      <c r="V263" s="368"/>
      <c r="W263" s="368"/>
      <c r="AA263" s="365"/>
      <c r="AB263" s="366"/>
      <c r="AC263" s="367"/>
      <c r="AD263" s="368"/>
      <c r="AE263" s="368"/>
    </row>
    <row r="264" spans="3:31" x14ac:dyDescent="0.25">
      <c r="C264" s="365"/>
      <c r="D264" s="366"/>
      <c r="E264" s="367"/>
      <c r="F264" s="368"/>
      <c r="G264" s="368"/>
      <c r="K264" s="365"/>
      <c r="L264" s="366"/>
      <c r="M264" s="367"/>
      <c r="N264" s="368"/>
      <c r="O264" s="368"/>
      <c r="S264" s="365"/>
      <c r="T264" s="366"/>
      <c r="U264" s="367"/>
      <c r="V264" s="368"/>
      <c r="W264" s="368"/>
      <c r="AA264" s="365"/>
      <c r="AB264" s="366"/>
      <c r="AC264" s="367"/>
      <c r="AD264" s="368"/>
      <c r="AE264" s="368"/>
    </row>
    <row r="265" spans="3:31" x14ac:dyDescent="0.25">
      <c r="C265" s="365"/>
      <c r="D265" s="366"/>
      <c r="E265" s="367"/>
      <c r="F265" s="368"/>
      <c r="G265" s="368"/>
      <c r="K265" s="365"/>
      <c r="L265" s="366"/>
      <c r="M265" s="367"/>
      <c r="N265" s="368"/>
      <c r="O265" s="368"/>
      <c r="S265" s="365"/>
      <c r="T265" s="366"/>
      <c r="U265" s="367"/>
      <c r="V265" s="368"/>
      <c r="W265" s="368"/>
      <c r="AA265" s="365"/>
      <c r="AB265" s="366"/>
      <c r="AC265" s="367"/>
      <c r="AD265" s="368"/>
      <c r="AE265" s="368"/>
    </row>
    <row r="266" spans="3:31" x14ac:dyDescent="0.25">
      <c r="C266" s="365"/>
      <c r="D266" s="366"/>
      <c r="E266" s="367"/>
      <c r="F266" s="368"/>
      <c r="G266" s="368"/>
      <c r="K266" s="365"/>
      <c r="L266" s="366"/>
      <c r="M266" s="367"/>
      <c r="N266" s="368"/>
      <c r="O266" s="368"/>
      <c r="S266" s="365"/>
      <c r="T266" s="366"/>
      <c r="U266" s="367"/>
      <c r="V266" s="368"/>
      <c r="W266" s="368"/>
      <c r="AA266" s="365"/>
      <c r="AB266" s="366"/>
      <c r="AC266" s="367"/>
      <c r="AD266" s="368"/>
      <c r="AE266" s="368"/>
    </row>
    <row r="267" spans="3:31" x14ac:dyDescent="0.25">
      <c r="C267" s="365"/>
      <c r="D267" s="366"/>
      <c r="E267" s="367"/>
      <c r="F267" s="368"/>
      <c r="G267" s="368"/>
      <c r="K267" s="365"/>
      <c r="L267" s="366"/>
      <c r="M267" s="367"/>
      <c r="N267" s="368"/>
      <c r="O267" s="368"/>
      <c r="S267" s="365"/>
      <c r="T267" s="366"/>
      <c r="U267" s="367"/>
      <c r="V267" s="368"/>
      <c r="W267" s="368"/>
      <c r="AA267" s="365"/>
      <c r="AB267" s="366"/>
      <c r="AC267" s="367"/>
      <c r="AD267" s="368"/>
      <c r="AE267" s="368"/>
    </row>
    <row r="268" spans="3:31" x14ac:dyDescent="0.25">
      <c r="C268" s="365"/>
      <c r="D268" s="366"/>
      <c r="E268" s="367"/>
      <c r="F268" s="368"/>
      <c r="G268" s="368"/>
      <c r="K268" s="365"/>
      <c r="L268" s="366"/>
      <c r="M268" s="367"/>
      <c r="N268" s="368"/>
      <c r="O268" s="368"/>
      <c r="S268" s="365"/>
      <c r="T268" s="366"/>
      <c r="U268" s="367"/>
      <c r="V268" s="368"/>
      <c r="W268" s="368"/>
      <c r="AA268" s="365"/>
      <c r="AB268" s="366"/>
      <c r="AC268" s="367"/>
      <c r="AD268" s="368"/>
      <c r="AE268" s="368"/>
    </row>
    <row r="269" spans="3:31" x14ac:dyDescent="0.25">
      <c r="C269" s="365"/>
      <c r="D269" s="366"/>
      <c r="E269" s="367"/>
      <c r="F269" s="368"/>
      <c r="G269" s="368"/>
      <c r="K269" s="365"/>
      <c r="L269" s="366"/>
      <c r="M269" s="367"/>
      <c r="N269" s="368"/>
      <c r="O269" s="368"/>
      <c r="S269" s="365"/>
      <c r="T269" s="366"/>
      <c r="U269" s="367"/>
      <c r="V269" s="368"/>
      <c r="W269" s="368"/>
      <c r="AA269" s="365"/>
      <c r="AB269" s="366"/>
      <c r="AC269" s="367"/>
      <c r="AD269" s="368"/>
      <c r="AE269" s="368"/>
    </row>
    <row r="270" spans="3:31" x14ac:dyDescent="0.25">
      <c r="C270" s="365"/>
      <c r="D270" s="366"/>
      <c r="E270" s="367"/>
      <c r="F270" s="368"/>
      <c r="G270" s="368"/>
      <c r="K270" s="365"/>
      <c r="L270" s="366"/>
      <c r="M270" s="367"/>
      <c r="N270" s="368"/>
      <c r="O270" s="368"/>
      <c r="S270" s="365"/>
      <c r="T270" s="366"/>
      <c r="U270" s="367"/>
      <c r="V270" s="368"/>
      <c r="W270" s="368"/>
      <c r="AA270" s="365"/>
      <c r="AB270" s="366"/>
      <c r="AC270" s="367"/>
      <c r="AD270" s="368"/>
      <c r="AE270" s="368"/>
    </row>
    <row r="271" spans="3:31" x14ac:dyDescent="0.25">
      <c r="C271" s="365"/>
      <c r="D271" s="366"/>
      <c r="E271" s="367"/>
      <c r="F271" s="368"/>
      <c r="G271" s="368"/>
      <c r="K271" s="365"/>
      <c r="L271" s="366"/>
      <c r="M271" s="367"/>
      <c r="N271" s="368"/>
      <c r="O271" s="368"/>
      <c r="S271" s="365"/>
      <c r="T271" s="366"/>
      <c r="U271" s="367"/>
      <c r="V271" s="368"/>
      <c r="W271" s="368"/>
      <c r="AA271" s="365"/>
      <c r="AB271" s="366"/>
      <c r="AC271" s="367"/>
      <c r="AD271" s="368"/>
      <c r="AE271" s="368"/>
    </row>
    <row r="272" spans="3:31" x14ac:dyDescent="0.25">
      <c r="C272" s="365"/>
      <c r="D272" s="366"/>
      <c r="E272" s="367"/>
      <c r="F272" s="368"/>
      <c r="G272" s="368"/>
      <c r="K272" s="365"/>
      <c r="L272" s="366"/>
      <c r="M272" s="367"/>
      <c r="N272" s="368"/>
      <c r="O272" s="368"/>
      <c r="S272" s="365"/>
      <c r="T272" s="366"/>
      <c r="U272" s="367"/>
      <c r="V272" s="368"/>
      <c r="W272" s="368"/>
      <c r="AA272" s="365"/>
      <c r="AB272" s="366"/>
      <c r="AC272" s="367"/>
      <c r="AD272" s="368"/>
      <c r="AE272" s="368"/>
    </row>
    <row r="273" spans="3:31" x14ac:dyDescent="0.25">
      <c r="C273" s="365"/>
      <c r="D273" s="366"/>
      <c r="E273" s="367"/>
      <c r="F273" s="368"/>
      <c r="G273" s="368"/>
      <c r="K273" s="365"/>
      <c r="L273" s="366"/>
      <c r="M273" s="367"/>
      <c r="N273" s="368"/>
      <c r="O273" s="368"/>
      <c r="S273" s="365"/>
      <c r="T273" s="366"/>
      <c r="U273" s="367"/>
      <c r="V273" s="368"/>
      <c r="W273" s="368"/>
      <c r="AA273" s="365"/>
      <c r="AB273" s="366"/>
      <c r="AC273" s="367"/>
      <c r="AD273" s="368"/>
      <c r="AE273" s="368"/>
    </row>
    <row r="274" spans="3:31" x14ac:dyDescent="0.25">
      <c r="C274" s="365"/>
      <c r="D274" s="366"/>
      <c r="E274" s="367"/>
      <c r="F274" s="368"/>
      <c r="G274" s="368"/>
      <c r="K274" s="365"/>
      <c r="L274" s="366"/>
      <c r="M274" s="367"/>
      <c r="N274" s="368"/>
      <c r="O274" s="368"/>
      <c r="S274" s="365"/>
      <c r="T274" s="366"/>
      <c r="U274" s="367"/>
      <c r="V274" s="368"/>
      <c r="W274" s="368"/>
      <c r="AA274" s="365"/>
      <c r="AB274" s="366"/>
      <c r="AC274" s="367"/>
      <c r="AD274" s="368"/>
      <c r="AE274" s="368"/>
    </row>
    <row r="275" spans="3:31" x14ac:dyDescent="0.25">
      <c r="C275" s="365"/>
      <c r="D275" s="366"/>
      <c r="E275" s="367"/>
      <c r="F275" s="368"/>
      <c r="G275" s="368"/>
      <c r="K275" s="365"/>
      <c r="L275" s="366"/>
      <c r="M275" s="367"/>
      <c r="N275" s="368"/>
      <c r="O275" s="368"/>
      <c r="S275" s="365"/>
      <c r="T275" s="366"/>
      <c r="U275" s="367"/>
      <c r="V275" s="368"/>
      <c r="W275" s="368"/>
      <c r="AA275" s="365"/>
      <c r="AB275" s="366"/>
      <c r="AC275" s="367"/>
      <c r="AD275" s="368"/>
      <c r="AE275" s="368"/>
    </row>
    <row r="276" spans="3:31" x14ac:dyDescent="0.25">
      <c r="C276" s="365"/>
      <c r="D276" s="366"/>
      <c r="E276" s="367"/>
      <c r="F276" s="368"/>
      <c r="G276" s="368"/>
      <c r="K276" s="365"/>
      <c r="L276" s="366"/>
      <c r="M276" s="367"/>
      <c r="N276" s="368"/>
      <c r="O276" s="368"/>
      <c r="S276" s="365"/>
      <c r="T276" s="366"/>
      <c r="U276" s="367"/>
      <c r="V276" s="368"/>
      <c r="W276" s="368"/>
      <c r="AA276" s="365"/>
      <c r="AB276" s="366"/>
      <c r="AC276" s="367"/>
      <c r="AD276" s="368"/>
      <c r="AE276" s="368"/>
    </row>
    <row r="277" spans="3:31" x14ac:dyDescent="0.25">
      <c r="C277" s="365"/>
      <c r="D277" s="366"/>
      <c r="E277" s="367"/>
      <c r="F277" s="368"/>
      <c r="G277" s="368"/>
      <c r="K277" s="365"/>
      <c r="L277" s="366"/>
      <c r="M277" s="367"/>
      <c r="N277" s="368"/>
      <c r="O277" s="368"/>
      <c r="S277" s="365"/>
      <c r="T277" s="366"/>
      <c r="U277" s="367"/>
      <c r="V277" s="368"/>
      <c r="W277" s="368"/>
      <c r="AA277" s="365"/>
      <c r="AB277" s="366"/>
      <c r="AC277" s="367"/>
      <c r="AD277" s="368"/>
      <c r="AE277" s="368"/>
    </row>
    <row r="278" spans="3:31" x14ac:dyDescent="0.25">
      <c r="C278" s="365"/>
      <c r="D278" s="366"/>
      <c r="E278" s="367"/>
      <c r="F278" s="368"/>
      <c r="G278" s="368"/>
      <c r="K278" s="365"/>
      <c r="L278" s="366"/>
      <c r="M278" s="367"/>
      <c r="N278" s="368"/>
      <c r="O278" s="368"/>
      <c r="S278" s="365"/>
      <c r="T278" s="366"/>
      <c r="U278" s="367"/>
      <c r="V278" s="368"/>
      <c r="W278" s="368"/>
      <c r="AA278" s="365"/>
      <c r="AB278" s="366"/>
      <c r="AC278" s="367"/>
      <c r="AD278" s="368"/>
      <c r="AE278" s="368"/>
    </row>
    <row r="279" spans="3:31" x14ac:dyDescent="0.25">
      <c r="C279" s="365"/>
      <c r="D279" s="366"/>
      <c r="E279" s="367"/>
      <c r="F279" s="368"/>
      <c r="G279" s="368"/>
      <c r="K279" s="365"/>
      <c r="L279" s="366"/>
      <c r="M279" s="367"/>
      <c r="N279" s="368"/>
      <c r="O279" s="368"/>
      <c r="S279" s="365"/>
      <c r="T279" s="366"/>
      <c r="U279" s="367"/>
      <c r="V279" s="368"/>
      <c r="W279" s="368"/>
      <c r="AA279" s="365"/>
      <c r="AB279" s="366"/>
      <c r="AC279" s="367"/>
      <c r="AD279" s="368"/>
      <c r="AE279" s="368"/>
    </row>
    <row r="280" spans="3:31" x14ac:dyDescent="0.25">
      <c r="C280" s="365"/>
      <c r="D280" s="366"/>
      <c r="E280" s="367"/>
      <c r="F280" s="368"/>
      <c r="G280" s="368"/>
      <c r="K280" s="365"/>
      <c r="L280" s="366"/>
      <c r="M280" s="367"/>
      <c r="N280" s="368"/>
      <c r="O280" s="368"/>
      <c r="S280" s="365"/>
      <c r="T280" s="366"/>
      <c r="U280" s="367"/>
      <c r="V280" s="368"/>
      <c r="W280" s="368"/>
      <c r="AA280" s="365"/>
      <c r="AB280" s="366"/>
      <c r="AC280" s="367"/>
      <c r="AD280" s="368"/>
      <c r="AE280" s="368"/>
    </row>
    <row r="281" spans="3:31" x14ac:dyDescent="0.25">
      <c r="C281" s="365"/>
      <c r="D281" s="366"/>
      <c r="E281" s="367"/>
      <c r="F281" s="368"/>
      <c r="G281" s="368"/>
      <c r="K281" s="365"/>
      <c r="L281" s="366"/>
      <c r="M281" s="367"/>
      <c r="N281" s="368"/>
      <c r="O281" s="368"/>
      <c r="S281" s="365"/>
      <c r="T281" s="366"/>
      <c r="U281" s="367"/>
      <c r="V281" s="368"/>
      <c r="W281" s="368"/>
      <c r="AA281" s="365"/>
      <c r="AB281" s="366"/>
      <c r="AC281" s="367"/>
      <c r="AD281" s="368"/>
      <c r="AE281" s="368"/>
    </row>
    <row r="282" spans="3:31" x14ac:dyDescent="0.25">
      <c r="C282" s="365"/>
      <c r="D282" s="366"/>
      <c r="E282" s="367"/>
      <c r="F282" s="368"/>
      <c r="G282" s="368"/>
      <c r="K282" s="365"/>
      <c r="L282" s="366"/>
      <c r="M282" s="367"/>
      <c r="N282" s="368"/>
      <c r="O282" s="368"/>
      <c r="S282" s="365"/>
      <c r="T282" s="366"/>
      <c r="U282" s="367"/>
      <c r="V282" s="368"/>
      <c r="W282" s="368"/>
      <c r="AA282" s="365"/>
      <c r="AB282" s="366"/>
      <c r="AC282" s="367"/>
      <c r="AD282" s="368"/>
      <c r="AE282" s="368"/>
    </row>
    <row r="283" spans="3:31" x14ac:dyDescent="0.25">
      <c r="C283" s="365"/>
      <c r="D283" s="366"/>
      <c r="E283" s="367"/>
      <c r="F283" s="368"/>
      <c r="G283" s="368"/>
      <c r="K283" s="365"/>
      <c r="L283" s="366"/>
      <c r="M283" s="367"/>
      <c r="N283" s="368"/>
      <c r="O283" s="368"/>
      <c r="S283" s="365"/>
      <c r="T283" s="366"/>
      <c r="U283" s="367"/>
      <c r="V283" s="368"/>
      <c r="W283" s="368"/>
      <c r="AA283" s="365"/>
      <c r="AB283" s="366"/>
      <c r="AC283" s="367"/>
      <c r="AD283" s="368"/>
      <c r="AE283" s="368"/>
    </row>
    <row r="284" spans="3:31" x14ac:dyDescent="0.25">
      <c r="C284" s="365"/>
      <c r="D284" s="366"/>
      <c r="E284" s="367"/>
      <c r="F284" s="368"/>
      <c r="G284" s="368"/>
      <c r="K284" s="365"/>
      <c r="L284" s="366"/>
      <c r="M284" s="367"/>
      <c r="N284" s="368"/>
      <c r="O284" s="368"/>
      <c r="S284" s="365"/>
      <c r="T284" s="366"/>
      <c r="U284" s="367"/>
      <c r="V284" s="368"/>
      <c r="W284" s="368"/>
      <c r="AA284" s="365"/>
      <c r="AB284" s="366"/>
      <c r="AC284" s="367"/>
      <c r="AD284" s="368"/>
      <c r="AE284" s="368"/>
    </row>
    <row r="285" spans="3:31" x14ac:dyDescent="0.25">
      <c r="C285" s="365"/>
      <c r="D285" s="366"/>
      <c r="E285" s="367"/>
      <c r="F285" s="368"/>
      <c r="G285" s="368"/>
      <c r="K285" s="365"/>
      <c r="L285" s="366"/>
      <c r="M285" s="367"/>
      <c r="N285" s="368"/>
      <c r="O285" s="368"/>
      <c r="S285" s="365"/>
      <c r="T285" s="366"/>
      <c r="U285" s="367"/>
      <c r="V285" s="368"/>
      <c r="W285" s="368"/>
      <c r="AA285" s="365"/>
      <c r="AB285" s="366"/>
      <c r="AC285" s="367"/>
      <c r="AD285" s="368"/>
      <c r="AE285" s="368"/>
    </row>
    <row r="286" spans="3:31" x14ac:dyDescent="0.25">
      <c r="C286" s="365"/>
      <c r="D286" s="366"/>
      <c r="E286" s="367"/>
      <c r="F286" s="368"/>
      <c r="G286" s="368"/>
      <c r="K286" s="365"/>
      <c r="L286" s="366"/>
      <c r="M286" s="367"/>
      <c r="N286" s="368"/>
      <c r="O286" s="368"/>
      <c r="S286" s="365"/>
      <c r="T286" s="366"/>
      <c r="U286" s="367"/>
      <c r="V286" s="368"/>
      <c r="W286" s="368"/>
      <c r="AA286" s="365"/>
      <c r="AB286" s="366"/>
      <c r="AC286" s="367"/>
      <c r="AD286" s="368"/>
      <c r="AE286" s="368"/>
    </row>
    <row r="287" spans="3:31" x14ac:dyDescent="0.25">
      <c r="C287" s="365"/>
      <c r="D287" s="366"/>
      <c r="E287" s="367"/>
      <c r="F287" s="368"/>
      <c r="G287" s="368"/>
      <c r="K287" s="365"/>
      <c r="L287" s="366"/>
      <c r="M287" s="367"/>
      <c r="N287" s="368"/>
      <c r="O287" s="368"/>
      <c r="S287" s="365"/>
      <c r="T287" s="366"/>
      <c r="U287" s="367"/>
      <c r="V287" s="368"/>
      <c r="W287" s="368"/>
      <c r="AA287" s="365"/>
      <c r="AB287" s="366"/>
      <c r="AC287" s="367"/>
      <c r="AD287" s="368"/>
      <c r="AE287" s="368"/>
    </row>
    <row r="288" spans="3:31" x14ac:dyDescent="0.25">
      <c r="C288" s="365"/>
      <c r="D288" s="366"/>
      <c r="E288" s="367"/>
      <c r="F288" s="368"/>
      <c r="G288" s="368"/>
      <c r="K288" s="365"/>
      <c r="L288" s="366"/>
      <c r="M288" s="367"/>
      <c r="N288" s="368"/>
      <c r="O288" s="368"/>
      <c r="S288" s="365"/>
      <c r="T288" s="366"/>
      <c r="U288" s="367"/>
      <c r="V288" s="368"/>
      <c r="W288" s="368"/>
      <c r="AA288" s="365"/>
      <c r="AB288" s="366"/>
      <c r="AC288" s="367"/>
      <c r="AD288" s="368"/>
      <c r="AE288" s="368"/>
    </row>
    <row r="289" spans="3:31" x14ac:dyDescent="0.25">
      <c r="C289" s="365"/>
      <c r="D289" s="366"/>
      <c r="E289" s="367"/>
      <c r="F289" s="368"/>
      <c r="G289" s="368"/>
      <c r="K289" s="365"/>
      <c r="L289" s="366"/>
      <c r="M289" s="367"/>
      <c r="N289" s="368"/>
      <c r="O289" s="368"/>
      <c r="S289" s="365"/>
      <c r="T289" s="366"/>
      <c r="U289" s="367"/>
      <c r="V289" s="368"/>
      <c r="W289" s="368"/>
      <c r="AA289" s="365"/>
      <c r="AB289" s="366"/>
      <c r="AC289" s="367"/>
      <c r="AD289" s="368"/>
      <c r="AE289" s="368"/>
    </row>
    <row r="290" spans="3:31" x14ac:dyDescent="0.25">
      <c r="C290" s="365"/>
      <c r="D290" s="366"/>
      <c r="E290" s="367"/>
      <c r="F290" s="368"/>
      <c r="G290" s="368"/>
      <c r="K290" s="365"/>
      <c r="L290" s="366"/>
      <c r="M290" s="367"/>
      <c r="N290" s="368"/>
      <c r="O290" s="368"/>
      <c r="S290" s="365"/>
      <c r="T290" s="366"/>
      <c r="U290" s="367"/>
      <c r="V290" s="368"/>
      <c r="W290" s="368"/>
      <c r="AA290" s="365"/>
      <c r="AB290" s="366"/>
      <c r="AC290" s="367"/>
      <c r="AD290" s="368"/>
      <c r="AE290" s="368"/>
    </row>
    <row r="291" spans="3:31" x14ac:dyDescent="0.25">
      <c r="C291" s="365"/>
      <c r="D291" s="366"/>
      <c r="E291" s="367"/>
      <c r="F291" s="368"/>
      <c r="G291" s="368"/>
      <c r="K291" s="365"/>
      <c r="L291" s="366"/>
      <c r="M291" s="367"/>
      <c r="N291" s="368"/>
      <c r="O291" s="368"/>
      <c r="S291" s="365"/>
      <c r="T291" s="366"/>
      <c r="U291" s="367"/>
      <c r="V291" s="368"/>
      <c r="W291" s="368"/>
      <c r="AA291" s="365"/>
      <c r="AB291" s="366"/>
      <c r="AC291" s="367"/>
      <c r="AD291" s="368"/>
      <c r="AE291" s="368"/>
    </row>
    <row r="292" spans="3:31" x14ac:dyDescent="0.25">
      <c r="C292" s="365"/>
      <c r="D292" s="366"/>
      <c r="E292" s="367"/>
      <c r="F292" s="368"/>
      <c r="G292" s="368"/>
      <c r="K292" s="365"/>
      <c r="L292" s="366"/>
      <c r="M292" s="367"/>
      <c r="N292" s="368"/>
      <c r="O292" s="368"/>
      <c r="S292" s="365"/>
      <c r="T292" s="366"/>
      <c r="U292" s="367"/>
      <c r="V292" s="368"/>
      <c r="W292" s="368"/>
      <c r="AA292" s="365"/>
      <c r="AB292" s="366"/>
      <c r="AC292" s="367"/>
      <c r="AD292" s="368"/>
      <c r="AE292" s="368"/>
    </row>
    <row r="293" spans="3:31" x14ac:dyDescent="0.25">
      <c r="C293" s="365"/>
      <c r="D293" s="366"/>
      <c r="E293" s="367"/>
      <c r="F293" s="368"/>
      <c r="G293" s="368"/>
      <c r="K293" s="365"/>
      <c r="L293" s="366"/>
      <c r="M293" s="367"/>
      <c r="N293" s="368"/>
      <c r="O293" s="368"/>
      <c r="S293" s="365"/>
      <c r="T293" s="366"/>
      <c r="U293" s="367"/>
      <c r="V293" s="368"/>
      <c r="W293" s="368"/>
      <c r="AA293" s="365"/>
      <c r="AB293" s="366"/>
      <c r="AC293" s="367"/>
      <c r="AD293" s="368"/>
      <c r="AE293" s="368"/>
    </row>
    <row r="294" spans="3:31" x14ac:dyDescent="0.25">
      <c r="C294" s="365"/>
      <c r="D294" s="366"/>
      <c r="E294" s="367"/>
      <c r="F294" s="368"/>
      <c r="G294" s="368"/>
      <c r="K294" s="365"/>
      <c r="L294" s="366"/>
      <c r="M294" s="367"/>
      <c r="N294" s="368"/>
      <c r="O294" s="368"/>
      <c r="S294" s="365"/>
      <c r="T294" s="366"/>
      <c r="U294" s="367"/>
      <c r="V294" s="368"/>
      <c r="W294" s="368"/>
      <c r="AA294" s="365"/>
      <c r="AB294" s="366"/>
      <c r="AC294" s="367"/>
      <c r="AD294" s="368"/>
      <c r="AE294" s="368"/>
    </row>
    <row r="295" spans="3:31" x14ac:dyDescent="0.25">
      <c r="C295" s="365"/>
      <c r="D295" s="366"/>
      <c r="E295" s="367"/>
      <c r="F295" s="368"/>
      <c r="G295" s="368"/>
      <c r="K295" s="365"/>
      <c r="L295" s="366"/>
      <c r="M295" s="367"/>
      <c r="N295" s="368"/>
      <c r="O295" s="368"/>
      <c r="S295" s="365"/>
      <c r="T295" s="366"/>
      <c r="U295" s="367"/>
      <c r="V295" s="368"/>
      <c r="W295" s="368"/>
      <c r="AA295" s="365"/>
      <c r="AB295" s="366"/>
      <c r="AC295" s="367"/>
      <c r="AD295" s="368"/>
      <c r="AE295" s="368"/>
    </row>
    <row r="296" spans="3:31" x14ac:dyDescent="0.25">
      <c r="C296" s="365"/>
      <c r="D296" s="366"/>
      <c r="E296" s="367"/>
      <c r="F296" s="368"/>
      <c r="G296" s="368"/>
      <c r="K296" s="365"/>
      <c r="L296" s="366"/>
      <c r="M296" s="367"/>
      <c r="N296" s="368"/>
      <c r="O296" s="368"/>
      <c r="S296" s="365"/>
      <c r="T296" s="366"/>
      <c r="U296" s="367"/>
      <c r="V296" s="368"/>
      <c r="W296" s="368"/>
      <c r="AA296" s="365"/>
      <c r="AB296" s="366"/>
      <c r="AC296" s="367"/>
      <c r="AD296" s="368"/>
      <c r="AE296" s="368"/>
    </row>
    <row r="297" spans="3:31" x14ac:dyDescent="0.25">
      <c r="C297" s="365"/>
      <c r="D297" s="366"/>
      <c r="E297" s="367"/>
      <c r="F297" s="368"/>
      <c r="G297" s="368"/>
      <c r="K297" s="365"/>
      <c r="L297" s="366"/>
      <c r="M297" s="367"/>
      <c r="N297" s="368"/>
      <c r="O297" s="368"/>
      <c r="S297" s="365"/>
      <c r="T297" s="366"/>
      <c r="U297" s="367"/>
      <c r="V297" s="368"/>
      <c r="W297" s="368"/>
      <c r="AA297" s="365"/>
      <c r="AB297" s="366"/>
      <c r="AC297" s="367"/>
      <c r="AD297" s="368"/>
      <c r="AE297" s="368"/>
    </row>
    <row r="298" spans="3:31" x14ac:dyDescent="0.25">
      <c r="C298" s="365"/>
      <c r="D298" s="366"/>
      <c r="E298" s="367"/>
      <c r="F298" s="368"/>
      <c r="G298" s="368"/>
      <c r="K298" s="365"/>
      <c r="L298" s="366"/>
      <c r="M298" s="367"/>
      <c r="N298" s="368"/>
      <c r="O298" s="368"/>
      <c r="S298" s="365"/>
      <c r="T298" s="366"/>
      <c r="U298" s="367"/>
      <c r="V298" s="368"/>
      <c r="W298" s="368"/>
      <c r="AA298" s="365"/>
      <c r="AB298" s="366"/>
      <c r="AC298" s="367"/>
      <c r="AD298" s="368"/>
      <c r="AE298" s="368"/>
    </row>
    <row r="299" spans="3:31" x14ac:dyDescent="0.25">
      <c r="C299" s="365"/>
      <c r="D299" s="366"/>
      <c r="E299" s="367"/>
      <c r="F299" s="368"/>
      <c r="G299" s="368"/>
      <c r="K299" s="365"/>
      <c r="L299" s="366"/>
      <c r="M299" s="367"/>
      <c r="N299" s="368"/>
      <c r="O299" s="368"/>
      <c r="S299" s="365"/>
      <c r="T299" s="366"/>
      <c r="U299" s="367"/>
      <c r="V299" s="368"/>
      <c r="W299" s="368"/>
      <c r="AA299" s="365"/>
      <c r="AB299" s="366"/>
      <c r="AC299" s="367"/>
      <c r="AD299" s="368"/>
      <c r="AE299" s="368"/>
    </row>
    <row r="300" spans="3:31" x14ac:dyDescent="0.25">
      <c r="C300" s="365"/>
      <c r="D300" s="366"/>
      <c r="E300" s="367"/>
      <c r="F300" s="368"/>
      <c r="G300" s="368"/>
      <c r="K300" s="365"/>
      <c r="L300" s="366"/>
      <c r="M300" s="367"/>
      <c r="N300" s="368"/>
      <c r="O300" s="368"/>
      <c r="S300" s="365"/>
      <c r="T300" s="366"/>
      <c r="U300" s="367"/>
      <c r="V300" s="368"/>
      <c r="W300" s="368"/>
      <c r="AA300" s="365"/>
      <c r="AB300" s="366"/>
      <c r="AC300" s="367"/>
      <c r="AD300" s="368"/>
      <c r="AE300" s="368"/>
    </row>
    <row r="301" spans="3:31" x14ac:dyDescent="0.25">
      <c r="C301" s="365"/>
      <c r="D301" s="366"/>
      <c r="E301" s="367"/>
      <c r="F301" s="368"/>
      <c r="G301" s="368"/>
      <c r="K301" s="365"/>
      <c r="L301" s="366"/>
      <c r="M301" s="367"/>
      <c r="N301" s="368"/>
      <c r="O301" s="368"/>
      <c r="S301" s="365"/>
      <c r="T301" s="366"/>
      <c r="U301" s="367"/>
      <c r="V301" s="368"/>
      <c r="W301" s="368"/>
      <c r="AA301" s="365"/>
      <c r="AB301" s="366"/>
      <c r="AC301" s="367"/>
      <c r="AD301" s="368"/>
      <c r="AE301" s="368"/>
    </row>
    <row r="302" spans="3:31" x14ac:dyDescent="0.25">
      <c r="C302" s="365"/>
      <c r="D302" s="366"/>
      <c r="E302" s="367"/>
      <c r="F302" s="368"/>
      <c r="G302" s="368"/>
      <c r="K302" s="365"/>
      <c r="L302" s="366"/>
      <c r="M302" s="367"/>
      <c r="N302" s="368"/>
      <c r="O302" s="368"/>
      <c r="S302" s="365"/>
      <c r="T302" s="366"/>
      <c r="U302" s="367"/>
      <c r="V302" s="368"/>
      <c r="W302" s="368"/>
      <c r="AA302" s="365"/>
      <c r="AB302" s="366"/>
      <c r="AC302" s="367"/>
      <c r="AD302" s="368"/>
      <c r="AE302" s="368"/>
    </row>
    <row r="303" spans="3:31" x14ac:dyDescent="0.25">
      <c r="C303" s="365"/>
      <c r="D303" s="366"/>
      <c r="E303" s="367"/>
      <c r="F303" s="368"/>
      <c r="G303" s="368"/>
      <c r="K303" s="365"/>
      <c r="L303" s="366"/>
      <c r="M303" s="367"/>
      <c r="N303" s="368"/>
      <c r="O303" s="368"/>
      <c r="S303" s="365"/>
      <c r="T303" s="366"/>
      <c r="U303" s="367"/>
      <c r="V303" s="368"/>
      <c r="W303" s="368"/>
      <c r="AA303" s="365"/>
      <c r="AB303" s="366"/>
      <c r="AC303" s="367"/>
      <c r="AD303" s="368"/>
      <c r="AE303" s="368"/>
    </row>
    <row r="304" spans="3:31" x14ac:dyDescent="0.25">
      <c r="C304" s="365"/>
      <c r="D304" s="366"/>
      <c r="E304" s="367"/>
      <c r="F304" s="368"/>
      <c r="G304" s="368"/>
      <c r="K304" s="365"/>
      <c r="L304" s="366"/>
      <c r="M304" s="367"/>
      <c r="N304" s="368"/>
      <c r="O304" s="368"/>
      <c r="S304" s="365"/>
      <c r="T304" s="366"/>
      <c r="U304" s="367"/>
      <c r="V304" s="368"/>
      <c r="W304" s="368"/>
      <c r="AA304" s="365"/>
      <c r="AB304" s="366"/>
      <c r="AC304" s="367"/>
      <c r="AD304" s="368"/>
      <c r="AE304" s="368"/>
    </row>
    <row r="305" spans="3:31" x14ac:dyDescent="0.25">
      <c r="C305" s="365"/>
      <c r="D305" s="366"/>
      <c r="E305" s="367"/>
      <c r="F305" s="368"/>
      <c r="G305" s="368"/>
      <c r="K305" s="365"/>
      <c r="L305" s="366"/>
      <c r="M305" s="367"/>
      <c r="N305" s="368"/>
      <c r="O305" s="368"/>
      <c r="S305" s="365"/>
      <c r="T305" s="366"/>
      <c r="U305" s="367"/>
      <c r="V305" s="368"/>
      <c r="W305" s="368"/>
      <c r="AA305" s="365"/>
      <c r="AB305" s="366"/>
      <c r="AC305" s="367"/>
      <c r="AD305" s="368"/>
      <c r="AE305" s="368"/>
    </row>
    <row r="306" spans="3:31" x14ac:dyDescent="0.25">
      <c r="C306" s="365"/>
      <c r="D306" s="366"/>
      <c r="E306" s="367"/>
      <c r="F306" s="368"/>
      <c r="G306" s="368"/>
      <c r="K306" s="365"/>
      <c r="L306" s="366"/>
      <c r="M306" s="367"/>
      <c r="N306" s="368"/>
      <c r="O306" s="368"/>
      <c r="S306" s="365"/>
      <c r="T306" s="366"/>
      <c r="U306" s="367"/>
      <c r="V306" s="368"/>
      <c r="W306" s="368"/>
      <c r="AA306" s="365"/>
      <c r="AB306" s="366"/>
      <c r="AC306" s="367"/>
      <c r="AD306" s="368"/>
      <c r="AE306" s="368"/>
    </row>
    <row r="307" spans="3:31" x14ac:dyDescent="0.25">
      <c r="C307" s="365"/>
      <c r="D307" s="366"/>
      <c r="E307" s="367"/>
      <c r="F307" s="368"/>
      <c r="G307" s="368"/>
      <c r="K307" s="365"/>
      <c r="L307" s="366"/>
      <c r="M307" s="367"/>
      <c r="N307" s="368"/>
      <c r="O307" s="368"/>
      <c r="S307" s="365"/>
      <c r="T307" s="366"/>
      <c r="U307" s="367"/>
      <c r="V307" s="368"/>
      <c r="W307" s="368"/>
      <c r="AA307" s="365"/>
      <c r="AB307" s="366"/>
      <c r="AC307" s="367"/>
      <c r="AD307" s="368"/>
      <c r="AE307" s="368"/>
    </row>
    <row r="308" spans="3:31" x14ac:dyDescent="0.25">
      <c r="C308" s="365"/>
      <c r="D308" s="366"/>
      <c r="E308" s="367"/>
      <c r="F308" s="368"/>
      <c r="G308" s="368"/>
      <c r="K308" s="365"/>
      <c r="L308" s="366"/>
      <c r="M308" s="367"/>
      <c r="N308" s="368"/>
      <c r="O308" s="368"/>
      <c r="S308" s="365"/>
      <c r="T308" s="366"/>
      <c r="U308" s="367"/>
      <c r="V308" s="368"/>
      <c r="W308" s="368"/>
      <c r="AA308" s="365"/>
      <c r="AB308" s="366"/>
      <c r="AC308" s="367"/>
      <c r="AD308" s="368"/>
      <c r="AE308" s="368"/>
    </row>
    <row r="309" spans="3:31" x14ac:dyDescent="0.25">
      <c r="C309" s="365"/>
      <c r="D309" s="366"/>
      <c r="E309" s="367"/>
      <c r="F309" s="368"/>
      <c r="G309" s="368"/>
      <c r="K309" s="365"/>
      <c r="L309" s="366"/>
      <c r="M309" s="367"/>
      <c r="N309" s="368"/>
      <c r="O309" s="368"/>
      <c r="S309" s="365"/>
      <c r="T309" s="366"/>
      <c r="U309" s="367"/>
      <c r="V309" s="368"/>
      <c r="W309" s="368"/>
      <c r="AA309" s="365"/>
      <c r="AB309" s="366"/>
      <c r="AC309" s="367"/>
      <c r="AD309" s="368"/>
      <c r="AE309" s="368"/>
    </row>
    <row r="310" spans="3:31" x14ac:dyDescent="0.25">
      <c r="C310" s="365"/>
      <c r="D310" s="366"/>
      <c r="E310" s="367"/>
      <c r="F310" s="368"/>
      <c r="G310" s="368"/>
      <c r="K310" s="365"/>
      <c r="L310" s="366"/>
      <c r="M310" s="367"/>
      <c r="N310" s="368"/>
      <c r="O310" s="368"/>
      <c r="S310" s="365"/>
      <c r="T310" s="366"/>
      <c r="U310" s="367"/>
      <c r="V310" s="368"/>
      <c r="W310" s="368"/>
      <c r="AA310" s="365"/>
      <c r="AB310" s="366"/>
      <c r="AC310" s="367"/>
      <c r="AD310" s="368"/>
      <c r="AE310" s="368"/>
    </row>
    <row r="311" spans="3:31" x14ac:dyDescent="0.25">
      <c r="C311" s="365"/>
      <c r="D311" s="366"/>
      <c r="E311" s="367"/>
      <c r="F311" s="368"/>
      <c r="G311" s="368"/>
      <c r="K311" s="365"/>
      <c r="L311" s="366"/>
      <c r="M311" s="367"/>
      <c r="N311" s="368"/>
      <c r="O311" s="368"/>
      <c r="S311" s="365"/>
      <c r="T311" s="366"/>
      <c r="U311" s="367"/>
      <c r="V311" s="368"/>
      <c r="W311" s="368"/>
      <c r="AA311" s="365"/>
      <c r="AB311" s="366"/>
      <c r="AC311" s="367"/>
      <c r="AD311" s="368"/>
      <c r="AE311" s="368"/>
    </row>
    <row r="312" spans="3:31" x14ac:dyDescent="0.25">
      <c r="C312" s="365"/>
      <c r="D312" s="366"/>
      <c r="E312" s="367"/>
      <c r="F312" s="368"/>
      <c r="G312" s="368"/>
      <c r="K312" s="365"/>
      <c r="L312" s="366"/>
      <c r="M312" s="367"/>
      <c r="N312" s="368"/>
      <c r="O312" s="368"/>
      <c r="S312" s="365"/>
      <c r="T312" s="366"/>
      <c r="U312" s="367"/>
      <c r="V312" s="368"/>
      <c r="W312" s="368"/>
      <c r="AA312" s="365"/>
      <c r="AB312" s="366"/>
      <c r="AC312" s="367"/>
      <c r="AD312" s="368"/>
      <c r="AE312" s="368"/>
    </row>
    <row r="313" spans="3:31" x14ac:dyDescent="0.25">
      <c r="C313" s="365"/>
      <c r="D313" s="366"/>
      <c r="E313" s="367"/>
      <c r="F313" s="368"/>
      <c r="G313" s="368"/>
      <c r="K313" s="365"/>
      <c r="L313" s="366"/>
      <c r="M313" s="367"/>
      <c r="N313" s="368"/>
      <c r="O313" s="368"/>
      <c r="S313" s="365"/>
      <c r="T313" s="366"/>
      <c r="U313" s="367"/>
      <c r="V313" s="368"/>
      <c r="W313" s="368"/>
      <c r="AA313" s="365"/>
      <c r="AB313" s="366"/>
      <c r="AC313" s="367"/>
      <c r="AD313" s="368"/>
      <c r="AE313" s="368"/>
    </row>
    <row r="314" spans="3:31" x14ac:dyDescent="0.25">
      <c r="C314" s="365"/>
      <c r="D314" s="366"/>
      <c r="E314" s="367"/>
      <c r="F314" s="368"/>
      <c r="G314" s="368"/>
      <c r="K314" s="365"/>
      <c r="L314" s="366"/>
      <c r="M314" s="367"/>
      <c r="N314" s="368"/>
      <c r="O314" s="368"/>
      <c r="S314" s="365"/>
      <c r="T314" s="366"/>
      <c r="U314" s="367"/>
      <c r="V314" s="368"/>
      <c r="W314" s="368"/>
      <c r="AA314" s="365"/>
      <c r="AB314" s="366"/>
      <c r="AC314" s="367"/>
      <c r="AD314" s="368"/>
      <c r="AE314" s="368"/>
    </row>
    <row r="315" spans="3:31" x14ac:dyDescent="0.25">
      <c r="C315" s="365"/>
      <c r="D315" s="366"/>
      <c r="E315" s="367"/>
      <c r="F315" s="368"/>
      <c r="G315" s="368"/>
      <c r="K315" s="365"/>
      <c r="L315" s="366"/>
      <c r="M315" s="367"/>
      <c r="N315" s="368"/>
      <c r="O315" s="368"/>
      <c r="S315" s="365"/>
      <c r="T315" s="366"/>
      <c r="U315" s="367"/>
      <c r="V315" s="368"/>
      <c r="W315" s="368"/>
      <c r="AA315" s="365"/>
      <c r="AB315" s="366"/>
      <c r="AC315" s="367"/>
      <c r="AD315" s="368"/>
      <c r="AE315" s="368"/>
    </row>
    <row r="316" spans="3:31" x14ac:dyDescent="0.25">
      <c r="C316" s="365"/>
      <c r="D316" s="366"/>
      <c r="E316" s="367"/>
      <c r="F316" s="368"/>
      <c r="G316" s="368"/>
      <c r="K316" s="365"/>
      <c r="L316" s="366"/>
      <c r="M316" s="367"/>
      <c r="N316" s="368"/>
      <c r="O316" s="368"/>
      <c r="S316" s="365"/>
      <c r="T316" s="366"/>
      <c r="U316" s="367"/>
      <c r="V316" s="368"/>
      <c r="W316" s="368"/>
      <c r="AA316" s="365"/>
      <c r="AB316" s="366"/>
      <c r="AC316" s="367"/>
      <c r="AD316" s="368"/>
      <c r="AE316" s="368"/>
    </row>
    <row r="317" spans="3:31" x14ac:dyDescent="0.25">
      <c r="C317" s="365"/>
      <c r="D317" s="366"/>
      <c r="E317" s="367"/>
      <c r="F317" s="368"/>
      <c r="G317" s="368"/>
      <c r="K317" s="365"/>
      <c r="L317" s="366"/>
      <c r="M317" s="367"/>
      <c r="N317" s="368"/>
      <c r="O317" s="368"/>
      <c r="S317" s="365"/>
      <c r="T317" s="366"/>
      <c r="U317" s="367"/>
      <c r="V317" s="368"/>
      <c r="W317" s="368"/>
      <c r="AA317" s="365"/>
      <c r="AB317" s="366"/>
      <c r="AC317" s="367"/>
      <c r="AD317" s="368"/>
      <c r="AE317" s="368"/>
    </row>
    <row r="318" spans="3:31" x14ac:dyDescent="0.25">
      <c r="C318" s="365"/>
      <c r="D318" s="366"/>
      <c r="E318" s="367"/>
      <c r="F318" s="368"/>
      <c r="G318" s="368"/>
      <c r="K318" s="365"/>
      <c r="L318" s="366"/>
      <c r="M318" s="367"/>
      <c r="N318" s="368"/>
      <c r="O318" s="368"/>
      <c r="S318" s="365"/>
      <c r="T318" s="366"/>
      <c r="U318" s="367"/>
      <c r="V318" s="368"/>
      <c r="W318" s="368"/>
      <c r="AA318" s="365"/>
      <c r="AB318" s="366"/>
      <c r="AC318" s="367"/>
      <c r="AD318" s="368"/>
      <c r="AE318" s="368"/>
    </row>
    <row r="319" spans="3:31" x14ac:dyDescent="0.25">
      <c r="C319" s="365"/>
      <c r="D319" s="366"/>
      <c r="E319" s="367"/>
      <c r="F319" s="368"/>
      <c r="G319" s="368"/>
      <c r="K319" s="365"/>
      <c r="L319" s="366"/>
      <c r="M319" s="367"/>
      <c r="N319" s="368"/>
      <c r="O319" s="368"/>
      <c r="S319" s="365"/>
      <c r="T319" s="366"/>
      <c r="U319" s="367"/>
      <c r="V319" s="368"/>
      <c r="W319" s="368"/>
      <c r="AA319" s="365"/>
      <c r="AB319" s="366"/>
      <c r="AC319" s="367"/>
      <c r="AD319" s="368"/>
      <c r="AE319" s="368"/>
    </row>
    <row r="320" spans="3:31" x14ac:dyDescent="0.25">
      <c r="C320" s="365"/>
      <c r="D320" s="366"/>
      <c r="E320" s="367"/>
      <c r="F320" s="368"/>
      <c r="G320" s="368"/>
      <c r="K320" s="365"/>
      <c r="L320" s="366"/>
      <c r="M320" s="367"/>
      <c r="N320" s="368"/>
      <c r="O320" s="368"/>
      <c r="S320" s="365"/>
      <c r="T320" s="366"/>
      <c r="U320" s="367"/>
      <c r="V320" s="368"/>
      <c r="W320" s="368"/>
      <c r="AA320" s="365"/>
      <c r="AB320" s="366"/>
      <c r="AC320" s="367"/>
      <c r="AD320" s="368"/>
      <c r="AE320" s="368"/>
    </row>
    <row r="321" spans="3:31" x14ac:dyDescent="0.25">
      <c r="C321" s="365"/>
      <c r="D321" s="366"/>
      <c r="E321" s="367"/>
      <c r="F321" s="368"/>
      <c r="G321" s="368"/>
      <c r="K321" s="365"/>
      <c r="L321" s="366"/>
      <c r="M321" s="367"/>
      <c r="N321" s="368"/>
      <c r="O321" s="368"/>
      <c r="S321" s="365"/>
      <c r="T321" s="366"/>
      <c r="U321" s="367"/>
      <c r="V321" s="368"/>
      <c r="W321" s="368"/>
      <c r="AA321" s="365"/>
      <c r="AB321" s="366"/>
      <c r="AC321" s="367"/>
      <c r="AD321" s="368"/>
      <c r="AE321" s="368"/>
    </row>
    <row r="322" spans="3:31" x14ac:dyDescent="0.25">
      <c r="C322" s="365"/>
      <c r="D322" s="366"/>
      <c r="E322" s="367"/>
      <c r="F322" s="368"/>
      <c r="G322" s="368"/>
      <c r="K322" s="365"/>
      <c r="L322" s="366"/>
      <c r="M322" s="367"/>
      <c r="N322" s="368"/>
      <c r="O322" s="368"/>
      <c r="S322" s="365"/>
      <c r="T322" s="366"/>
      <c r="U322" s="367"/>
      <c r="V322" s="368"/>
      <c r="W322" s="368"/>
      <c r="AA322" s="365"/>
      <c r="AB322" s="366"/>
      <c r="AC322" s="367"/>
      <c r="AD322" s="368"/>
      <c r="AE322" s="368"/>
    </row>
    <row r="323" spans="3:31" x14ac:dyDescent="0.25">
      <c r="C323" s="365"/>
      <c r="D323" s="366"/>
      <c r="E323" s="367"/>
      <c r="F323" s="368"/>
      <c r="G323" s="368"/>
      <c r="K323" s="365"/>
      <c r="L323" s="366"/>
      <c r="M323" s="367"/>
      <c r="N323" s="368"/>
      <c r="O323" s="368"/>
      <c r="S323" s="365"/>
      <c r="T323" s="366"/>
      <c r="U323" s="367"/>
      <c r="V323" s="368"/>
      <c r="W323" s="368"/>
      <c r="AA323" s="365"/>
      <c r="AB323" s="366"/>
      <c r="AC323" s="367"/>
      <c r="AD323" s="368"/>
      <c r="AE323" s="368"/>
    </row>
    <row r="324" spans="3:31" x14ac:dyDescent="0.25">
      <c r="C324" s="365"/>
      <c r="D324" s="366"/>
      <c r="E324" s="367"/>
      <c r="F324" s="368"/>
      <c r="G324" s="368"/>
      <c r="K324" s="365"/>
      <c r="L324" s="366"/>
      <c r="M324" s="367"/>
      <c r="N324" s="368"/>
      <c r="O324" s="368"/>
      <c r="S324" s="365"/>
      <c r="T324" s="366"/>
      <c r="U324" s="367"/>
      <c r="V324" s="368"/>
      <c r="W324" s="368"/>
      <c r="AA324" s="365"/>
      <c r="AB324" s="366"/>
      <c r="AC324" s="367"/>
      <c r="AD324" s="368"/>
      <c r="AE324" s="368"/>
    </row>
    <row r="325" spans="3:31" x14ac:dyDescent="0.25">
      <c r="C325" s="365"/>
      <c r="D325" s="366"/>
      <c r="E325" s="367"/>
      <c r="F325" s="368"/>
      <c r="G325" s="368"/>
      <c r="K325" s="365"/>
      <c r="L325" s="366"/>
      <c r="M325" s="367"/>
      <c r="N325" s="368"/>
      <c r="O325" s="368"/>
      <c r="S325" s="365"/>
      <c r="T325" s="366"/>
      <c r="U325" s="367"/>
      <c r="V325" s="368"/>
      <c r="W325" s="368"/>
      <c r="AA325" s="365"/>
      <c r="AB325" s="366"/>
      <c r="AC325" s="367"/>
      <c r="AD325" s="368"/>
      <c r="AE325" s="368"/>
    </row>
    <row r="326" spans="3:31" x14ac:dyDescent="0.25">
      <c r="C326" s="365"/>
      <c r="D326" s="366"/>
      <c r="E326" s="367"/>
      <c r="F326" s="368"/>
      <c r="G326" s="368"/>
      <c r="K326" s="365"/>
      <c r="L326" s="366"/>
      <c r="M326" s="367"/>
      <c r="N326" s="368"/>
      <c r="O326" s="368"/>
      <c r="S326" s="365"/>
      <c r="T326" s="366"/>
      <c r="U326" s="367"/>
      <c r="V326" s="368"/>
      <c r="W326" s="368"/>
      <c r="AA326" s="365"/>
      <c r="AB326" s="366"/>
      <c r="AC326" s="367"/>
      <c r="AD326" s="368"/>
      <c r="AE326" s="368"/>
    </row>
    <row r="327" spans="3:31" x14ac:dyDescent="0.25">
      <c r="C327" s="365"/>
      <c r="D327" s="366"/>
      <c r="E327" s="367"/>
      <c r="F327" s="368"/>
      <c r="G327" s="368"/>
      <c r="K327" s="365"/>
      <c r="L327" s="366"/>
      <c r="M327" s="367"/>
      <c r="N327" s="368"/>
      <c r="O327" s="368"/>
      <c r="S327" s="365"/>
      <c r="T327" s="366"/>
      <c r="U327" s="367"/>
      <c r="V327" s="368"/>
      <c r="W327" s="368"/>
      <c r="AA327" s="365"/>
      <c r="AB327" s="366"/>
      <c r="AC327" s="367"/>
      <c r="AD327" s="368"/>
      <c r="AE327" s="368"/>
    </row>
    <row r="328" spans="3:31" x14ac:dyDescent="0.25">
      <c r="C328" s="365"/>
      <c r="D328" s="366"/>
      <c r="E328" s="367"/>
      <c r="F328" s="368"/>
      <c r="G328" s="368"/>
      <c r="K328" s="365"/>
      <c r="L328" s="366"/>
      <c r="M328" s="367"/>
      <c r="N328" s="368"/>
      <c r="O328" s="368"/>
      <c r="S328" s="365"/>
      <c r="T328" s="366"/>
      <c r="U328" s="367"/>
      <c r="V328" s="368"/>
      <c r="W328" s="368"/>
      <c r="AA328" s="365"/>
      <c r="AB328" s="366"/>
      <c r="AC328" s="367"/>
      <c r="AD328" s="368"/>
      <c r="AE328" s="368"/>
    </row>
    <row r="329" spans="3:31" x14ac:dyDescent="0.25">
      <c r="C329" s="365"/>
      <c r="D329" s="366"/>
      <c r="E329" s="367"/>
      <c r="F329" s="368"/>
      <c r="G329" s="368"/>
      <c r="K329" s="365"/>
      <c r="L329" s="366"/>
      <c r="M329" s="367"/>
      <c r="N329" s="368"/>
      <c r="O329" s="368"/>
      <c r="S329" s="365"/>
      <c r="T329" s="366"/>
      <c r="U329" s="367"/>
      <c r="V329" s="368"/>
      <c r="W329" s="368"/>
      <c r="AA329" s="365"/>
      <c r="AB329" s="366"/>
      <c r="AC329" s="367"/>
      <c r="AD329" s="368"/>
      <c r="AE329" s="368"/>
    </row>
    <row r="330" spans="3:31" x14ac:dyDescent="0.25">
      <c r="C330" s="365"/>
      <c r="D330" s="366"/>
      <c r="E330" s="367"/>
      <c r="F330" s="368"/>
      <c r="G330" s="368"/>
      <c r="K330" s="365"/>
      <c r="L330" s="366"/>
      <c r="M330" s="367"/>
      <c r="N330" s="368"/>
      <c r="O330" s="368"/>
      <c r="S330" s="365"/>
      <c r="T330" s="366"/>
      <c r="U330" s="367"/>
      <c r="V330" s="368"/>
      <c r="W330" s="368"/>
      <c r="AA330" s="365"/>
      <c r="AB330" s="366"/>
      <c r="AC330" s="367"/>
      <c r="AD330" s="368"/>
      <c r="AE330" s="368"/>
    </row>
    <row r="331" spans="3:31" x14ac:dyDescent="0.25">
      <c r="C331" s="365"/>
      <c r="D331" s="366"/>
      <c r="E331" s="367"/>
      <c r="F331" s="368"/>
      <c r="G331" s="368"/>
      <c r="K331" s="365"/>
      <c r="L331" s="366"/>
      <c r="M331" s="367"/>
      <c r="N331" s="368"/>
      <c r="O331" s="368"/>
      <c r="S331" s="365"/>
      <c r="T331" s="366"/>
      <c r="U331" s="367"/>
      <c r="V331" s="368"/>
      <c r="W331" s="368"/>
      <c r="AA331" s="365"/>
      <c r="AB331" s="366"/>
      <c r="AC331" s="367"/>
      <c r="AD331" s="368"/>
      <c r="AE331" s="368"/>
    </row>
    <row r="332" spans="3:31" x14ac:dyDescent="0.25">
      <c r="C332" s="365"/>
      <c r="D332" s="366"/>
      <c r="E332" s="367"/>
      <c r="F332" s="368"/>
      <c r="G332" s="368"/>
      <c r="K332" s="365"/>
      <c r="L332" s="366"/>
      <c r="M332" s="367"/>
      <c r="N332" s="368"/>
      <c r="O332" s="368"/>
      <c r="S332" s="365"/>
      <c r="T332" s="366"/>
      <c r="U332" s="367"/>
      <c r="V332" s="368"/>
      <c r="W332" s="368"/>
      <c r="AA332" s="365"/>
      <c r="AB332" s="366"/>
      <c r="AC332" s="367"/>
      <c r="AD332" s="368"/>
      <c r="AE332" s="368"/>
    </row>
    <row r="333" spans="3:31" x14ac:dyDescent="0.25">
      <c r="C333" s="365"/>
      <c r="D333" s="366"/>
      <c r="E333" s="367"/>
      <c r="F333" s="368"/>
      <c r="G333" s="368"/>
      <c r="K333" s="365"/>
      <c r="L333" s="366"/>
      <c r="M333" s="367"/>
      <c r="N333" s="368"/>
      <c r="O333" s="368"/>
      <c r="S333" s="365"/>
      <c r="T333" s="366"/>
      <c r="U333" s="367"/>
      <c r="V333" s="368"/>
      <c r="W333" s="368"/>
      <c r="AA333" s="365"/>
      <c r="AB333" s="366"/>
      <c r="AC333" s="367"/>
      <c r="AD333" s="368"/>
      <c r="AE333" s="368"/>
    </row>
    <row r="334" spans="3:31" x14ac:dyDescent="0.25">
      <c r="C334" s="365"/>
      <c r="D334" s="366"/>
      <c r="E334" s="367"/>
      <c r="F334" s="368"/>
      <c r="G334" s="368"/>
      <c r="K334" s="365"/>
      <c r="L334" s="366"/>
      <c r="M334" s="367"/>
      <c r="N334" s="368"/>
      <c r="O334" s="368"/>
      <c r="S334" s="365"/>
      <c r="T334" s="366"/>
      <c r="U334" s="367"/>
      <c r="V334" s="368"/>
      <c r="W334" s="368"/>
      <c r="AA334" s="365"/>
      <c r="AB334" s="366"/>
      <c r="AC334" s="367"/>
      <c r="AD334" s="368"/>
      <c r="AE334" s="368"/>
    </row>
    <row r="335" spans="3:31" x14ac:dyDescent="0.25">
      <c r="C335" s="365"/>
      <c r="D335" s="366"/>
      <c r="E335" s="367"/>
      <c r="F335" s="368"/>
      <c r="G335" s="368"/>
      <c r="K335" s="365"/>
      <c r="L335" s="366"/>
      <c r="M335" s="367"/>
      <c r="N335" s="368"/>
      <c r="O335" s="368"/>
      <c r="S335" s="365"/>
      <c r="T335" s="366"/>
      <c r="U335" s="367"/>
      <c r="V335" s="368"/>
      <c r="W335" s="368"/>
      <c r="AA335" s="365"/>
      <c r="AB335" s="366"/>
      <c r="AC335" s="367"/>
      <c r="AD335" s="368"/>
      <c r="AE335" s="368"/>
    </row>
    <row r="336" spans="3:31" x14ac:dyDescent="0.25">
      <c r="C336" s="365"/>
      <c r="D336" s="366"/>
      <c r="E336" s="367"/>
      <c r="F336" s="368"/>
      <c r="G336" s="368"/>
      <c r="K336" s="365"/>
      <c r="L336" s="366"/>
      <c r="M336" s="367"/>
      <c r="N336" s="368"/>
      <c r="O336" s="368"/>
      <c r="S336" s="365"/>
      <c r="T336" s="366"/>
      <c r="U336" s="367"/>
      <c r="V336" s="368"/>
      <c r="W336" s="368"/>
      <c r="AA336" s="365"/>
      <c r="AB336" s="366"/>
      <c r="AC336" s="367"/>
      <c r="AD336" s="368"/>
      <c r="AE336" s="368"/>
    </row>
    <row r="337" spans="3:31" x14ac:dyDescent="0.25">
      <c r="C337" s="365"/>
      <c r="D337" s="366"/>
      <c r="E337" s="367"/>
      <c r="F337" s="368"/>
      <c r="G337" s="368"/>
      <c r="K337" s="365"/>
      <c r="L337" s="366"/>
      <c r="M337" s="367"/>
      <c r="N337" s="368"/>
      <c r="O337" s="368"/>
      <c r="S337" s="365"/>
      <c r="T337" s="366"/>
      <c r="U337" s="367"/>
      <c r="V337" s="368"/>
      <c r="W337" s="368"/>
      <c r="AA337" s="365"/>
      <c r="AB337" s="366"/>
      <c r="AC337" s="367"/>
      <c r="AD337" s="368"/>
      <c r="AE337" s="368"/>
    </row>
    <row r="338" spans="3:31" x14ac:dyDescent="0.25">
      <c r="C338" s="365"/>
      <c r="D338" s="366"/>
      <c r="E338" s="367"/>
      <c r="F338" s="368"/>
      <c r="G338" s="368"/>
      <c r="K338" s="365"/>
      <c r="L338" s="366"/>
      <c r="M338" s="367"/>
      <c r="N338" s="368"/>
      <c r="O338" s="368"/>
      <c r="S338" s="365"/>
      <c r="T338" s="366"/>
      <c r="U338" s="367"/>
      <c r="V338" s="368"/>
      <c r="W338" s="368"/>
      <c r="AA338" s="365"/>
      <c r="AB338" s="366"/>
      <c r="AC338" s="367"/>
      <c r="AD338" s="368"/>
      <c r="AE338" s="368"/>
    </row>
    <row r="339" spans="3:31" x14ac:dyDescent="0.25">
      <c r="C339" s="365"/>
      <c r="D339" s="366"/>
      <c r="E339" s="367"/>
      <c r="F339" s="368"/>
      <c r="G339" s="368"/>
      <c r="K339" s="365"/>
      <c r="L339" s="366"/>
      <c r="M339" s="367"/>
      <c r="N339" s="368"/>
      <c r="O339" s="368"/>
      <c r="S339" s="365"/>
      <c r="T339" s="366"/>
      <c r="U339" s="367"/>
      <c r="V339" s="368"/>
      <c r="W339" s="368"/>
      <c r="AA339" s="365"/>
      <c r="AB339" s="366"/>
      <c r="AC339" s="367"/>
      <c r="AD339" s="368"/>
      <c r="AE339" s="368"/>
    </row>
    <row r="340" spans="3:31" x14ac:dyDescent="0.25">
      <c r="C340" s="365"/>
      <c r="D340" s="366"/>
      <c r="E340" s="367"/>
      <c r="F340" s="368"/>
      <c r="G340" s="368"/>
      <c r="K340" s="365"/>
      <c r="L340" s="366"/>
      <c r="M340" s="367"/>
      <c r="N340" s="368"/>
      <c r="O340" s="368"/>
      <c r="S340" s="365"/>
      <c r="T340" s="366"/>
      <c r="U340" s="367"/>
      <c r="V340" s="368"/>
      <c r="W340" s="368"/>
      <c r="AA340" s="365"/>
      <c r="AB340" s="366"/>
      <c r="AC340" s="367"/>
      <c r="AD340" s="368"/>
      <c r="AE340" s="368"/>
    </row>
    <row r="341" spans="3:31" x14ac:dyDescent="0.25">
      <c r="C341" s="365"/>
      <c r="D341" s="366"/>
      <c r="E341" s="367"/>
      <c r="F341" s="368"/>
      <c r="G341" s="368"/>
      <c r="K341" s="365"/>
      <c r="L341" s="366"/>
      <c r="M341" s="367"/>
      <c r="N341" s="368"/>
      <c r="O341" s="368"/>
      <c r="S341" s="365"/>
      <c r="T341" s="366"/>
      <c r="U341" s="367"/>
      <c r="V341" s="368"/>
      <c r="W341" s="368"/>
      <c r="AA341" s="365"/>
      <c r="AB341" s="366"/>
      <c r="AC341" s="367"/>
      <c r="AD341" s="368"/>
      <c r="AE341" s="368"/>
    </row>
    <row r="342" spans="3:31" x14ac:dyDescent="0.25">
      <c r="C342" s="365"/>
      <c r="D342" s="366"/>
      <c r="E342" s="367"/>
      <c r="F342" s="368"/>
      <c r="G342" s="368"/>
      <c r="K342" s="365"/>
      <c r="L342" s="366"/>
      <c r="M342" s="367"/>
      <c r="N342" s="368"/>
      <c r="O342" s="368"/>
      <c r="S342" s="365"/>
      <c r="T342" s="366"/>
      <c r="U342" s="367"/>
      <c r="V342" s="368"/>
      <c r="W342" s="368"/>
      <c r="AA342" s="365"/>
      <c r="AB342" s="366"/>
      <c r="AC342" s="367"/>
      <c r="AD342" s="368"/>
      <c r="AE342" s="368"/>
    </row>
    <row r="343" spans="3:31" x14ac:dyDescent="0.25">
      <c r="C343" s="365"/>
      <c r="D343" s="366"/>
      <c r="E343" s="367"/>
      <c r="F343" s="368"/>
      <c r="G343" s="368"/>
      <c r="K343" s="365"/>
      <c r="L343" s="366"/>
      <c r="M343" s="367"/>
      <c r="N343" s="368"/>
      <c r="O343" s="368"/>
      <c r="S343" s="365"/>
      <c r="T343" s="366"/>
      <c r="U343" s="367"/>
      <c r="V343" s="368"/>
      <c r="W343" s="368"/>
      <c r="AA343" s="365"/>
      <c r="AB343" s="366"/>
      <c r="AC343" s="367"/>
      <c r="AD343" s="368"/>
      <c r="AE343" s="368"/>
    </row>
    <row r="344" spans="3:31" x14ac:dyDescent="0.25">
      <c r="C344" s="365"/>
      <c r="D344" s="366"/>
      <c r="E344" s="367"/>
      <c r="F344" s="368"/>
      <c r="G344" s="368"/>
      <c r="K344" s="365"/>
      <c r="L344" s="366"/>
      <c r="M344" s="367"/>
      <c r="N344" s="368"/>
      <c r="O344" s="368"/>
      <c r="S344" s="365"/>
      <c r="T344" s="366"/>
      <c r="U344" s="367"/>
      <c r="V344" s="368"/>
      <c r="W344" s="368"/>
      <c r="AA344" s="365"/>
      <c r="AB344" s="366"/>
      <c r="AC344" s="367"/>
      <c r="AD344" s="368"/>
      <c r="AE344" s="368"/>
    </row>
    <row r="345" spans="3:31" x14ac:dyDescent="0.25">
      <c r="C345" s="365"/>
      <c r="D345" s="366"/>
      <c r="E345" s="367"/>
      <c r="F345" s="368"/>
      <c r="G345" s="368"/>
      <c r="K345" s="365"/>
      <c r="L345" s="366"/>
      <c r="M345" s="367"/>
      <c r="N345" s="368"/>
      <c r="O345" s="368"/>
      <c r="S345" s="365"/>
      <c r="T345" s="366"/>
      <c r="U345" s="367"/>
      <c r="V345" s="368"/>
      <c r="W345" s="368"/>
      <c r="AA345" s="365"/>
      <c r="AB345" s="366"/>
      <c r="AC345" s="367"/>
      <c r="AD345" s="368"/>
      <c r="AE345" s="368"/>
    </row>
    <row r="346" spans="3:31" x14ac:dyDescent="0.25">
      <c r="C346" s="365"/>
      <c r="D346" s="366"/>
      <c r="E346" s="367"/>
      <c r="F346" s="368"/>
      <c r="G346" s="368"/>
      <c r="K346" s="365"/>
      <c r="L346" s="366"/>
      <c r="M346" s="367"/>
      <c r="N346" s="368"/>
      <c r="O346" s="368"/>
      <c r="S346" s="365"/>
      <c r="T346" s="366"/>
      <c r="U346" s="367"/>
      <c r="V346" s="368"/>
      <c r="W346" s="368"/>
      <c r="AA346" s="365"/>
      <c r="AB346" s="366"/>
      <c r="AC346" s="367"/>
      <c r="AD346" s="368"/>
      <c r="AE346" s="368"/>
    </row>
    <row r="347" spans="3:31" x14ac:dyDescent="0.25">
      <c r="C347" s="365"/>
      <c r="D347" s="366"/>
      <c r="E347" s="367"/>
      <c r="F347" s="368"/>
      <c r="G347" s="368"/>
      <c r="K347" s="365"/>
      <c r="L347" s="366"/>
      <c r="M347" s="367"/>
      <c r="N347" s="368"/>
      <c r="O347" s="368"/>
      <c r="S347" s="365"/>
      <c r="T347" s="366"/>
      <c r="U347" s="367"/>
      <c r="V347" s="368"/>
      <c r="W347" s="368"/>
      <c r="AA347" s="365"/>
      <c r="AB347" s="366"/>
      <c r="AC347" s="367"/>
      <c r="AD347" s="368"/>
      <c r="AE347" s="368"/>
    </row>
    <row r="348" spans="3:31" x14ac:dyDescent="0.25">
      <c r="C348" s="365"/>
      <c r="D348" s="366"/>
      <c r="E348" s="367"/>
      <c r="F348" s="368"/>
      <c r="G348" s="368"/>
      <c r="K348" s="365"/>
      <c r="L348" s="366"/>
      <c r="M348" s="367"/>
      <c r="N348" s="368"/>
      <c r="O348" s="368"/>
      <c r="S348" s="365"/>
      <c r="T348" s="366"/>
      <c r="U348" s="367"/>
      <c r="V348" s="368"/>
      <c r="W348" s="368"/>
      <c r="AA348" s="365"/>
      <c r="AB348" s="366"/>
      <c r="AC348" s="367"/>
      <c r="AD348" s="368"/>
      <c r="AE348" s="368"/>
    </row>
    <row r="349" spans="3:31" x14ac:dyDescent="0.25">
      <c r="C349" s="365"/>
      <c r="D349" s="366"/>
      <c r="E349" s="367"/>
      <c r="F349" s="368"/>
      <c r="G349" s="368"/>
      <c r="K349" s="365"/>
      <c r="L349" s="366"/>
      <c r="M349" s="367"/>
      <c r="N349" s="368"/>
      <c r="O349" s="368"/>
      <c r="S349" s="365"/>
      <c r="T349" s="366"/>
      <c r="U349" s="367"/>
      <c r="V349" s="368"/>
      <c r="W349" s="368"/>
      <c r="AA349" s="365"/>
      <c r="AB349" s="366"/>
      <c r="AC349" s="367"/>
      <c r="AD349" s="368"/>
      <c r="AE349" s="368"/>
    </row>
    <row r="350" spans="3:31" x14ac:dyDescent="0.25">
      <c r="C350" s="365"/>
      <c r="D350" s="366"/>
      <c r="E350" s="367"/>
      <c r="F350" s="368"/>
      <c r="G350" s="368"/>
      <c r="K350" s="365"/>
      <c r="L350" s="366"/>
      <c r="M350" s="367"/>
      <c r="N350" s="368"/>
      <c r="O350" s="368"/>
      <c r="S350" s="365"/>
      <c r="T350" s="366"/>
      <c r="U350" s="367"/>
      <c r="V350" s="368"/>
      <c r="W350" s="368"/>
      <c r="AA350" s="365"/>
      <c r="AB350" s="366"/>
      <c r="AC350" s="367"/>
      <c r="AD350" s="368"/>
      <c r="AE350" s="368"/>
    </row>
    <row r="351" spans="3:31" x14ac:dyDescent="0.25">
      <c r="C351" s="365"/>
      <c r="D351" s="366"/>
      <c r="E351" s="367"/>
      <c r="F351" s="368"/>
      <c r="G351" s="368"/>
      <c r="K351" s="365"/>
      <c r="L351" s="366"/>
      <c r="M351" s="367"/>
      <c r="N351" s="368"/>
      <c r="O351" s="368"/>
      <c r="S351" s="365"/>
      <c r="T351" s="366"/>
      <c r="U351" s="367"/>
      <c r="V351" s="368"/>
      <c r="W351" s="368"/>
      <c r="AA351" s="365"/>
      <c r="AB351" s="366"/>
      <c r="AC351" s="367"/>
      <c r="AD351" s="368"/>
      <c r="AE351" s="368"/>
    </row>
    <row r="352" spans="3:31" x14ac:dyDescent="0.25">
      <c r="C352" s="365"/>
      <c r="D352" s="366"/>
      <c r="E352" s="367"/>
      <c r="F352" s="368"/>
      <c r="G352" s="368"/>
      <c r="K352" s="365"/>
      <c r="L352" s="366"/>
      <c r="M352" s="367"/>
      <c r="N352" s="368"/>
      <c r="O352" s="368"/>
      <c r="S352" s="365"/>
      <c r="T352" s="366"/>
      <c r="U352" s="367"/>
      <c r="V352" s="368"/>
      <c r="W352" s="368"/>
      <c r="AA352" s="365"/>
      <c r="AB352" s="366"/>
      <c r="AC352" s="367"/>
      <c r="AD352" s="368"/>
      <c r="AE352" s="368"/>
    </row>
    <row r="353" spans="3:31" x14ac:dyDescent="0.25">
      <c r="C353" s="365"/>
      <c r="D353" s="366"/>
      <c r="E353" s="367"/>
      <c r="F353" s="368"/>
      <c r="G353" s="368"/>
      <c r="K353" s="365"/>
      <c r="L353" s="366"/>
      <c r="M353" s="367"/>
      <c r="N353" s="368"/>
      <c r="O353" s="368"/>
      <c r="S353" s="365"/>
      <c r="T353" s="366"/>
      <c r="U353" s="367"/>
      <c r="V353" s="368"/>
      <c r="W353" s="368"/>
      <c r="AA353" s="365"/>
      <c r="AB353" s="366"/>
      <c r="AC353" s="367"/>
      <c r="AD353" s="368"/>
      <c r="AE353" s="368"/>
    </row>
    <row r="354" spans="3:31" x14ac:dyDescent="0.25">
      <c r="C354" s="365"/>
      <c r="D354" s="366"/>
      <c r="E354" s="367"/>
      <c r="F354" s="368"/>
      <c r="G354" s="368"/>
      <c r="K354" s="365"/>
      <c r="L354" s="366"/>
      <c r="M354" s="367"/>
      <c r="N354" s="368"/>
      <c r="O354" s="368"/>
      <c r="S354" s="365"/>
      <c r="T354" s="366"/>
      <c r="U354" s="367"/>
      <c r="V354" s="368"/>
      <c r="W354" s="368"/>
      <c r="AA354" s="365"/>
      <c r="AB354" s="366"/>
      <c r="AC354" s="367"/>
      <c r="AD354" s="368"/>
      <c r="AE354" s="368"/>
    </row>
    <row r="355" spans="3:31" x14ac:dyDescent="0.25">
      <c r="C355" s="365"/>
      <c r="D355" s="366"/>
      <c r="E355" s="367"/>
      <c r="F355" s="368"/>
      <c r="G355" s="368"/>
      <c r="K355" s="365"/>
      <c r="L355" s="366"/>
      <c r="M355" s="367"/>
      <c r="N355" s="368"/>
      <c r="O355" s="368"/>
      <c r="S355" s="365"/>
      <c r="T355" s="366"/>
      <c r="U355" s="367"/>
      <c r="V355" s="368"/>
      <c r="W355" s="368"/>
      <c r="AA355" s="365"/>
      <c r="AB355" s="366"/>
      <c r="AC355" s="367"/>
      <c r="AD355" s="368"/>
      <c r="AE355" s="368"/>
    </row>
    <row r="356" spans="3:31" x14ac:dyDescent="0.25">
      <c r="C356" s="365"/>
      <c r="D356" s="366"/>
      <c r="E356" s="367"/>
      <c r="F356" s="368"/>
      <c r="G356" s="368"/>
      <c r="K356" s="365"/>
      <c r="L356" s="366"/>
      <c r="M356" s="367"/>
      <c r="N356" s="368"/>
      <c r="O356" s="368"/>
      <c r="S356" s="365"/>
      <c r="T356" s="366"/>
      <c r="U356" s="367"/>
      <c r="V356" s="368"/>
      <c r="W356" s="368"/>
      <c r="AA356" s="365"/>
      <c r="AB356" s="366"/>
      <c r="AC356" s="367"/>
      <c r="AD356" s="368"/>
      <c r="AE356" s="368"/>
    </row>
    <row r="357" spans="3:31" x14ac:dyDescent="0.25">
      <c r="C357" s="365"/>
      <c r="D357" s="366"/>
      <c r="E357" s="367"/>
      <c r="F357" s="368"/>
      <c r="G357" s="368"/>
      <c r="K357" s="365"/>
      <c r="L357" s="366"/>
      <c r="M357" s="367"/>
      <c r="N357" s="368"/>
      <c r="O357" s="368"/>
      <c r="S357" s="365"/>
      <c r="T357" s="366"/>
      <c r="U357" s="367"/>
      <c r="V357" s="368"/>
      <c r="W357" s="368"/>
      <c r="AA357" s="365"/>
      <c r="AB357" s="366"/>
      <c r="AC357" s="367"/>
      <c r="AD357" s="368"/>
      <c r="AE357" s="368"/>
    </row>
    <row r="358" spans="3:31" x14ac:dyDescent="0.25">
      <c r="C358" s="365"/>
      <c r="D358" s="366"/>
      <c r="E358" s="367"/>
      <c r="F358" s="368"/>
      <c r="G358" s="368"/>
      <c r="K358" s="365"/>
      <c r="L358" s="366"/>
      <c r="M358" s="367"/>
      <c r="N358" s="368"/>
      <c r="O358" s="368"/>
      <c r="S358" s="365"/>
      <c r="T358" s="366"/>
      <c r="U358" s="367"/>
      <c r="V358" s="368"/>
      <c r="W358" s="368"/>
      <c r="AA358" s="365"/>
      <c r="AB358" s="366"/>
      <c r="AC358" s="367"/>
      <c r="AD358" s="368"/>
      <c r="AE358" s="368"/>
    </row>
    <row r="359" spans="3:31" x14ac:dyDescent="0.25">
      <c r="C359" s="365"/>
      <c r="D359" s="366"/>
      <c r="E359" s="367"/>
      <c r="F359" s="368"/>
      <c r="G359" s="368"/>
      <c r="K359" s="365"/>
      <c r="L359" s="366"/>
      <c r="M359" s="367"/>
      <c r="N359" s="368"/>
      <c r="O359" s="368"/>
      <c r="S359" s="365"/>
      <c r="T359" s="366"/>
      <c r="U359" s="367"/>
      <c r="V359" s="368"/>
      <c r="W359" s="368"/>
      <c r="AA359" s="365"/>
      <c r="AB359" s="366"/>
      <c r="AC359" s="367"/>
      <c r="AD359" s="368"/>
      <c r="AE359" s="368"/>
    </row>
    <row r="360" spans="3:31" x14ac:dyDescent="0.25">
      <c r="C360" s="365"/>
      <c r="D360" s="366"/>
      <c r="E360" s="367"/>
      <c r="F360" s="368"/>
      <c r="G360" s="368"/>
      <c r="K360" s="365"/>
      <c r="L360" s="366"/>
      <c r="M360" s="367"/>
      <c r="N360" s="368"/>
      <c r="O360" s="368"/>
      <c r="S360" s="365"/>
      <c r="T360" s="366"/>
      <c r="U360" s="367"/>
      <c r="V360" s="368"/>
      <c r="W360" s="368"/>
      <c r="AA360" s="365"/>
      <c r="AB360" s="366"/>
      <c r="AC360" s="367"/>
      <c r="AD360" s="368"/>
      <c r="AE360" s="368"/>
    </row>
    <row r="361" spans="3:31" x14ac:dyDescent="0.25">
      <c r="C361" s="365"/>
      <c r="D361" s="366"/>
      <c r="E361" s="367"/>
      <c r="F361" s="368"/>
      <c r="G361" s="368"/>
      <c r="K361" s="365"/>
      <c r="L361" s="366"/>
      <c r="M361" s="367"/>
      <c r="N361" s="368"/>
      <c r="O361" s="368"/>
      <c r="S361" s="365"/>
      <c r="T361" s="366"/>
      <c r="U361" s="367"/>
      <c r="V361" s="368"/>
      <c r="W361" s="368"/>
      <c r="AA361" s="365"/>
      <c r="AB361" s="366"/>
      <c r="AC361" s="367"/>
      <c r="AD361" s="368"/>
      <c r="AE361" s="368"/>
    </row>
    <row r="362" spans="3:31" x14ac:dyDescent="0.25">
      <c r="C362" s="365"/>
      <c r="D362" s="366"/>
      <c r="E362" s="367"/>
      <c r="F362" s="368"/>
      <c r="G362" s="368"/>
      <c r="K362" s="365"/>
      <c r="L362" s="366"/>
      <c r="M362" s="367"/>
      <c r="N362" s="368"/>
      <c r="O362" s="368"/>
      <c r="S362" s="365"/>
      <c r="T362" s="366"/>
      <c r="U362" s="367"/>
      <c r="V362" s="368"/>
      <c r="W362" s="368"/>
      <c r="AA362" s="365"/>
      <c r="AB362" s="366"/>
      <c r="AC362" s="367"/>
      <c r="AD362" s="368"/>
      <c r="AE362" s="368"/>
    </row>
    <row r="363" spans="3:31" x14ac:dyDescent="0.25">
      <c r="C363" s="365"/>
      <c r="D363" s="366"/>
      <c r="E363" s="367"/>
      <c r="F363" s="368"/>
      <c r="G363" s="368"/>
      <c r="K363" s="365"/>
      <c r="L363" s="366"/>
      <c r="M363" s="367"/>
      <c r="N363" s="368"/>
      <c r="O363" s="368"/>
      <c r="S363" s="365"/>
      <c r="T363" s="366"/>
      <c r="U363" s="367"/>
      <c r="V363" s="368"/>
      <c r="W363" s="368"/>
      <c r="AA363" s="365"/>
      <c r="AB363" s="366"/>
      <c r="AC363" s="367"/>
      <c r="AD363" s="368"/>
      <c r="AE363" s="368"/>
    </row>
    <row r="364" spans="3:31" x14ac:dyDescent="0.25">
      <c r="C364" s="365"/>
      <c r="D364" s="366"/>
      <c r="E364" s="367"/>
      <c r="F364" s="368"/>
      <c r="G364" s="368"/>
      <c r="K364" s="365"/>
      <c r="L364" s="366"/>
      <c r="M364" s="367"/>
      <c r="N364" s="368"/>
      <c r="O364" s="368"/>
      <c r="S364" s="365"/>
      <c r="T364" s="366"/>
      <c r="U364" s="367"/>
      <c r="V364" s="368"/>
      <c r="W364" s="368"/>
      <c r="AA364" s="365"/>
      <c r="AB364" s="366"/>
      <c r="AC364" s="367"/>
      <c r="AD364" s="368"/>
      <c r="AE364" s="368"/>
    </row>
  </sheetData>
  <sheetProtection sheet="1" objects="1" scenarios="1" formatCells="1" formatColumns="0" formatRows="0" insertColumns="1" insertRows="1" insertHyperlinks="1" deleteColumns="1" deleteRows="1" selectLockedCells="0" selectUnlockedCells="0" sort="0" autoFilter="0" pivotTables="0"/>
  <pageMargins left="0.78740157499999996" right="0.78740157499999996" top="0.984251969" bottom="0.984251969" header="0.4921259845" footer="0.4921259845"/>
  <pageSetup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D6E5-5A9C-4838-ABFA-15AB9EBBBCAD}">
  <sheetPr>
    <pageSetUpPr fitToPage="1"/>
  </sheetPr>
  <dimension ref="B2:N35"/>
  <sheetViews>
    <sheetView topLeftCell="A13" zoomScale="93" zoomScaleNormal="140" workbookViewId="0">
      <selection activeCell="G14" sqref="F14:G19"/>
    </sheetView>
  </sheetViews>
  <sheetFormatPr baseColWidth="10" defaultRowHeight="14.5" x14ac:dyDescent="0.35"/>
  <cols>
    <col min="1" max="1" width="10.90625" style="213"/>
    <col min="2" max="2" width="11.453125" style="214" customWidth="1"/>
    <col min="3" max="3" width="13.453125" style="212" bestFit="1" customWidth="1"/>
    <col min="4" max="4" width="10.90625" style="213"/>
    <col min="5" max="5" width="11.453125" style="214" customWidth="1"/>
    <col min="6" max="6" width="10.90625" style="213"/>
    <col min="7" max="7" width="14" style="212" bestFit="1" customWidth="1"/>
    <col min="8" max="8" width="13.453125" style="212" bestFit="1" customWidth="1"/>
    <col min="9" max="257" width="10.90625" style="213"/>
    <col min="258" max="258" width="11.453125" style="213" customWidth="1"/>
    <col min="259" max="259" width="13.453125" style="213" bestFit="1" customWidth="1"/>
    <col min="260" max="260" width="10.90625" style="213"/>
    <col min="261" max="261" width="11.453125" style="213" customWidth="1"/>
    <col min="262" max="262" width="10.90625" style="213"/>
    <col min="263" max="263" width="14" style="213" bestFit="1" customWidth="1"/>
    <col min="264" max="264" width="13.453125" style="213" bestFit="1" customWidth="1"/>
    <col min="265" max="513" width="10.90625" style="213"/>
    <col min="514" max="514" width="11.453125" style="213" customWidth="1"/>
    <col min="515" max="515" width="13.453125" style="213" bestFit="1" customWidth="1"/>
    <col min="516" max="516" width="10.90625" style="213"/>
    <col min="517" max="517" width="11.453125" style="213" customWidth="1"/>
    <col min="518" max="518" width="10.90625" style="213"/>
    <col min="519" max="519" width="14" style="213" bestFit="1" customWidth="1"/>
    <col min="520" max="520" width="13.453125" style="213" bestFit="1" customWidth="1"/>
    <col min="521" max="769" width="10.90625" style="213"/>
    <col min="770" max="770" width="11.453125" style="213" customWidth="1"/>
    <col min="771" max="771" width="13.453125" style="213" bestFit="1" customWidth="1"/>
    <col min="772" max="772" width="10.90625" style="213"/>
    <col min="773" max="773" width="11.453125" style="213" customWidth="1"/>
    <col min="774" max="774" width="10.90625" style="213"/>
    <col min="775" max="775" width="14" style="213" bestFit="1" customWidth="1"/>
    <col min="776" max="776" width="13.453125" style="213" bestFit="1" customWidth="1"/>
    <col min="777" max="1025" width="10.90625" style="213"/>
    <col min="1026" max="1026" width="11.453125" style="213" customWidth="1"/>
    <col min="1027" max="1027" width="13.453125" style="213" bestFit="1" customWidth="1"/>
    <col min="1028" max="1028" width="10.90625" style="213"/>
    <col min="1029" max="1029" width="11.453125" style="213" customWidth="1"/>
    <col min="1030" max="1030" width="10.90625" style="213"/>
    <col min="1031" max="1031" width="14" style="213" bestFit="1" customWidth="1"/>
    <col min="1032" max="1032" width="13.453125" style="213" bestFit="1" customWidth="1"/>
    <col min="1033" max="1281" width="10.90625" style="213"/>
    <col min="1282" max="1282" width="11.453125" style="213" customWidth="1"/>
    <col min="1283" max="1283" width="13.453125" style="213" bestFit="1" customWidth="1"/>
    <col min="1284" max="1284" width="10.90625" style="213"/>
    <col min="1285" max="1285" width="11.453125" style="213" customWidth="1"/>
    <col min="1286" max="1286" width="10.90625" style="213"/>
    <col min="1287" max="1287" width="14" style="213" bestFit="1" customWidth="1"/>
    <col min="1288" max="1288" width="13.453125" style="213" bestFit="1" customWidth="1"/>
    <col min="1289" max="1537" width="10.90625" style="213"/>
    <col min="1538" max="1538" width="11.453125" style="213" customWidth="1"/>
    <col min="1539" max="1539" width="13.453125" style="213" bestFit="1" customWidth="1"/>
    <col min="1540" max="1540" width="10.90625" style="213"/>
    <col min="1541" max="1541" width="11.453125" style="213" customWidth="1"/>
    <col min="1542" max="1542" width="10.90625" style="213"/>
    <col min="1543" max="1543" width="14" style="213" bestFit="1" customWidth="1"/>
    <col min="1544" max="1544" width="13.453125" style="213" bestFit="1" customWidth="1"/>
    <col min="1545" max="1793" width="10.90625" style="213"/>
    <col min="1794" max="1794" width="11.453125" style="213" customWidth="1"/>
    <col min="1795" max="1795" width="13.453125" style="213" bestFit="1" customWidth="1"/>
    <col min="1796" max="1796" width="10.90625" style="213"/>
    <col min="1797" max="1797" width="11.453125" style="213" customWidth="1"/>
    <col min="1798" max="1798" width="10.90625" style="213"/>
    <col min="1799" max="1799" width="14" style="213" bestFit="1" customWidth="1"/>
    <col min="1800" max="1800" width="13.453125" style="213" bestFit="1" customWidth="1"/>
    <col min="1801" max="2049" width="10.90625" style="213"/>
    <col min="2050" max="2050" width="11.453125" style="213" customWidth="1"/>
    <col min="2051" max="2051" width="13.453125" style="213" bestFit="1" customWidth="1"/>
    <col min="2052" max="2052" width="10.90625" style="213"/>
    <col min="2053" max="2053" width="11.453125" style="213" customWidth="1"/>
    <col min="2054" max="2054" width="10.90625" style="213"/>
    <col min="2055" max="2055" width="14" style="213" bestFit="1" customWidth="1"/>
    <col min="2056" max="2056" width="13.453125" style="213" bestFit="1" customWidth="1"/>
    <col min="2057" max="2305" width="10.90625" style="213"/>
    <col min="2306" max="2306" width="11.453125" style="213" customWidth="1"/>
    <col min="2307" max="2307" width="13.453125" style="213" bestFit="1" customWidth="1"/>
    <col min="2308" max="2308" width="10.90625" style="213"/>
    <col min="2309" max="2309" width="11.453125" style="213" customWidth="1"/>
    <col min="2310" max="2310" width="10.90625" style="213"/>
    <col min="2311" max="2311" width="14" style="213" bestFit="1" customWidth="1"/>
    <col min="2312" max="2312" width="13.453125" style="213" bestFit="1" customWidth="1"/>
    <col min="2313" max="2561" width="10.90625" style="213"/>
    <col min="2562" max="2562" width="11.453125" style="213" customWidth="1"/>
    <col min="2563" max="2563" width="13.453125" style="213" bestFit="1" customWidth="1"/>
    <col min="2564" max="2564" width="10.90625" style="213"/>
    <col min="2565" max="2565" width="11.453125" style="213" customWidth="1"/>
    <col min="2566" max="2566" width="10.90625" style="213"/>
    <col min="2567" max="2567" width="14" style="213" bestFit="1" customWidth="1"/>
    <col min="2568" max="2568" width="13.453125" style="213" bestFit="1" customWidth="1"/>
    <col min="2569" max="2817" width="10.90625" style="213"/>
    <col min="2818" max="2818" width="11.453125" style="213" customWidth="1"/>
    <col min="2819" max="2819" width="13.453125" style="213" bestFit="1" customWidth="1"/>
    <col min="2820" max="2820" width="10.90625" style="213"/>
    <col min="2821" max="2821" width="11.453125" style="213" customWidth="1"/>
    <col min="2822" max="2822" width="10.90625" style="213"/>
    <col min="2823" max="2823" width="14" style="213" bestFit="1" customWidth="1"/>
    <col min="2824" max="2824" width="13.453125" style="213" bestFit="1" customWidth="1"/>
    <col min="2825" max="3073" width="10.90625" style="213"/>
    <col min="3074" max="3074" width="11.453125" style="213" customWidth="1"/>
    <col min="3075" max="3075" width="13.453125" style="213" bestFit="1" customWidth="1"/>
    <col min="3076" max="3076" width="10.90625" style="213"/>
    <col min="3077" max="3077" width="11.453125" style="213" customWidth="1"/>
    <col min="3078" max="3078" width="10.90625" style="213"/>
    <col min="3079" max="3079" width="14" style="213" bestFit="1" customWidth="1"/>
    <col min="3080" max="3080" width="13.453125" style="213" bestFit="1" customWidth="1"/>
    <col min="3081" max="3329" width="10.90625" style="213"/>
    <col min="3330" max="3330" width="11.453125" style="213" customWidth="1"/>
    <col min="3331" max="3331" width="13.453125" style="213" bestFit="1" customWidth="1"/>
    <col min="3332" max="3332" width="10.90625" style="213"/>
    <col min="3333" max="3333" width="11.453125" style="213" customWidth="1"/>
    <col min="3334" max="3334" width="10.90625" style="213"/>
    <col min="3335" max="3335" width="14" style="213" bestFit="1" customWidth="1"/>
    <col min="3336" max="3336" width="13.453125" style="213" bestFit="1" customWidth="1"/>
    <col min="3337" max="3585" width="10.90625" style="213"/>
    <col min="3586" max="3586" width="11.453125" style="213" customWidth="1"/>
    <col min="3587" max="3587" width="13.453125" style="213" bestFit="1" customWidth="1"/>
    <col min="3588" max="3588" width="10.90625" style="213"/>
    <col min="3589" max="3589" width="11.453125" style="213" customWidth="1"/>
    <col min="3590" max="3590" width="10.90625" style="213"/>
    <col min="3591" max="3591" width="14" style="213" bestFit="1" customWidth="1"/>
    <col min="3592" max="3592" width="13.453125" style="213" bestFit="1" customWidth="1"/>
    <col min="3593" max="3841" width="10.90625" style="213"/>
    <col min="3842" max="3842" width="11.453125" style="213" customWidth="1"/>
    <col min="3843" max="3843" width="13.453125" style="213" bestFit="1" customWidth="1"/>
    <col min="3844" max="3844" width="10.90625" style="213"/>
    <col min="3845" max="3845" width="11.453125" style="213" customWidth="1"/>
    <col min="3846" max="3846" width="10.90625" style="213"/>
    <col min="3847" max="3847" width="14" style="213" bestFit="1" customWidth="1"/>
    <col min="3848" max="3848" width="13.453125" style="213" bestFit="1" customWidth="1"/>
    <col min="3849" max="4097" width="10.90625" style="213"/>
    <col min="4098" max="4098" width="11.453125" style="213" customWidth="1"/>
    <col min="4099" max="4099" width="13.453125" style="213" bestFit="1" customWidth="1"/>
    <col min="4100" max="4100" width="10.90625" style="213"/>
    <col min="4101" max="4101" width="11.453125" style="213" customWidth="1"/>
    <col min="4102" max="4102" width="10.90625" style="213"/>
    <col min="4103" max="4103" width="14" style="213" bestFit="1" customWidth="1"/>
    <col min="4104" max="4104" width="13.453125" style="213" bestFit="1" customWidth="1"/>
    <col min="4105" max="4353" width="10.90625" style="213"/>
    <col min="4354" max="4354" width="11.453125" style="213" customWidth="1"/>
    <col min="4355" max="4355" width="13.453125" style="213" bestFit="1" customWidth="1"/>
    <col min="4356" max="4356" width="10.90625" style="213"/>
    <col min="4357" max="4357" width="11.453125" style="213" customWidth="1"/>
    <col min="4358" max="4358" width="10.90625" style="213"/>
    <col min="4359" max="4359" width="14" style="213" bestFit="1" customWidth="1"/>
    <col min="4360" max="4360" width="13.453125" style="213" bestFit="1" customWidth="1"/>
    <col min="4361" max="4609" width="10.90625" style="213"/>
    <col min="4610" max="4610" width="11.453125" style="213" customWidth="1"/>
    <col min="4611" max="4611" width="13.453125" style="213" bestFit="1" customWidth="1"/>
    <col min="4612" max="4612" width="10.90625" style="213"/>
    <col min="4613" max="4613" width="11.453125" style="213" customWidth="1"/>
    <col min="4614" max="4614" width="10.90625" style="213"/>
    <col min="4615" max="4615" width="14" style="213" bestFit="1" customWidth="1"/>
    <col min="4616" max="4616" width="13.453125" style="213" bestFit="1" customWidth="1"/>
    <col min="4617" max="4865" width="10.90625" style="213"/>
    <col min="4866" max="4866" width="11.453125" style="213" customWidth="1"/>
    <col min="4867" max="4867" width="13.453125" style="213" bestFit="1" customWidth="1"/>
    <col min="4868" max="4868" width="10.90625" style="213"/>
    <col min="4869" max="4869" width="11.453125" style="213" customWidth="1"/>
    <col min="4870" max="4870" width="10.90625" style="213"/>
    <col min="4871" max="4871" width="14" style="213" bestFit="1" customWidth="1"/>
    <col min="4872" max="4872" width="13.453125" style="213" bestFit="1" customWidth="1"/>
    <col min="4873" max="5121" width="10.90625" style="213"/>
    <col min="5122" max="5122" width="11.453125" style="213" customWidth="1"/>
    <col min="5123" max="5123" width="13.453125" style="213" bestFit="1" customWidth="1"/>
    <col min="5124" max="5124" width="10.90625" style="213"/>
    <col min="5125" max="5125" width="11.453125" style="213" customWidth="1"/>
    <col min="5126" max="5126" width="10.90625" style="213"/>
    <col min="5127" max="5127" width="14" style="213" bestFit="1" customWidth="1"/>
    <col min="5128" max="5128" width="13.453125" style="213" bestFit="1" customWidth="1"/>
    <col min="5129" max="5377" width="10.90625" style="213"/>
    <col min="5378" max="5378" width="11.453125" style="213" customWidth="1"/>
    <col min="5379" max="5379" width="13.453125" style="213" bestFit="1" customWidth="1"/>
    <col min="5380" max="5380" width="10.90625" style="213"/>
    <col min="5381" max="5381" width="11.453125" style="213" customWidth="1"/>
    <col min="5382" max="5382" width="10.90625" style="213"/>
    <col min="5383" max="5383" width="14" style="213" bestFit="1" customWidth="1"/>
    <col min="5384" max="5384" width="13.453125" style="213" bestFit="1" customWidth="1"/>
    <col min="5385" max="5633" width="10.90625" style="213"/>
    <col min="5634" max="5634" width="11.453125" style="213" customWidth="1"/>
    <col min="5635" max="5635" width="13.453125" style="213" bestFit="1" customWidth="1"/>
    <col min="5636" max="5636" width="10.90625" style="213"/>
    <col min="5637" max="5637" width="11.453125" style="213" customWidth="1"/>
    <col min="5638" max="5638" width="10.90625" style="213"/>
    <col min="5639" max="5639" width="14" style="213" bestFit="1" customWidth="1"/>
    <col min="5640" max="5640" width="13.453125" style="213" bestFit="1" customWidth="1"/>
    <col min="5641" max="5889" width="10.90625" style="213"/>
    <col min="5890" max="5890" width="11.453125" style="213" customWidth="1"/>
    <col min="5891" max="5891" width="13.453125" style="213" bestFit="1" customWidth="1"/>
    <col min="5892" max="5892" width="10.90625" style="213"/>
    <col min="5893" max="5893" width="11.453125" style="213" customWidth="1"/>
    <col min="5894" max="5894" width="10.90625" style="213"/>
    <col min="5895" max="5895" width="14" style="213" bestFit="1" customWidth="1"/>
    <col min="5896" max="5896" width="13.453125" style="213" bestFit="1" customWidth="1"/>
    <col min="5897" max="6145" width="10.90625" style="213"/>
    <col min="6146" max="6146" width="11.453125" style="213" customWidth="1"/>
    <col min="6147" max="6147" width="13.453125" style="213" bestFit="1" customWidth="1"/>
    <col min="6148" max="6148" width="10.90625" style="213"/>
    <col min="6149" max="6149" width="11.453125" style="213" customWidth="1"/>
    <col min="6150" max="6150" width="10.90625" style="213"/>
    <col min="6151" max="6151" width="14" style="213" bestFit="1" customWidth="1"/>
    <col min="6152" max="6152" width="13.453125" style="213" bestFit="1" customWidth="1"/>
    <col min="6153" max="6401" width="10.90625" style="213"/>
    <col min="6402" max="6402" width="11.453125" style="213" customWidth="1"/>
    <col min="6403" max="6403" width="13.453125" style="213" bestFit="1" customWidth="1"/>
    <col min="6404" max="6404" width="10.90625" style="213"/>
    <col min="6405" max="6405" width="11.453125" style="213" customWidth="1"/>
    <col min="6406" max="6406" width="10.90625" style="213"/>
    <col min="6407" max="6407" width="14" style="213" bestFit="1" customWidth="1"/>
    <col min="6408" max="6408" width="13.453125" style="213" bestFit="1" customWidth="1"/>
    <col min="6409" max="6657" width="10.90625" style="213"/>
    <col min="6658" max="6658" width="11.453125" style="213" customWidth="1"/>
    <col min="6659" max="6659" width="13.453125" style="213" bestFit="1" customWidth="1"/>
    <col min="6660" max="6660" width="10.90625" style="213"/>
    <col min="6661" max="6661" width="11.453125" style="213" customWidth="1"/>
    <col min="6662" max="6662" width="10.90625" style="213"/>
    <col min="6663" max="6663" width="14" style="213" bestFit="1" customWidth="1"/>
    <col min="6664" max="6664" width="13.453125" style="213" bestFit="1" customWidth="1"/>
    <col min="6665" max="6913" width="10.90625" style="213"/>
    <col min="6914" max="6914" width="11.453125" style="213" customWidth="1"/>
    <col min="6915" max="6915" width="13.453125" style="213" bestFit="1" customWidth="1"/>
    <col min="6916" max="6916" width="10.90625" style="213"/>
    <col min="6917" max="6917" width="11.453125" style="213" customWidth="1"/>
    <col min="6918" max="6918" width="10.90625" style="213"/>
    <col min="6919" max="6919" width="14" style="213" bestFit="1" customWidth="1"/>
    <col min="6920" max="6920" width="13.453125" style="213" bestFit="1" customWidth="1"/>
    <col min="6921" max="7169" width="10.90625" style="213"/>
    <col min="7170" max="7170" width="11.453125" style="213" customWidth="1"/>
    <col min="7171" max="7171" width="13.453125" style="213" bestFit="1" customWidth="1"/>
    <col min="7172" max="7172" width="10.90625" style="213"/>
    <col min="7173" max="7173" width="11.453125" style="213" customWidth="1"/>
    <col min="7174" max="7174" width="10.90625" style="213"/>
    <col min="7175" max="7175" width="14" style="213" bestFit="1" customWidth="1"/>
    <col min="7176" max="7176" width="13.453125" style="213" bestFit="1" customWidth="1"/>
    <col min="7177" max="7425" width="10.90625" style="213"/>
    <col min="7426" max="7426" width="11.453125" style="213" customWidth="1"/>
    <col min="7427" max="7427" width="13.453125" style="213" bestFit="1" customWidth="1"/>
    <col min="7428" max="7428" width="10.90625" style="213"/>
    <col min="7429" max="7429" width="11.453125" style="213" customWidth="1"/>
    <col min="7430" max="7430" width="10.90625" style="213"/>
    <col min="7431" max="7431" width="14" style="213" bestFit="1" customWidth="1"/>
    <col min="7432" max="7432" width="13.453125" style="213" bestFit="1" customWidth="1"/>
    <col min="7433" max="7681" width="10.90625" style="213"/>
    <col min="7682" max="7682" width="11.453125" style="213" customWidth="1"/>
    <col min="7683" max="7683" width="13.453125" style="213" bestFit="1" customWidth="1"/>
    <col min="7684" max="7684" width="10.90625" style="213"/>
    <col min="7685" max="7685" width="11.453125" style="213" customWidth="1"/>
    <col min="7686" max="7686" width="10.90625" style="213"/>
    <col min="7687" max="7687" width="14" style="213" bestFit="1" customWidth="1"/>
    <col min="7688" max="7688" width="13.453125" style="213" bestFit="1" customWidth="1"/>
    <col min="7689" max="7937" width="10.90625" style="213"/>
    <col min="7938" max="7938" width="11.453125" style="213" customWidth="1"/>
    <col min="7939" max="7939" width="13.453125" style="213" bestFit="1" customWidth="1"/>
    <col min="7940" max="7940" width="10.90625" style="213"/>
    <col min="7941" max="7941" width="11.453125" style="213" customWidth="1"/>
    <col min="7942" max="7942" width="10.90625" style="213"/>
    <col min="7943" max="7943" width="14" style="213" bestFit="1" customWidth="1"/>
    <col min="7944" max="7944" width="13.453125" style="213" bestFit="1" customWidth="1"/>
    <col min="7945" max="8193" width="10.90625" style="213"/>
    <col min="8194" max="8194" width="11.453125" style="213" customWidth="1"/>
    <col min="8195" max="8195" width="13.453125" style="213" bestFit="1" customWidth="1"/>
    <col min="8196" max="8196" width="10.90625" style="213"/>
    <col min="8197" max="8197" width="11.453125" style="213" customWidth="1"/>
    <col min="8198" max="8198" width="10.90625" style="213"/>
    <col min="8199" max="8199" width="14" style="213" bestFit="1" customWidth="1"/>
    <col min="8200" max="8200" width="13.453125" style="213" bestFit="1" customWidth="1"/>
    <col min="8201" max="8449" width="10.90625" style="213"/>
    <col min="8450" max="8450" width="11.453125" style="213" customWidth="1"/>
    <col min="8451" max="8451" width="13.453125" style="213" bestFit="1" customWidth="1"/>
    <col min="8452" max="8452" width="10.90625" style="213"/>
    <col min="8453" max="8453" width="11.453125" style="213" customWidth="1"/>
    <col min="8454" max="8454" width="10.90625" style="213"/>
    <col min="8455" max="8455" width="14" style="213" bestFit="1" customWidth="1"/>
    <col min="8456" max="8456" width="13.453125" style="213" bestFit="1" customWidth="1"/>
    <col min="8457" max="8705" width="10.90625" style="213"/>
    <col min="8706" max="8706" width="11.453125" style="213" customWidth="1"/>
    <col min="8707" max="8707" width="13.453125" style="213" bestFit="1" customWidth="1"/>
    <col min="8708" max="8708" width="10.90625" style="213"/>
    <col min="8709" max="8709" width="11.453125" style="213" customWidth="1"/>
    <col min="8710" max="8710" width="10.90625" style="213"/>
    <col min="8711" max="8711" width="14" style="213" bestFit="1" customWidth="1"/>
    <col min="8712" max="8712" width="13.453125" style="213" bestFit="1" customWidth="1"/>
    <col min="8713" max="8961" width="10.90625" style="213"/>
    <col min="8962" max="8962" width="11.453125" style="213" customWidth="1"/>
    <col min="8963" max="8963" width="13.453125" style="213" bestFit="1" customWidth="1"/>
    <col min="8964" max="8964" width="10.90625" style="213"/>
    <col min="8965" max="8965" width="11.453125" style="213" customWidth="1"/>
    <col min="8966" max="8966" width="10.90625" style="213"/>
    <col min="8967" max="8967" width="14" style="213" bestFit="1" customWidth="1"/>
    <col min="8968" max="8968" width="13.453125" style="213" bestFit="1" customWidth="1"/>
    <col min="8969" max="9217" width="10.90625" style="213"/>
    <col min="9218" max="9218" width="11.453125" style="213" customWidth="1"/>
    <col min="9219" max="9219" width="13.453125" style="213" bestFit="1" customWidth="1"/>
    <col min="9220" max="9220" width="10.90625" style="213"/>
    <col min="9221" max="9221" width="11.453125" style="213" customWidth="1"/>
    <col min="9222" max="9222" width="10.90625" style="213"/>
    <col min="9223" max="9223" width="14" style="213" bestFit="1" customWidth="1"/>
    <col min="9224" max="9224" width="13.453125" style="213" bestFit="1" customWidth="1"/>
    <col min="9225" max="9473" width="10.90625" style="213"/>
    <col min="9474" max="9474" width="11.453125" style="213" customWidth="1"/>
    <col min="9475" max="9475" width="13.453125" style="213" bestFit="1" customWidth="1"/>
    <col min="9476" max="9476" width="10.90625" style="213"/>
    <col min="9477" max="9477" width="11.453125" style="213" customWidth="1"/>
    <col min="9478" max="9478" width="10.90625" style="213"/>
    <col min="9479" max="9479" width="14" style="213" bestFit="1" customWidth="1"/>
    <col min="9480" max="9480" width="13.453125" style="213" bestFit="1" customWidth="1"/>
    <col min="9481" max="9729" width="10.90625" style="213"/>
    <col min="9730" max="9730" width="11.453125" style="213" customWidth="1"/>
    <col min="9731" max="9731" width="13.453125" style="213" bestFit="1" customWidth="1"/>
    <col min="9732" max="9732" width="10.90625" style="213"/>
    <col min="9733" max="9733" width="11.453125" style="213" customWidth="1"/>
    <col min="9734" max="9734" width="10.90625" style="213"/>
    <col min="9735" max="9735" width="14" style="213" bestFit="1" customWidth="1"/>
    <col min="9736" max="9736" width="13.453125" style="213" bestFit="1" customWidth="1"/>
    <col min="9737" max="9985" width="10.90625" style="213"/>
    <col min="9986" max="9986" width="11.453125" style="213" customWidth="1"/>
    <col min="9987" max="9987" width="13.453125" style="213" bestFit="1" customWidth="1"/>
    <col min="9988" max="9988" width="10.90625" style="213"/>
    <col min="9989" max="9989" width="11.453125" style="213" customWidth="1"/>
    <col min="9990" max="9990" width="10.90625" style="213"/>
    <col min="9991" max="9991" width="14" style="213" bestFit="1" customWidth="1"/>
    <col min="9992" max="9992" width="13.453125" style="213" bestFit="1" customWidth="1"/>
    <col min="9993" max="10241" width="10.90625" style="213"/>
    <col min="10242" max="10242" width="11.453125" style="213" customWidth="1"/>
    <col min="10243" max="10243" width="13.453125" style="213" bestFit="1" customWidth="1"/>
    <col min="10244" max="10244" width="10.90625" style="213"/>
    <col min="10245" max="10245" width="11.453125" style="213" customWidth="1"/>
    <col min="10246" max="10246" width="10.90625" style="213"/>
    <col min="10247" max="10247" width="14" style="213" bestFit="1" customWidth="1"/>
    <col min="10248" max="10248" width="13.453125" style="213" bestFit="1" customWidth="1"/>
    <col min="10249" max="10497" width="10.90625" style="213"/>
    <col min="10498" max="10498" width="11.453125" style="213" customWidth="1"/>
    <col min="10499" max="10499" width="13.453125" style="213" bestFit="1" customWidth="1"/>
    <col min="10500" max="10500" width="10.90625" style="213"/>
    <col min="10501" max="10501" width="11.453125" style="213" customWidth="1"/>
    <col min="10502" max="10502" width="10.90625" style="213"/>
    <col min="10503" max="10503" width="14" style="213" bestFit="1" customWidth="1"/>
    <col min="10504" max="10504" width="13.453125" style="213" bestFit="1" customWidth="1"/>
    <col min="10505" max="10753" width="10.90625" style="213"/>
    <col min="10754" max="10754" width="11.453125" style="213" customWidth="1"/>
    <col min="10755" max="10755" width="13.453125" style="213" bestFit="1" customWidth="1"/>
    <col min="10756" max="10756" width="10.90625" style="213"/>
    <col min="10757" max="10757" width="11.453125" style="213" customWidth="1"/>
    <col min="10758" max="10758" width="10.90625" style="213"/>
    <col min="10759" max="10759" width="14" style="213" bestFit="1" customWidth="1"/>
    <col min="10760" max="10760" width="13.453125" style="213" bestFit="1" customWidth="1"/>
    <col min="10761" max="11009" width="10.90625" style="213"/>
    <col min="11010" max="11010" width="11.453125" style="213" customWidth="1"/>
    <col min="11011" max="11011" width="13.453125" style="213" bestFit="1" customWidth="1"/>
    <col min="11012" max="11012" width="10.90625" style="213"/>
    <col min="11013" max="11013" width="11.453125" style="213" customWidth="1"/>
    <col min="11014" max="11014" width="10.90625" style="213"/>
    <col min="11015" max="11015" width="14" style="213" bestFit="1" customWidth="1"/>
    <col min="11016" max="11016" width="13.453125" style="213" bestFit="1" customWidth="1"/>
    <col min="11017" max="11265" width="10.90625" style="213"/>
    <col min="11266" max="11266" width="11.453125" style="213" customWidth="1"/>
    <col min="11267" max="11267" width="13.453125" style="213" bestFit="1" customWidth="1"/>
    <col min="11268" max="11268" width="10.90625" style="213"/>
    <col min="11269" max="11269" width="11.453125" style="213" customWidth="1"/>
    <col min="11270" max="11270" width="10.90625" style="213"/>
    <col min="11271" max="11271" width="14" style="213" bestFit="1" customWidth="1"/>
    <col min="11272" max="11272" width="13.453125" style="213" bestFit="1" customWidth="1"/>
    <col min="11273" max="11521" width="10.90625" style="213"/>
    <col min="11522" max="11522" width="11.453125" style="213" customWidth="1"/>
    <col min="11523" max="11523" width="13.453125" style="213" bestFit="1" customWidth="1"/>
    <col min="11524" max="11524" width="10.90625" style="213"/>
    <col min="11525" max="11525" width="11.453125" style="213" customWidth="1"/>
    <col min="11526" max="11526" width="10.90625" style="213"/>
    <col min="11527" max="11527" width="14" style="213" bestFit="1" customWidth="1"/>
    <col min="11528" max="11528" width="13.453125" style="213" bestFit="1" customWidth="1"/>
    <col min="11529" max="11777" width="10.90625" style="213"/>
    <col min="11778" max="11778" width="11.453125" style="213" customWidth="1"/>
    <col min="11779" max="11779" width="13.453125" style="213" bestFit="1" customWidth="1"/>
    <col min="11780" max="11780" width="10.90625" style="213"/>
    <col min="11781" max="11781" width="11.453125" style="213" customWidth="1"/>
    <col min="11782" max="11782" width="10.90625" style="213"/>
    <col min="11783" max="11783" width="14" style="213" bestFit="1" customWidth="1"/>
    <col min="11784" max="11784" width="13.453125" style="213" bestFit="1" customWidth="1"/>
    <col min="11785" max="12033" width="10.90625" style="213"/>
    <col min="12034" max="12034" width="11.453125" style="213" customWidth="1"/>
    <col min="12035" max="12035" width="13.453125" style="213" bestFit="1" customWidth="1"/>
    <col min="12036" max="12036" width="10.90625" style="213"/>
    <col min="12037" max="12037" width="11.453125" style="213" customWidth="1"/>
    <col min="12038" max="12038" width="10.90625" style="213"/>
    <col min="12039" max="12039" width="14" style="213" bestFit="1" customWidth="1"/>
    <col min="12040" max="12040" width="13.453125" style="213" bestFit="1" customWidth="1"/>
    <col min="12041" max="12289" width="10.90625" style="213"/>
    <col min="12290" max="12290" width="11.453125" style="213" customWidth="1"/>
    <col min="12291" max="12291" width="13.453125" style="213" bestFit="1" customWidth="1"/>
    <col min="12292" max="12292" width="10.90625" style="213"/>
    <col min="12293" max="12293" width="11.453125" style="213" customWidth="1"/>
    <col min="12294" max="12294" width="10.90625" style="213"/>
    <col min="12295" max="12295" width="14" style="213" bestFit="1" customWidth="1"/>
    <col min="12296" max="12296" width="13.453125" style="213" bestFit="1" customWidth="1"/>
    <col min="12297" max="12545" width="10.90625" style="213"/>
    <col min="12546" max="12546" width="11.453125" style="213" customWidth="1"/>
    <col min="12547" max="12547" width="13.453125" style="213" bestFit="1" customWidth="1"/>
    <col min="12548" max="12548" width="10.90625" style="213"/>
    <col min="12549" max="12549" width="11.453125" style="213" customWidth="1"/>
    <col min="12550" max="12550" width="10.90625" style="213"/>
    <col min="12551" max="12551" width="14" style="213" bestFit="1" customWidth="1"/>
    <col min="12552" max="12552" width="13.453125" style="213" bestFit="1" customWidth="1"/>
    <col min="12553" max="12801" width="10.90625" style="213"/>
    <col min="12802" max="12802" width="11.453125" style="213" customWidth="1"/>
    <col min="12803" max="12803" width="13.453125" style="213" bestFit="1" customWidth="1"/>
    <col min="12804" max="12804" width="10.90625" style="213"/>
    <col min="12805" max="12805" width="11.453125" style="213" customWidth="1"/>
    <col min="12806" max="12806" width="10.90625" style="213"/>
    <col min="12807" max="12807" width="14" style="213" bestFit="1" customWidth="1"/>
    <col min="12808" max="12808" width="13.453125" style="213" bestFit="1" customWidth="1"/>
    <col min="12809" max="13057" width="10.90625" style="213"/>
    <col min="13058" max="13058" width="11.453125" style="213" customWidth="1"/>
    <col min="13059" max="13059" width="13.453125" style="213" bestFit="1" customWidth="1"/>
    <col min="13060" max="13060" width="10.90625" style="213"/>
    <col min="13061" max="13061" width="11.453125" style="213" customWidth="1"/>
    <col min="13062" max="13062" width="10.90625" style="213"/>
    <col min="13063" max="13063" width="14" style="213" bestFit="1" customWidth="1"/>
    <col min="13064" max="13064" width="13.453125" style="213" bestFit="1" customWidth="1"/>
    <col min="13065" max="13313" width="10.90625" style="213"/>
    <col min="13314" max="13314" width="11.453125" style="213" customWidth="1"/>
    <col min="13315" max="13315" width="13.453125" style="213" bestFit="1" customWidth="1"/>
    <col min="13316" max="13316" width="10.90625" style="213"/>
    <col min="13317" max="13317" width="11.453125" style="213" customWidth="1"/>
    <col min="13318" max="13318" width="10.90625" style="213"/>
    <col min="13319" max="13319" width="14" style="213" bestFit="1" customWidth="1"/>
    <col min="13320" max="13320" width="13.453125" style="213" bestFit="1" customWidth="1"/>
    <col min="13321" max="13569" width="10.90625" style="213"/>
    <col min="13570" max="13570" width="11.453125" style="213" customWidth="1"/>
    <col min="13571" max="13571" width="13.453125" style="213" bestFit="1" customWidth="1"/>
    <col min="13572" max="13572" width="10.90625" style="213"/>
    <col min="13573" max="13573" width="11.453125" style="213" customWidth="1"/>
    <col min="13574" max="13574" width="10.90625" style="213"/>
    <col min="13575" max="13575" width="14" style="213" bestFit="1" customWidth="1"/>
    <col min="13576" max="13576" width="13.453125" style="213" bestFit="1" customWidth="1"/>
    <col min="13577" max="13825" width="10.90625" style="213"/>
    <col min="13826" max="13826" width="11.453125" style="213" customWidth="1"/>
    <col min="13827" max="13827" width="13.453125" style="213" bestFit="1" customWidth="1"/>
    <col min="13828" max="13828" width="10.90625" style="213"/>
    <col min="13829" max="13829" width="11.453125" style="213" customWidth="1"/>
    <col min="13830" max="13830" width="10.90625" style="213"/>
    <col min="13831" max="13831" width="14" style="213" bestFit="1" customWidth="1"/>
    <col min="13832" max="13832" width="13.453125" style="213" bestFit="1" customWidth="1"/>
    <col min="13833" max="14081" width="10.90625" style="213"/>
    <col min="14082" max="14082" width="11.453125" style="213" customWidth="1"/>
    <col min="14083" max="14083" width="13.453125" style="213" bestFit="1" customWidth="1"/>
    <col min="14084" max="14084" width="10.90625" style="213"/>
    <col min="14085" max="14085" width="11.453125" style="213" customWidth="1"/>
    <col min="14086" max="14086" width="10.90625" style="213"/>
    <col min="14087" max="14087" width="14" style="213" bestFit="1" customWidth="1"/>
    <col min="14088" max="14088" width="13.453125" style="213" bestFit="1" customWidth="1"/>
    <col min="14089" max="14337" width="10.90625" style="213"/>
    <col min="14338" max="14338" width="11.453125" style="213" customWidth="1"/>
    <col min="14339" max="14339" width="13.453125" style="213" bestFit="1" customWidth="1"/>
    <col min="14340" max="14340" width="10.90625" style="213"/>
    <col min="14341" max="14341" width="11.453125" style="213" customWidth="1"/>
    <col min="14342" max="14342" width="10.90625" style="213"/>
    <col min="14343" max="14343" width="14" style="213" bestFit="1" customWidth="1"/>
    <col min="14344" max="14344" width="13.453125" style="213" bestFit="1" customWidth="1"/>
    <col min="14345" max="14593" width="10.90625" style="213"/>
    <col min="14594" max="14594" width="11.453125" style="213" customWidth="1"/>
    <col min="14595" max="14595" width="13.453125" style="213" bestFit="1" customWidth="1"/>
    <col min="14596" max="14596" width="10.90625" style="213"/>
    <col min="14597" max="14597" width="11.453125" style="213" customWidth="1"/>
    <col min="14598" max="14598" width="10.90625" style="213"/>
    <col min="14599" max="14599" width="14" style="213" bestFit="1" customWidth="1"/>
    <col min="14600" max="14600" width="13.453125" style="213" bestFit="1" customWidth="1"/>
    <col min="14601" max="14849" width="10.90625" style="213"/>
    <col min="14850" max="14850" width="11.453125" style="213" customWidth="1"/>
    <col min="14851" max="14851" width="13.453125" style="213" bestFit="1" customWidth="1"/>
    <col min="14852" max="14852" width="10.90625" style="213"/>
    <col min="14853" max="14853" width="11.453125" style="213" customWidth="1"/>
    <col min="14854" max="14854" width="10.90625" style="213"/>
    <col min="14855" max="14855" width="14" style="213" bestFit="1" customWidth="1"/>
    <col min="14856" max="14856" width="13.453125" style="213" bestFit="1" customWidth="1"/>
    <col min="14857" max="15105" width="10.90625" style="213"/>
    <col min="15106" max="15106" width="11.453125" style="213" customWidth="1"/>
    <col min="15107" max="15107" width="13.453125" style="213" bestFit="1" customWidth="1"/>
    <col min="15108" max="15108" width="10.90625" style="213"/>
    <col min="15109" max="15109" width="11.453125" style="213" customWidth="1"/>
    <col min="15110" max="15110" width="10.90625" style="213"/>
    <col min="15111" max="15111" width="14" style="213" bestFit="1" customWidth="1"/>
    <col min="15112" max="15112" width="13.453125" style="213" bestFit="1" customWidth="1"/>
    <col min="15113" max="15361" width="10.90625" style="213"/>
    <col min="15362" max="15362" width="11.453125" style="213" customWidth="1"/>
    <col min="15363" max="15363" width="13.453125" style="213" bestFit="1" customWidth="1"/>
    <col min="15364" max="15364" width="10.90625" style="213"/>
    <col min="15365" max="15365" width="11.453125" style="213" customWidth="1"/>
    <col min="15366" max="15366" width="10.90625" style="213"/>
    <col min="15367" max="15367" width="14" style="213" bestFit="1" customWidth="1"/>
    <col min="15368" max="15368" width="13.453125" style="213" bestFit="1" customWidth="1"/>
    <col min="15369" max="15617" width="10.90625" style="213"/>
    <col min="15618" max="15618" width="11.453125" style="213" customWidth="1"/>
    <col min="15619" max="15619" width="13.453125" style="213" bestFit="1" customWidth="1"/>
    <col min="15620" max="15620" width="10.90625" style="213"/>
    <col min="15621" max="15621" width="11.453125" style="213" customWidth="1"/>
    <col min="15622" max="15622" width="10.90625" style="213"/>
    <col min="15623" max="15623" width="14" style="213" bestFit="1" customWidth="1"/>
    <col min="15624" max="15624" width="13.453125" style="213" bestFit="1" customWidth="1"/>
    <col min="15625" max="15873" width="10.90625" style="213"/>
    <col min="15874" max="15874" width="11.453125" style="213" customWidth="1"/>
    <col min="15875" max="15875" width="13.453125" style="213" bestFit="1" customWidth="1"/>
    <col min="15876" max="15876" width="10.90625" style="213"/>
    <col min="15877" max="15877" width="11.453125" style="213" customWidth="1"/>
    <col min="15878" max="15878" width="10.90625" style="213"/>
    <col min="15879" max="15879" width="14" style="213" bestFit="1" customWidth="1"/>
    <col min="15880" max="15880" width="13.453125" style="213" bestFit="1" customWidth="1"/>
    <col min="15881" max="16129" width="10.90625" style="213"/>
    <col min="16130" max="16130" width="11.453125" style="213" customWidth="1"/>
    <col min="16131" max="16131" width="13.453125" style="213" bestFit="1" customWidth="1"/>
    <col min="16132" max="16132" width="10.90625" style="213"/>
    <col min="16133" max="16133" width="11.453125" style="213" customWidth="1"/>
    <col min="16134" max="16134" width="10.90625" style="213"/>
    <col min="16135" max="16135" width="14" style="213" bestFit="1" customWidth="1"/>
    <col min="16136" max="16136" width="13.453125" style="213" bestFit="1" customWidth="1"/>
    <col min="16137" max="16384" width="10.90625" style="213"/>
  </cols>
  <sheetData>
    <row r="2" spans="2:14" x14ac:dyDescent="0.35">
      <c r="B2" s="211" t="s">
        <v>232</v>
      </c>
    </row>
    <row r="3" spans="2:14" ht="13" x14ac:dyDescent="0.3">
      <c r="C3" s="215" t="s">
        <v>233</v>
      </c>
      <c r="D3" s="216"/>
      <c r="E3" s="217"/>
      <c r="F3" s="216"/>
      <c r="G3" s="215"/>
      <c r="H3" s="215"/>
      <c r="I3" s="216"/>
    </row>
    <row r="4" spans="2:14" x14ac:dyDescent="0.35">
      <c r="B4" s="214" t="s">
        <v>234</v>
      </c>
    </row>
    <row r="6" spans="2:14" x14ac:dyDescent="0.35">
      <c r="B6" s="214" t="s">
        <v>235</v>
      </c>
      <c r="C6" s="218">
        <f>'S5 -Outil - Charges'!I19</f>
        <v>131170.79698787784</v>
      </c>
    </row>
    <row r="7" spans="2:14" x14ac:dyDescent="0.35">
      <c r="B7" s="214" t="s">
        <v>236</v>
      </c>
      <c r="C7" s="218">
        <f>'S5 -Outil - Charges'!I20</f>
        <v>34236.889721805994</v>
      </c>
    </row>
    <row r="8" spans="2:14" x14ac:dyDescent="0.35">
      <c r="B8" s="214" t="s">
        <v>237</v>
      </c>
      <c r="C8" s="218">
        <f>'S5 -Outil - Charges'!I21</f>
        <v>26649.970824027139</v>
      </c>
    </row>
    <row r="9" spans="2:14" x14ac:dyDescent="0.35">
      <c r="B9" s="214" t="s">
        <v>238</v>
      </c>
      <c r="C9" s="219">
        <f>0.04*C6</f>
        <v>5246.8318795151135</v>
      </c>
      <c r="I9" s="216" t="s">
        <v>239</v>
      </c>
      <c r="J9" s="216"/>
      <c r="K9" s="216"/>
      <c r="L9" s="216"/>
      <c r="M9" s="216"/>
      <c r="N9" s="220"/>
    </row>
    <row r="10" spans="2:14" x14ac:dyDescent="0.35">
      <c r="J10" s="220"/>
      <c r="K10" s="220"/>
      <c r="L10" s="220"/>
      <c r="M10" s="220"/>
    </row>
    <row r="11" spans="2:14" x14ac:dyDescent="0.35">
      <c r="B11" s="214" t="s">
        <v>240</v>
      </c>
      <c r="C11" s="221">
        <f>1/4.3333/3</f>
        <v>7.6923668643604948E-2</v>
      </c>
      <c r="D11" s="213" t="s">
        <v>241</v>
      </c>
    </row>
    <row r="12" spans="2:14" ht="15" thickBot="1" x14ac:dyDescent="0.4"/>
    <row r="13" spans="2:14" x14ac:dyDescent="0.35">
      <c r="D13" s="222"/>
      <c r="E13" s="223"/>
      <c r="F13" s="224"/>
      <c r="G13" s="225"/>
      <c r="H13" s="225"/>
      <c r="I13" s="224"/>
      <c r="J13" s="224"/>
      <c r="K13" s="226"/>
    </row>
    <row r="14" spans="2:14" x14ac:dyDescent="0.35">
      <c r="D14" s="227"/>
      <c r="G14" s="228" t="s">
        <v>242</v>
      </c>
      <c r="H14" s="229" t="s">
        <v>243</v>
      </c>
      <c r="K14" s="230"/>
    </row>
    <row r="15" spans="2:14" x14ac:dyDescent="0.35">
      <c r="D15" s="227"/>
      <c r="G15" s="231"/>
      <c r="H15" s="232"/>
      <c r="K15" s="230"/>
    </row>
    <row r="16" spans="2:14" x14ac:dyDescent="0.35">
      <c r="D16" s="227"/>
      <c r="E16" s="214" t="s">
        <v>244</v>
      </c>
      <c r="G16" s="233">
        <f>-(G29+G30+G31-H16-H17-H18)</f>
        <v>-89477.395503206615</v>
      </c>
      <c r="H16" s="234">
        <f>(C6-C7)*C11</f>
        <v>7456.5117628652415</v>
      </c>
      <c r="J16" s="213" t="s">
        <v>240</v>
      </c>
      <c r="K16" s="230"/>
    </row>
    <row r="17" spans="3:11" x14ac:dyDescent="0.35">
      <c r="C17" s="231"/>
      <c r="D17" s="227"/>
      <c r="G17" s="231"/>
      <c r="H17" s="234">
        <f>G30+C7</f>
        <v>60886.860545833129</v>
      </c>
      <c r="J17" s="213" t="s">
        <v>245</v>
      </c>
      <c r="K17" s="230"/>
    </row>
    <row r="18" spans="3:11" x14ac:dyDescent="0.35">
      <c r="C18" s="231"/>
      <c r="D18" s="227"/>
      <c r="G18" s="231"/>
      <c r="H18" s="234">
        <f>G31</f>
        <v>5246.8318795151135</v>
      </c>
      <c r="J18" s="213" t="s">
        <v>246</v>
      </c>
      <c r="K18" s="230"/>
    </row>
    <row r="19" spans="3:11" x14ac:dyDescent="0.35">
      <c r="D19" s="227"/>
      <c r="G19" s="231"/>
      <c r="H19" s="232"/>
      <c r="K19" s="230"/>
    </row>
    <row r="20" spans="3:11" x14ac:dyDescent="0.35">
      <c r="D20" s="227"/>
      <c r="G20" s="231"/>
      <c r="H20" s="232"/>
      <c r="K20" s="230"/>
    </row>
    <row r="21" spans="3:11" x14ac:dyDescent="0.35">
      <c r="D21" s="227"/>
      <c r="G21" s="231"/>
      <c r="H21" s="232"/>
      <c r="K21" s="230"/>
    </row>
    <row r="22" spans="3:11" x14ac:dyDescent="0.35">
      <c r="D22" s="227"/>
      <c r="G22" s="231"/>
      <c r="H22" s="232"/>
      <c r="K22" s="230"/>
    </row>
    <row r="23" spans="3:11" x14ac:dyDescent="0.35">
      <c r="D23" s="227"/>
      <c r="G23" s="231"/>
      <c r="H23" s="232"/>
      <c r="K23" s="230"/>
    </row>
    <row r="24" spans="3:11" x14ac:dyDescent="0.35">
      <c r="D24" s="227"/>
      <c r="G24" s="231"/>
      <c r="H24" s="232"/>
      <c r="K24" s="230"/>
    </row>
    <row r="25" spans="3:11" x14ac:dyDescent="0.35">
      <c r="D25" s="227"/>
      <c r="G25" s="231"/>
      <c r="H25" s="232"/>
      <c r="K25" s="230"/>
    </row>
    <row r="26" spans="3:11" x14ac:dyDescent="0.35">
      <c r="D26" s="227"/>
      <c r="G26" s="231"/>
      <c r="H26" s="232"/>
      <c r="K26" s="230"/>
    </row>
    <row r="27" spans="3:11" x14ac:dyDescent="0.35">
      <c r="D27" s="227"/>
      <c r="E27" s="235"/>
      <c r="F27" s="236"/>
      <c r="G27" s="237"/>
      <c r="H27" s="238"/>
      <c r="I27" s="236"/>
      <c r="J27" s="236"/>
      <c r="K27" s="239"/>
    </row>
    <row r="28" spans="3:11" x14ac:dyDescent="0.35">
      <c r="D28" s="227"/>
      <c r="G28" s="231"/>
      <c r="H28" s="232"/>
      <c r="K28" s="230"/>
    </row>
    <row r="29" spans="3:11" x14ac:dyDescent="0.35">
      <c r="D29" s="227"/>
      <c r="E29" s="214" t="s">
        <v>247</v>
      </c>
      <c r="G29" s="233">
        <f>C6</f>
        <v>131170.79698787784</v>
      </c>
      <c r="H29" s="232"/>
      <c r="K29" s="230"/>
    </row>
    <row r="30" spans="3:11" x14ac:dyDescent="0.35">
      <c r="D30" s="227"/>
      <c r="E30" s="214" t="s">
        <v>248</v>
      </c>
      <c r="G30" s="233">
        <f>C8</f>
        <v>26649.970824027139</v>
      </c>
      <c r="H30" s="232"/>
      <c r="K30" s="230"/>
    </row>
    <row r="31" spans="3:11" x14ac:dyDescent="0.35">
      <c r="D31" s="227"/>
      <c r="E31" s="214" t="s">
        <v>249</v>
      </c>
      <c r="G31" s="233">
        <f>C9</f>
        <v>5246.8318795151135</v>
      </c>
      <c r="H31" s="232"/>
      <c r="K31" s="230"/>
    </row>
    <row r="32" spans="3:11" x14ac:dyDescent="0.35">
      <c r="D32" s="227"/>
      <c r="G32" s="231"/>
      <c r="H32" s="232"/>
      <c r="K32" s="230"/>
    </row>
    <row r="33" spans="4:11" x14ac:dyDescent="0.35">
      <c r="D33" s="227"/>
      <c r="G33" s="231"/>
      <c r="H33" s="232"/>
      <c r="K33" s="230"/>
    </row>
    <row r="34" spans="4:11" x14ac:dyDescent="0.35">
      <c r="D34" s="227"/>
      <c r="G34" s="231"/>
      <c r="H34" s="231"/>
      <c r="K34" s="230"/>
    </row>
    <row r="35" spans="4:11" ht="15" thickBot="1" x14ac:dyDescent="0.4">
      <c r="D35" s="240"/>
      <c r="E35" s="241"/>
      <c r="F35" s="242"/>
      <c r="G35" s="243">
        <f>SUM(G16:G31)</f>
        <v>73590.20418821348</v>
      </c>
      <c r="H35" s="243">
        <f>SUM(H16:H31)</f>
        <v>73590.20418821348</v>
      </c>
      <c r="I35" s="242"/>
      <c r="J35" s="242"/>
      <c r="K35" s="244"/>
    </row>
  </sheetData>
  <sheetProtection sheet="1" objects="1" scenarios="1" formatCells="1" formatColumns="0" formatRows="0" insertColumns="1" insertRows="1" insertHyperlinks="1" deleteColumns="1" deleteRows="1" selectLockedCells="0" selectUnlockedCells="0" sort="0" autoFilter="0" pivotTables="0"/>
  <pageMargins left="0.78740157480314965" right="0.78740157480314965" top="0.98425196850393704" bottom="0.98425196850393704" header="0.51181102362204722" footer="0.51181102362204722"/>
  <pageSetup scale="56"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D1A7-088A-41B9-B711-2548D592658E}">
  <sheetPr>
    <pageSetUpPr fitToPage="1"/>
  </sheetPr>
  <dimension ref="A1:H102"/>
  <sheetViews>
    <sheetView topLeftCell="A88" workbookViewId="0">
      <selection activeCell="C9" sqref="C9"/>
    </sheetView>
  </sheetViews>
  <sheetFormatPr baseColWidth="10" defaultRowHeight="14.5" x14ac:dyDescent="0.35"/>
  <cols>
    <col min="1" max="1" width="47.36328125" customWidth="1"/>
    <col min="2" max="3" width="14.36328125" bestFit="1" customWidth="1"/>
    <col min="6" max="6" width="33.453125" customWidth="1"/>
    <col min="7" max="7" width="17.453125" customWidth="1"/>
    <col min="8" max="8" width="20" customWidth="1"/>
  </cols>
  <sheetData>
    <row r="1" spans="1:5" ht="15" thickBot="1" x14ac:dyDescent="0.4">
      <c r="A1" t="s">
        <v>201</v>
      </c>
      <c r="D1" s="25">
        <v>0.05</v>
      </c>
      <c r="E1" s="369">
        <v>9.9750000000000005E-2</v>
      </c>
    </row>
    <row r="2" spans="1:5" x14ac:dyDescent="0.35">
      <c r="A2" s="370" t="s">
        <v>622</v>
      </c>
      <c r="B2" s="371" t="s">
        <v>623</v>
      </c>
      <c r="C2" s="372" t="s">
        <v>624</v>
      </c>
    </row>
    <row r="3" spans="1:5" x14ac:dyDescent="0.35">
      <c r="A3" s="373" t="s">
        <v>625</v>
      </c>
      <c r="B3" s="374">
        <f>C6+C5+C4</f>
        <v>2589275.9880225002</v>
      </c>
      <c r="C3" s="375"/>
    </row>
    <row r="4" spans="1:5" x14ac:dyDescent="0.35">
      <c r="A4" s="373" t="s">
        <v>626</v>
      </c>
      <c r="B4" s="374"/>
      <c r="C4" s="375">
        <f>C6*D1</f>
        <v>112601.69550000002</v>
      </c>
    </row>
    <row r="5" spans="1:5" x14ac:dyDescent="0.35">
      <c r="A5" s="373" t="s">
        <v>627</v>
      </c>
      <c r="B5" s="374"/>
      <c r="C5" s="375">
        <f>C6*E1</f>
        <v>224640.38252250003</v>
      </c>
    </row>
    <row r="6" spans="1:5" ht="15" thickBot="1" x14ac:dyDescent="0.4">
      <c r="A6" s="376" t="s">
        <v>628</v>
      </c>
      <c r="B6" s="377"/>
      <c r="C6" s="378">
        <f>'S5 -Outil - Charges'!B5</f>
        <v>2252033.91</v>
      </c>
      <c r="D6" t="s">
        <v>629</v>
      </c>
    </row>
    <row r="7" spans="1:5" ht="17.399999999999999" customHeight="1" thickBot="1" x14ac:dyDescent="0.4"/>
    <row r="8" spans="1:5" x14ac:dyDescent="0.35">
      <c r="A8" s="379" t="s">
        <v>630</v>
      </c>
      <c r="B8" s="380">
        <f>C9</f>
        <v>1683029.3922146251</v>
      </c>
      <c r="C8" s="381"/>
    </row>
    <row r="9" spans="1:5" ht="15" thickBot="1" x14ac:dyDescent="0.4">
      <c r="A9" s="376" t="s">
        <v>625</v>
      </c>
      <c r="B9" s="377"/>
      <c r="C9" s="382">
        <f>B3*D9</f>
        <v>1683029.3922146251</v>
      </c>
      <c r="D9" s="26">
        <v>0.65</v>
      </c>
    </row>
    <row r="10" spans="1:5" ht="16.25" customHeight="1" thickBot="1" x14ac:dyDescent="0.4"/>
    <row r="11" spans="1:5" x14ac:dyDescent="0.35">
      <c r="A11" s="379" t="s">
        <v>631</v>
      </c>
      <c r="B11" s="383"/>
      <c r="C11" s="381"/>
      <c r="D11" s="187" t="s">
        <v>632</v>
      </c>
    </row>
    <row r="12" spans="1:5" x14ac:dyDescent="0.35">
      <c r="A12" s="373" t="s">
        <v>633</v>
      </c>
      <c r="B12" s="384"/>
      <c r="C12" s="375"/>
    </row>
    <row r="13" spans="1:5" x14ac:dyDescent="0.35">
      <c r="A13" s="373" t="s">
        <v>634</v>
      </c>
      <c r="B13" s="374">
        <f>(B11+B12)*D1</f>
        <v>0</v>
      </c>
      <c r="C13" s="375"/>
    </row>
    <row r="14" spans="1:5" x14ac:dyDescent="0.35">
      <c r="A14" s="373" t="s">
        <v>635</v>
      </c>
      <c r="B14" s="374">
        <f>(B11+B12)*E1</f>
        <v>0</v>
      </c>
      <c r="C14" s="375"/>
    </row>
    <row r="15" spans="1:5" x14ac:dyDescent="0.35">
      <c r="A15" s="373" t="s">
        <v>210</v>
      </c>
      <c r="B15" s="374"/>
      <c r="C15" s="385">
        <f>D15*(B11+B12+B13+B14)</f>
        <v>0</v>
      </c>
      <c r="D15" s="26">
        <v>0.5</v>
      </c>
    </row>
    <row r="16" spans="1:5" ht="15" thickBot="1" x14ac:dyDescent="0.4">
      <c r="A16" s="376" t="s">
        <v>630</v>
      </c>
      <c r="B16" s="386"/>
      <c r="C16" s="387">
        <f>D16*(B11+B12+B13+B14)</f>
        <v>0</v>
      </c>
      <c r="D16" s="26">
        <v>0.5</v>
      </c>
    </row>
    <row r="18" spans="1:4" ht="15" thickBot="1" x14ac:dyDescent="0.4">
      <c r="A18" s="19" t="s">
        <v>636</v>
      </c>
    </row>
    <row r="19" spans="1:4" x14ac:dyDescent="0.35">
      <c r="A19" s="379" t="str">
        <f>'S5 -Outil - Charges'!A28</f>
        <v>Téléphonie et système de communication</v>
      </c>
      <c r="B19" s="388">
        <f>'S5 -Outil - Charges'!B33</f>
        <v>2250</v>
      </c>
      <c r="C19" s="389"/>
    </row>
    <row r="20" spans="1:4" x14ac:dyDescent="0.35">
      <c r="A20" s="373" t="str">
        <f>'S5 -Outil - Charges'!A36</f>
        <v>Électricité (même valeur pour tous) - Dépenses fixes (facture équilibrée)</v>
      </c>
      <c r="B20" s="390">
        <f>'S5 -Outil - Charges'!D37</f>
        <v>18500</v>
      </c>
      <c r="C20" s="385"/>
    </row>
    <row r="21" spans="1:4" x14ac:dyDescent="0.35">
      <c r="A21" s="373" t="str">
        <f>'S5 -Outil - Charges'!A41</f>
        <v>Frais d'entretien</v>
      </c>
      <c r="B21" s="390">
        <f>'S5 -Outil - Charges'!D50</f>
        <v>189537.33285896419</v>
      </c>
      <c r="C21" s="385"/>
    </row>
    <row r="22" spans="1:4" x14ac:dyDescent="0.35">
      <c r="A22" s="391" t="str">
        <f>'S5 -Outil - Charges'!A62</f>
        <v>Taxes municipales:</v>
      </c>
      <c r="B22" s="390">
        <f>'S5 -Outil - Charges'!D64</f>
        <v>10907.722134733091</v>
      </c>
      <c r="C22" s="385"/>
    </row>
    <row r="23" spans="1:4" x14ac:dyDescent="0.35">
      <c r="A23" s="373" t="str">
        <f>'S5 -Outil - Charges'!F28</f>
        <v>Frais de livraison aux clients:</v>
      </c>
      <c r="B23" s="390">
        <f>'S5 -Outil - Charges'!J40</f>
        <v>77107.5</v>
      </c>
      <c r="C23" s="392"/>
      <c r="D23" s="50"/>
    </row>
    <row r="24" spans="1:4" x14ac:dyDescent="0.35">
      <c r="A24" s="373" t="str">
        <f>'S5 -Outil - Charges'!F45</f>
        <v>Loyer</v>
      </c>
      <c r="B24" s="390">
        <f>'S5 -Outil - Charges'!G47</f>
        <v>94242.719244093911</v>
      </c>
      <c r="C24" s="393"/>
      <c r="D24" s="50"/>
    </row>
    <row r="25" spans="1:4" x14ac:dyDescent="0.35">
      <c r="A25" s="373" t="str">
        <f>'S5 -Outil - Charges'!F50</f>
        <v>Publicité</v>
      </c>
      <c r="B25" s="390">
        <f>'S5 -Outil - Charges'!G55</f>
        <v>276244.06920000003</v>
      </c>
      <c r="C25" s="393"/>
    </row>
    <row r="26" spans="1:4" x14ac:dyDescent="0.35">
      <c r="A26" s="373" t="str">
        <f>'S5 -Outil - Charges'!F59</f>
        <v>Fournitures de bureau:</v>
      </c>
      <c r="B26" s="390">
        <f>'S5 -Outil - Charges'!G63</f>
        <v>1437.4091168091168</v>
      </c>
      <c r="C26" s="393"/>
    </row>
    <row r="27" spans="1:4" x14ac:dyDescent="0.35">
      <c r="A27" s="373" t="str">
        <f>'S5 -Outil - Charges'!F82</f>
        <v>Frais de site électronique</v>
      </c>
      <c r="B27" s="390"/>
      <c r="C27" s="393"/>
    </row>
    <row r="28" spans="1:4" x14ac:dyDescent="0.35">
      <c r="A28" s="373" t="str">
        <f>'S5 -Outil - Charges'!F90</f>
        <v>Frais de transactions via internet</v>
      </c>
      <c r="B28" s="390">
        <f>'S5 -Outil - Charges'!G92</f>
        <v>0</v>
      </c>
      <c r="C28" s="393"/>
    </row>
    <row r="29" spans="1:4" x14ac:dyDescent="0.35">
      <c r="A29" s="373" t="str">
        <f>'S5 -Outil - Charges'!F75</f>
        <v>Honoraires professionnelles</v>
      </c>
      <c r="B29" s="390">
        <f>'S5 -Outil - Charges'!G77</f>
        <v>7882.1186850000004</v>
      </c>
      <c r="C29" s="393"/>
    </row>
    <row r="30" spans="1:4" x14ac:dyDescent="0.35">
      <c r="A30" s="373" t="s">
        <v>634</v>
      </c>
      <c r="B30" s="68">
        <f>SUM(B19:B29)*D1</f>
        <v>33905.443561980021</v>
      </c>
      <c r="C30" s="393"/>
    </row>
    <row r="31" spans="1:4" x14ac:dyDescent="0.35">
      <c r="A31" s="373" t="s">
        <v>635</v>
      </c>
      <c r="B31" s="68">
        <f>SUM(B19:B29)*E1</f>
        <v>67641.359906150145</v>
      </c>
      <c r="C31" s="393"/>
    </row>
    <row r="32" spans="1:4" ht="15" thickBot="1" x14ac:dyDescent="0.4">
      <c r="A32" s="376" t="s">
        <v>630</v>
      </c>
      <c r="B32" s="386"/>
      <c r="C32" s="387">
        <f>SUM(B19:B31)</f>
        <v>779655.67470773053</v>
      </c>
    </row>
    <row r="34" spans="1:5" ht="15" thickBot="1" x14ac:dyDescent="0.4">
      <c r="A34" s="19" t="s">
        <v>637</v>
      </c>
    </row>
    <row r="35" spans="1:5" x14ac:dyDescent="0.35">
      <c r="A35" s="379" t="str">
        <f>'S5 -Outil - Charges'!A53</f>
        <v>Assurances:</v>
      </c>
      <c r="B35" s="394">
        <f>'S5 -Outil - Charges'!D59</f>
        <v>2478.8391069258923</v>
      </c>
      <c r="C35" s="395"/>
    </row>
    <row r="36" spans="1:5" x14ac:dyDescent="0.35">
      <c r="A36" s="373" t="str">
        <f>'S5 -Outil - Charges'!F67</f>
        <v>Frais de banque (pas taxables)</v>
      </c>
      <c r="B36" s="396">
        <f>'S5 -Outil - Charges'!G70</f>
        <v>118.68900000000001</v>
      </c>
      <c r="C36" s="393"/>
    </row>
    <row r="37" spans="1:5" ht="15" thickBot="1" x14ac:dyDescent="0.4">
      <c r="A37" s="376" t="s">
        <v>630</v>
      </c>
      <c r="B37" s="386"/>
      <c r="C37" s="397">
        <f>SUM(B35:B36)</f>
        <v>2597.5281069258922</v>
      </c>
      <c r="D37" s="95"/>
    </row>
    <row r="39" spans="1:5" ht="15" thickBot="1" x14ac:dyDescent="0.4">
      <c r="A39" s="19" t="s">
        <v>638</v>
      </c>
    </row>
    <row r="40" spans="1:5" x14ac:dyDescent="0.35">
      <c r="A40" s="379" t="s">
        <v>639</v>
      </c>
      <c r="B40" s="398">
        <f>'S5 -Emprunt'!C10+'S5 -Emprunt'!C11+'S5 -Emprunt'!C12</f>
        <v>1090.8075711401993</v>
      </c>
      <c r="C40" s="395"/>
    </row>
    <row r="41" spans="1:5" x14ac:dyDescent="0.35">
      <c r="A41" s="373" t="s">
        <v>640</v>
      </c>
      <c r="B41" s="399">
        <f>'S5 -Emprunt'!D10+'S5 -Emprunt'!D11+'S5 -Emprunt'!D12</f>
        <v>883.9140968959191</v>
      </c>
      <c r="C41" s="393"/>
    </row>
    <row r="42" spans="1:5" ht="15" thickBot="1" x14ac:dyDescent="0.4">
      <c r="A42" s="376" t="s">
        <v>630</v>
      </c>
      <c r="B42" s="386"/>
      <c r="C42" s="400">
        <f>SUM(B40:B41)</f>
        <v>1974.7216680361184</v>
      </c>
    </row>
    <row r="43" spans="1:5" x14ac:dyDescent="0.35">
      <c r="E43">
        <f>50000*30.2%</f>
        <v>15100</v>
      </c>
    </row>
    <row r="44" spans="1:5" ht="15" thickBot="1" x14ac:dyDescent="0.4">
      <c r="A44" s="19" t="s">
        <v>641</v>
      </c>
      <c r="E44">
        <f>10*21103</f>
        <v>211030</v>
      </c>
    </row>
    <row r="45" spans="1:5" x14ac:dyDescent="0.35">
      <c r="A45" s="379" t="s">
        <v>214</v>
      </c>
      <c r="B45" s="398">
        <f>'S5 -Emprunt'!K10+'S5 -Emprunt'!K11+'S5 -Emprunt'!K12</f>
        <v>2244.7791178633397</v>
      </c>
      <c r="C45" s="395"/>
    </row>
    <row r="46" spans="1:5" x14ac:dyDescent="0.35">
      <c r="A46" s="373" t="s">
        <v>640</v>
      </c>
      <c r="B46" s="399">
        <f>'S5 -Emprunt'!L10+'S5 -Emprunt'!L11+'S5 -Emprunt'!L12</f>
        <v>3781.5720004924433</v>
      </c>
      <c r="C46" s="393"/>
    </row>
    <row r="47" spans="1:5" ht="15" thickBot="1" x14ac:dyDescent="0.4">
      <c r="A47" s="376" t="s">
        <v>630</v>
      </c>
      <c r="B47" s="386"/>
      <c r="C47" s="400">
        <f>SUM(B45:B46)</f>
        <v>6026.351118355783</v>
      </c>
    </row>
    <row r="49" spans="1:3" x14ac:dyDescent="0.35">
      <c r="A49" s="269" t="s">
        <v>642</v>
      </c>
      <c r="B49" s="401" t="s">
        <v>643</v>
      </c>
    </row>
    <row r="51" spans="1:3" x14ac:dyDescent="0.35">
      <c r="A51" s="269" t="s">
        <v>644</v>
      </c>
    </row>
    <row r="52" spans="1:3" ht="15" thickBot="1" x14ac:dyDescent="0.4"/>
    <row r="53" spans="1:3" x14ac:dyDescent="0.35">
      <c r="A53" s="379" t="str">
        <f>'S5 -Outil - Charges'!A70</f>
        <v>Terrain</v>
      </c>
      <c r="B53" s="402">
        <f>'S5 -Outil - Charges'!D70</f>
        <v>0</v>
      </c>
      <c r="C53" s="372"/>
    </row>
    <row r="54" spans="1:3" x14ac:dyDescent="0.35">
      <c r="A54" s="403" t="s">
        <v>645</v>
      </c>
      <c r="B54" s="404">
        <f>'S5 -Outil - Charges'!D71</f>
        <v>0</v>
      </c>
      <c r="C54" s="405"/>
    </row>
    <row r="55" spans="1:3" x14ac:dyDescent="0.35">
      <c r="A55" s="403" t="s">
        <v>646</v>
      </c>
      <c r="B55" s="404"/>
      <c r="C55" s="406">
        <f>B54</f>
        <v>0</v>
      </c>
    </row>
    <row r="56" spans="1:3" x14ac:dyDescent="0.35">
      <c r="A56" s="373" t="s">
        <v>647</v>
      </c>
      <c r="B56" s="127">
        <f>'S5 -Outil - Charges'!D72</f>
        <v>17450</v>
      </c>
      <c r="C56" s="407"/>
    </row>
    <row r="57" spans="1:3" x14ac:dyDescent="0.35">
      <c r="A57" s="373" t="s">
        <v>648</v>
      </c>
      <c r="B57" s="127"/>
      <c r="C57" s="408">
        <f>B56</f>
        <v>17450</v>
      </c>
    </row>
    <row r="58" spans="1:3" x14ac:dyDescent="0.35">
      <c r="A58" s="403" t="s">
        <v>649</v>
      </c>
      <c r="B58" s="404">
        <f>'S5 -Outil - Charges'!D73</f>
        <v>0</v>
      </c>
      <c r="C58" s="405"/>
    </row>
    <row r="59" spans="1:3" x14ac:dyDescent="0.35">
      <c r="A59" s="403" t="s">
        <v>650</v>
      </c>
      <c r="B59" s="404"/>
      <c r="C59" s="406">
        <f>B58</f>
        <v>0</v>
      </c>
    </row>
    <row r="60" spans="1:3" x14ac:dyDescent="0.35">
      <c r="A60" s="373" t="s">
        <v>651</v>
      </c>
      <c r="B60" s="127">
        <f>'S5 -Outil - Charges'!D74</f>
        <v>1575</v>
      </c>
      <c r="C60" s="407"/>
    </row>
    <row r="61" spans="1:3" x14ac:dyDescent="0.35">
      <c r="A61" s="373" t="s">
        <v>652</v>
      </c>
      <c r="B61" s="127"/>
      <c r="C61" s="408">
        <f>B60</f>
        <v>1575</v>
      </c>
    </row>
    <row r="62" spans="1:3" x14ac:dyDescent="0.35">
      <c r="A62" s="403" t="s">
        <v>653</v>
      </c>
      <c r="B62" s="404">
        <f>'S5 -Outil - Charges'!D75</f>
        <v>250</v>
      </c>
      <c r="C62" s="405"/>
    </row>
    <row r="63" spans="1:3" x14ac:dyDescent="0.35">
      <c r="A63" s="403" t="s">
        <v>654</v>
      </c>
      <c r="B63" s="404"/>
      <c r="C63" s="406">
        <f>B62</f>
        <v>250</v>
      </c>
    </row>
    <row r="64" spans="1:3" x14ac:dyDescent="0.35">
      <c r="A64" s="373" t="s">
        <v>655</v>
      </c>
      <c r="B64" s="127">
        <f>'S5 -Outil - Charges'!D76</f>
        <v>1735</v>
      </c>
      <c r="C64" s="407"/>
    </row>
    <row r="65" spans="1:8" x14ac:dyDescent="0.35">
      <c r="A65" s="373" t="s">
        <v>656</v>
      </c>
      <c r="B65" s="127"/>
      <c r="C65" s="408">
        <f>B64</f>
        <v>1735</v>
      </c>
    </row>
    <row r="66" spans="1:8" x14ac:dyDescent="0.35">
      <c r="A66" s="403" t="s">
        <v>657</v>
      </c>
      <c r="B66" s="404">
        <f>'S5 -Outil - Charges'!D77</f>
        <v>3000</v>
      </c>
      <c r="C66" s="405"/>
    </row>
    <row r="67" spans="1:8" x14ac:dyDescent="0.35">
      <c r="A67" s="403" t="s">
        <v>658</v>
      </c>
      <c r="B67" s="404"/>
      <c r="C67" s="406">
        <f>B66</f>
        <v>3000</v>
      </c>
    </row>
    <row r="68" spans="1:8" x14ac:dyDescent="0.35">
      <c r="A68" s="373" t="s">
        <v>659</v>
      </c>
      <c r="B68" s="127">
        <f>'S5 -Outil - Charges'!D78</f>
        <v>5256.5727312254121</v>
      </c>
      <c r="C68" s="407"/>
    </row>
    <row r="69" spans="1:8" x14ac:dyDescent="0.35">
      <c r="A69" s="373" t="s">
        <v>660</v>
      </c>
      <c r="B69" s="62"/>
      <c r="C69" s="408">
        <f>B68</f>
        <v>5256.5727312254121</v>
      </c>
    </row>
    <row r="70" spans="1:8" x14ac:dyDescent="0.35">
      <c r="A70" s="403" t="s">
        <v>661</v>
      </c>
      <c r="B70" s="404">
        <f>3000*25%</f>
        <v>750</v>
      </c>
      <c r="C70" s="406"/>
    </row>
    <row r="71" spans="1:8" ht="15" thickBot="1" x14ac:dyDescent="0.4">
      <c r="A71" s="409" t="s">
        <v>662</v>
      </c>
      <c r="B71" s="410"/>
      <c r="C71" s="411">
        <f>B70</f>
        <v>750</v>
      </c>
    </row>
    <row r="72" spans="1:8" x14ac:dyDescent="0.35">
      <c r="B72" s="41"/>
      <c r="C72" s="159"/>
    </row>
    <row r="73" spans="1:8" x14ac:dyDescent="0.35">
      <c r="A73" s="98" t="s">
        <v>663</v>
      </c>
    </row>
    <row r="75" spans="1:8" ht="15" thickBot="1" x14ac:dyDescent="0.4">
      <c r="A75" s="19" t="s">
        <v>664</v>
      </c>
      <c r="B75" s="412">
        <v>25000</v>
      </c>
    </row>
    <row r="76" spans="1:8" x14ac:dyDescent="0.35">
      <c r="A76" s="379" t="s">
        <v>665</v>
      </c>
      <c r="B76" s="413"/>
      <c r="C76" s="414">
        <f>D76*B75</f>
        <v>6250</v>
      </c>
      <c r="D76" s="26">
        <v>0.25</v>
      </c>
    </row>
    <row r="77" spans="1:8" ht="15" thickBot="1" x14ac:dyDescent="0.4">
      <c r="A77" s="376" t="s">
        <v>666</v>
      </c>
      <c r="B77" s="415">
        <f>C76</f>
        <v>6250</v>
      </c>
      <c r="C77" s="416"/>
    </row>
    <row r="79" spans="1:8" ht="15" thickBot="1" x14ac:dyDescent="0.4">
      <c r="A79" t="s">
        <v>667</v>
      </c>
      <c r="B79" s="85"/>
      <c r="F79" s="483" t="s">
        <v>728</v>
      </c>
      <c r="G79" s="61"/>
      <c r="H79" s="61"/>
    </row>
    <row r="80" spans="1:8" x14ac:dyDescent="0.35">
      <c r="A80" s="379" t="s">
        <v>279</v>
      </c>
      <c r="B80" s="380">
        <f>'S4 - Montage financier'!C3</f>
        <v>1453427.5</v>
      </c>
      <c r="C80" s="381"/>
      <c r="F80" s="484" t="s">
        <v>729</v>
      </c>
      <c r="G80">
        <f>'S5 -Outil - Charges'!B14</f>
        <v>10821</v>
      </c>
      <c r="H80" s="390"/>
    </row>
    <row r="81" spans="1:8" x14ac:dyDescent="0.35">
      <c r="A81" s="373" t="s">
        <v>209</v>
      </c>
      <c r="B81" s="374"/>
      <c r="C81" s="375">
        <f>B80</f>
        <v>1453427.5</v>
      </c>
      <c r="F81" s="484" t="str">
        <f>A82</f>
        <v>Stock de marchandises</v>
      </c>
      <c r="G81" s="390"/>
      <c r="H81" s="384"/>
    </row>
    <row r="82" spans="1:8" x14ac:dyDescent="0.35">
      <c r="A82" s="373" t="s">
        <v>209</v>
      </c>
      <c r="B82" s="374">
        <f>'S5 -Outil - Charges'!B14</f>
        <v>10821</v>
      </c>
      <c r="C82" s="375"/>
      <c r="F82" s="484" t="str">
        <f>A82</f>
        <v>Stock de marchandises</v>
      </c>
      <c r="G82" s="384"/>
      <c r="H82" s="390"/>
    </row>
    <row r="83" spans="1:8" ht="15" thickBot="1" x14ac:dyDescent="0.4">
      <c r="A83" s="376" t="s">
        <v>286</v>
      </c>
      <c r="B83" s="377"/>
      <c r="C83" s="382">
        <f>B82</f>
        <v>10821</v>
      </c>
      <c r="F83" s="484" t="str">
        <f>A83</f>
        <v>Inventaire de fin</v>
      </c>
      <c r="G83" s="390"/>
      <c r="H83" s="384"/>
    </row>
    <row r="85" spans="1:8" ht="15" thickBot="1" x14ac:dyDescent="0.4">
      <c r="A85" t="s">
        <v>669</v>
      </c>
      <c r="B85" s="420" t="s">
        <v>670</v>
      </c>
    </row>
    <row r="86" spans="1:8" x14ac:dyDescent="0.35">
      <c r="A86" s="379" t="s">
        <v>640</v>
      </c>
      <c r="B86" s="371">
        <f>('S4 - Montage financier'!D2*11%)/4</f>
        <v>18425</v>
      </c>
      <c r="C86" s="395"/>
    </row>
    <row r="87" spans="1:8" ht="15" thickBot="1" x14ac:dyDescent="0.4">
      <c r="A87" s="376" t="s">
        <v>630</v>
      </c>
      <c r="B87" s="386"/>
      <c r="C87" s="419">
        <f>B86</f>
        <v>18425</v>
      </c>
    </row>
    <row r="89" spans="1:8" ht="15" thickBot="1" x14ac:dyDescent="0.4">
      <c r="A89" t="s">
        <v>671</v>
      </c>
    </row>
    <row r="90" spans="1:8" x14ac:dyDescent="0.35">
      <c r="A90" s="379" t="s">
        <v>630</v>
      </c>
      <c r="B90" s="487">
        <f>'S4 - Montage financier'!C2</f>
        <v>217650.768125</v>
      </c>
      <c r="C90" s="395"/>
    </row>
    <row r="91" spans="1:8" ht="15" thickBot="1" x14ac:dyDescent="0.4">
      <c r="A91" s="376" t="s">
        <v>672</v>
      </c>
      <c r="B91" s="386"/>
      <c r="C91" s="488">
        <f>B90</f>
        <v>217650.768125</v>
      </c>
    </row>
    <row r="93" spans="1:8" ht="15" thickBot="1" x14ac:dyDescent="0.4">
      <c r="A93" t="s">
        <v>673</v>
      </c>
    </row>
    <row r="94" spans="1:8" x14ac:dyDescent="0.35">
      <c r="A94" s="379" t="s">
        <v>674</v>
      </c>
      <c r="B94" s="371">
        <f>112602</f>
        <v>112602</v>
      </c>
      <c r="C94" s="372"/>
      <c r="D94" s="269" t="s">
        <v>730</v>
      </c>
    </row>
    <row r="95" spans="1:8" x14ac:dyDescent="0.35">
      <c r="A95" s="373" t="s">
        <v>675</v>
      </c>
      <c r="B95" s="62">
        <f>224640</f>
        <v>224640</v>
      </c>
      <c r="C95" s="407"/>
    </row>
    <row r="96" spans="1:8" x14ac:dyDescent="0.35">
      <c r="A96" s="373" t="s">
        <v>676</v>
      </c>
      <c r="B96" s="62"/>
      <c r="C96" s="489">
        <f>33937</f>
        <v>33937</v>
      </c>
    </row>
    <row r="97" spans="1:4" x14ac:dyDescent="0.35">
      <c r="A97" s="373" t="s">
        <v>677</v>
      </c>
      <c r="B97" s="62"/>
      <c r="C97" s="407">
        <f>67704</f>
        <v>67704</v>
      </c>
      <c r="D97" s="25"/>
    </row>
    <row r="98" spans="1:4" ht="15" thickBot="1" x14ac:dyDescent="0.4">
      <c r="A98" s="376" t="s">
        <v>678</v>
      </c>
      <c r="B98" s="490">
        <f>SUM(B94:B95)-SUM(C96:C97)</f>
        <v>235601</v>
      </c>
      <c r="C98" s="419"/>
    </row>
    <row r="100" spans="1:4" ht="15" thickBot="1" x14ac:dyDescent="0.4">
      <c r="A100" s="417" t="s">
        <v>668</v>
      </c>
      <c r="B100" s="418"/>
      <c r="C100" s="418"/>
    </row>
    <row r="101" spans="1:4" x14ac:dyDescent="0.35">
      <c r="A101" s="379" t="s">
        <v>207</v>
      </c>
      <c r="B101" s="371">
        <f>670000</f>
        <v>670000</v>
      </c>
      <c r="C101" s="395"/>
    </row>
    <row r="102" spans="1:4" ht="15" thickBot="1" x14ac:dyDescent="0.4">
      <c r="A102" s="376" t="s">
        <v>630</v>
      </c>
      <c r="B102" s="386"/>
      <c r="C102" s="419">
        <f>B101</f>
        <v>670000</v>
      </c>
    </row>
  </sheetData>
  <sheetProtection sheet="1" objects="1" scenarios="1" formatCells="1" formatColumns="0" formatRows="0" insertColumns="1" insertRows="1" insertHyperlinks="1" deleteColumns="1" deleteRows="1" selectLockedCells="0" selectUnlockedCells="0" sort="0" autoFilter="0" pivotTables="0"/>
  <pageMargins left="0.70866141732283472" right="0.70866141732283472" top="0.74803149606299213" bottom="0.74803149606299213" header="0.31496062992125984" footer="0.31496062992125984"/>
  <pageSetup scale="68" fitToHeight="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331E-CAAB-43ED-BB8A-58EF636E7043}">
  <dimension ref="A1:D44"/>
  <sheetViews>
    <sheetView topLeftCell="A3" zoomScale="82" workbookViewId="0">
      <selection activeCell="C43" sqref="C43"/>
    </sheetView>
  </sheetViews>
  <sheetFormatPr baseColWidth="10" defaultRowHeight="14.5" x14ac:dyDescent="0.35"/>
  <cols>
    <col min="1" max="1" width="37.7265625" bestFit="1" customWidth="1"/>
    <col min="2" max="2" width="13.81640625" bestFit="1" customWidth="1"/>
    <col min="3" max="3" width="12.08984375" customWidth="1"/>
    <col min="4" max="4" width="10" customWidth="1"/>
  </cols>
  <sheetData>
    <row r="1" spans="1:4" ht="15" thickBot="1" x14ac:dyDescent="0.4"/>
    <row r="2" spans="1:4" x14ac:dyDescent="0.35">
      <c r="B2" s="320" t="s">
        <v>752</v>
      </c>
      <c r="C2" s="499"/>
      <c r="D2" s="500"/>
    </row>
    <row r="3" spans="1:4" x14ac:dyDescent="0.35">
      <c r="B3" s="326" t="s">
        <v>753</v>
      </c>
      <c r="C3" s="501"/>
      <c r="D3" s="502"/>
    </row>
    <row r="4" spans="1:4" ht="15" thickBot="1" x14ac:dyDescent="0.4">
      <c r="B4" s="328" t="s">
        <v>754</v>
      </c>
      <c r="C4" s="503"/>
      <c r="D4" s="504"/>
    </row>
    <row r="7" spans="1:4" ht="16" x14ac:dyDescent="0.4">
      <c r="A7" s="505" t="s">
        <v>755</v>
      </c>
      <c r="B7" s="506" t="s">
        <v>756</v>
      </c>
      <c r="C7" s="506" t="s">
        <v>757</v>
      </c>
      <c r="D7" s="506" t="s">
        <v>758</v>
      </c>
    </row>
    <row r="8" spans="1:4" x14ac:dyDescent="0.35">
      <c r="A8" t="s">
        <v>628</v>
      </c>
      <c r="B8" s="507">
        <v>2252034</v>
      </c>
      <c r="C8" s="507">
        <v>2252034</v>
      </c>
      <c r="D8">
        <v>100</v>
      </c>
    </row>
    <row r="9" spans="1:4" x14ac:dyDescent="0.35">
      <c r="A9" t="s">
        <v>759</v>
      </c>
      <c r="B9" s="507">
        <v>2252034</v>
      </c>
      <c r="C9" s="507">
        <v>2252034</v>
      </c>
      <c r="D9">
        <v>100</v>
      </c>
    </row>
    <row r="10" spans="1:4" x14ac:dyDescent="0.35">
      <c r="A10" t="s">
        <v>760</v>
      </c>
      <c r="B10" s="507"/>
      <c r="C10" s="507"/>
    </row>
    <row r="11" spans="1:4" x14ac:dyDescent="0.35">
      <c r="A11" t="s">
        <v>279</v>
      </c>
      <c r="B11" s="507">
        <v>1453428</v>
      </c>
      <c r="C11" s="507">
        <v>1453428</v>
      </c>
      <c r="D11">
        <v>64.540000000000006</v>
      </c>
    </row>
    <row r="12" spans="1:4" x14ac:dyDescent="0.35">
      <c r="A12" t="s">
        <v>761</v>
      </c>
      <c r="B12" s="507">
        <v>-10821</v>
      </c>
      <c r="C12" s="507">
        <v>-10821</v>
      </c>
      <c r="D12">
        <v>-0.48</v>
      </c>
    </row>
    <row r="13" spans="1:4" x14ac:dyDescent="0.35">
      <c r="A13" t="s">
        <v>276</v>
      </c>
      <c r="B13" s="507">
        <v>1442607</v>
      </c>
      <c r="C13" s="507">
        <v>1442607</v>
      </c>
      <c r="D13">
        <v>64.06</v>
      </c>
    </row>
    <row r="14" spans="1:4" x14ac:dyDescent="0.35">
      <c r="A14" s="506" t="s">
        <v>762</v>
      </c>
      <c r="B14" s="508">
        <v>809427</v>
      </c>
      <c r="C14" s="508">
        <v>809427</v>
      </c>
      <c r="D14" s="506">
        <v>35.94</v>
      </c>
    </row>
    <row r="15" spans="1:4" ht="15" thickBot="1" x14ac:dyDescent="0.4">
      <c r="A15" s="509"/>
      <c r="B15" s="510"/>
      <c r="C15" s="510"/>
      <c r="D15" s="509"/>
    </row>
    <row r="16" spans="1:4" x14ac:dyDescent="0.35">
      <c r="A16" s="19"/>
      <c r="B16" s="511"/>
      <c r="C16" s="511"/>
      <c r="D16" s="19"/>
    </row>
    <row r="17" spans="1:4" x14ac:dyDescent="0.35">
      <c r="A17" s="19" t="s">
        <v>763</v>
      </c>
      <c r="B17" s="507"/>
      <c r="C17" s="507"/>
    </row>
    <row r="18" spans="1:4" x14ac:dyDescent="0.35">
      <c r="A18" t="s">
        <v>247</v>
      </c>
      <c r="B18" s="507">
        <v>131170.79999999999</v>
      </c>
      <c r="C18" s="507">
        <v>131170.79999999999</v>
      </c>
      <c r="D18">
        <v>5.82</v>
      </c>
    </row>
    <row r="19" spans="1:4" x14ac:dyDescent="0.35">
      <c r="A19" t="s">
        <v>248</v>
      </c>
      <c r="B19" s="507">
        <v>26649.97</v>
      </c>
      <c r="C19" s="507">
        <v>26649.97</v>
      </c>
      <c r="D19">
        <v>1.18</v>
      </c>
    </row>
    <row r="20" spans="1:4" x14ac:dyDescent="0.35">
      <c r="A20" t="s">
        <v>249</v>
      </c>
      <c r="B20" s="507">
        <v>5246.83</v>
      </c>
      <c r="C20" s="507">
        <v>5246.83</v>
      </c>
      <c r="D20">
        <v>0.23</v>
      </c>
    </row>
    <row r="21" spans="1:4" x14ac:dyDescent="0.35">
      <c r="A21" t="s">
        <v>298</v>
      </c>
      <c r="B21" s="507">
        <v>2250</v>
      </c>
      <c r="C21" s="507">
        <v>2250</v>
      </c>
      <c r="D21">
        <v>0.1</v>
      </c>
    </row>
    <row r="22" spans="1:4" x14ac:dyDescent="0.35">
      <c r="A22" t="s">
        <v>332</v>
      </c>
      <c r="B22" s="507">
        <v>276244</v>
      </c>
      <c r="C22" s="507">
        <v>276244</v>
      </c>
      <c r="D22">
        <v>12.27</v>
      </c>
    </row>
    <row r="23" spans="1:4" x14ac:dyDescent="0.35">
      <c r="A23" t="s">
        <v>746</v>
      </c>
      <c r="B23" s="507">
        <v>77108</v>
      </c>
      <c r="C23" s="507">
        <v>77108</v>
      </c>
      <c r="D23">
        <v>3.42</v>
      </c>
    </row>
    <row r="24" spans="1:4" x14ac:dyDescent="0.35">
      <c r="A24" t="s">
        <v>172</v>
      </c>
      <c r="B24" s="507">
        <v>94243</v>
      </c>
      <c r="C24" s="507">
        <v>94243</v>
      </c>
      <c r="D24">
        <v>4.18</v>
      </c>
    </row>
    <row r="25" spans="1:4" x14ac:dyDescent="0.35">
      <c r="A25" t="s">
        <v>764</v>
      </c>
      <c r="B25" s="507">
        <v>18500</v>
      </c>
      <c r="C25" s="507">
        <v>18500</v>
      </c>
      <c r="D25">
        <v>0.82</v>
      </c>
    </row>
    <row r="26" spans="1:4" x14ac:dyDescent="0.35">
      <c r="A26" t="s">
        <v>765</v>
      </c>
      <c r="B26" s="507">
        <v>2479</v>
      </c>
      <c r="C26" s="507">
        <v>2479</v>
      </c>
      <c r="D26">
        <v>0.11</v>
      </c>
    </row>
    <row r="27" spans="1:4" x14ac:dyDescent="0.35">
      <c r="A27" t="s">
        <v>766</v>
      </c>
      <c r="B27" s="507">
        <v>7882</v>
      </c>
      <c r="C27" s="507">
        <v>7882</v>
      </c>
      <c r="D27">
        <v>0.35</v>
      </c>
    </row>
    <row r="28" spans="1:4" x14ac:dyDescent="0.35">
      <c r="A28" t="s">
        <v>767</v>
      </c>
      <c r="B28" s="507">
        <v>1437</v>
      </c>
      <c r="C28" s="507">
        <v>1437</v>
      </c>
      <c r="D28">
        <v>0.06</v>
      </c>
    </row>
    <row r="29" spans="1:4" x14ac:dyDescent="0.35">
      <c r="A29" t="s">
        <v>768</v>
      </c>
      <c r="B29" s="507">
        <v>10908</v>
      </c>
      <c r="C29" s="507">
        <v>10908</v>
      </c>
      <c r="D29">
        <v>0.48</v>
      </c>
    </row>
    <row r="30" spans="1:4" x14ac:dyDescent="0.35">
      <c r="A30" t="s">
        <v>769</v>
      </c>
      <c r="B30" s="507">
        <v>190163</v>
      </c>
      <c r="C30" s="507">
        <v>190163</v>
      </c>
      <c r="D30">
        <v>8.44</v>
      </c>
    </row>
    <row r="31" spans="1:4" x14ac:dyDescent="0.35">
      <c r="A31" t="s">
        <v>770</v>
      </c>
      <c r="B31" s="507">
        <v>5257</v>
      </c>
      <c r="C31" s="507">
        <v>5257</v>
      </c>
      <c r="D31">
        <v>0.23</v>
      </c>
    </row>
    <row r="32" spans="1:4" x14ac:dyDescent="0.35">
      <c r="A32" t="s">
        <v>771</v>
      </c>
      <c r="B32" s="507">
        <v>3000</v>
      </c>
      <c r="C32" s="507">
        <v>3000</v>
      </c>
      <c r="D32">
        <v>0.13</v>
      </c>
    </row>
    <row r="33" spans="1:4" x14ac:dyDescent="0.35">
      <c r="A33" t="s">
        <v>772</v>
      </c>
      <c r="B33" s="507">
        <v>1575</v>
      </c>
      <c r="C33" s="507">
        <v>1575</v>
      </c>
      <c r="D33">
        <v>7.0000000000000007E-2</v>
      </c>
    </row>
    <row r="34" spans="1:4" x14ac:dyDescent="0.35">
      <c r="A34" t="s">
        <v>773</v>
      </c>
      <c r="B34" s="507">
        <v>1985</v>
      </c>
      <c r="C34" s="507">
        <v>1985</v>
      </c>
      <c r="D34">
        <v>0.09</v>
      </c>
    </row>
    <row r="35" spans="1:4" x14ac:dyDescent="0.35">
      <c r="A35" t="s">
        <v>774</v>
      </c>
      <c r="B35" s="507">
        <v>17450</v>
      </c>
      <c r="C35" s="507">
        <v>17450</v>
      </c>
      <c r="D35">
        <v>0.77</v>
      </c>
    </row>
    <row r="36" spans="1:4" x14ac:dyDescent="0.35">
      <c r="A36" t="s">
        <v>775</v>
      </c>
      <c r="B36" s="507">
        <v>750</v>
      </c>
      <c r="C36" s="507">
        <v>750</v>
      </c>
      <c r="D36">
        <v>0.03</v>
      </c>
    </row>
    <row r="37" spans="1:4" x14ac:dyDescent="0.35">
      <c r="A37" t="s">
        <v>776</v>
      </c>
      <c r="B37" s="507">
        <v>4784.4799999999996</v>
      </c>
      <c r="C37" s="507">
        <v>4784.4799999999996</v>
      </c>
      <c r="D37">
        <v>0.21</v>
      </c>
    </row>
    <row r="38" spans="1:4" ht="15" thickBot="1" x14ac:dyDescent="0.4">
      <c r="A38" s="19" t="s">
        <v>777</v>
      </c>
      <c r="B38" s="512">
        <v>879083.08</v>
      </c>
      <c r="C38" s="512">
        <v>879083.08</v>
      </c>
      <c r="D38" s="513">
        <v>39.04</v>
      </c>
    </row>
    <row r="39" spans="1:4" ht="15" thickBot="1" x14ac:dyDescent="0.4">
      <c r="A39" s="514" t="s">
        <v>778</v>
      </c>
      <c r="B39" s="515">
        <v>-69656.08</v>
      </c>
      <c r="C39" s="515">
        <v>-69656.08</v>
      </c>
      <c r="D39" s="516">
        <v>-3.09</v>
      </c>
    </row>
    <row r="44" spans="1:4" x14ac:dyDescent="0.35">
      <c r="D44" t="s">
        <v>779</v>
      </c>
    </row>
  </sheetData>
  <sheetProtection sheet="1" objects="1" scenarios="1" formatCells="1" formatColumns="0" formatRows="0" insertColumns="1" insertRows="1" insertHyperlinks="1" deleteColumns="1" deleteRows="1" selectLockedCells="0" selectUnlockedCell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E1E7-FCD0-4B7F-9B7A-CA7EC6E86C77}">
  <sheetPr>
    <pageSetUpPr fitToPage="1"/>
  </sheetPr>
  <dimension ref="A1:U41"/>
  <sheetViews>
    <sheetView workbookViewId="0">
      <selection activeCell="D23" sqref="D23"/>
    </sheetView>
  </sheetViews>
  <sheetFormatPr baseColWidth="10" defaultRowHeight="14.5" x14ac:dyDescent="0.35"/>
  <cols>
    <col min="10" max="10" width="9.54296875" customWidth="1"/>
    <col min="11" max="11" width="13.81640625" bestFit="1" customWidth="1"/>
    <col min="12" max="12" width="12.453125" bestFit="1" customWidth="1"/>
    <col min="13" max="13" width="13.81640625" bestFit="1" customWidth="1"/>
    <col min="14" max="14" width="14.54296875" customWidth="1"/>
    <col min="18" max="18" width="15.81640625" customWidth="1"/>
    <col min="20" max="20" width="17.6328125" customWidth="1"/>
  </cols>
  <sheetData>
    <row r="1" spans="4:15" ht="66" customHeight="1" x14ac:dyDescent="0.35">
      <c r="D1" s="571" t="s">
        <v>731</v>
      </c>
      <c r="E1" s="572" t="s">
        <v>732</v>
      </c>
      <c r="F1" s="571" t="s">
        <v>733</v>
      </c>
      <c r="G1" s="573" t="s">
        <v>734</v>
      </c>
      <c r="H1" s="573" t="s">
        <v>735</v>
      </c>
      <c r="I1" s="573" t="s">
        <v>736</v>
      </c>
      <c r="J1" s="573" t="s">
        <v>737</v>
      </c>
      <c r="K1" s="573" t="s">
        <v>738</v>
      </c>
      <c r="L1" s="573" t="s">
        <v>739</v>
      </c>
      <c r="M1" s="573" t="s">
        <v>740</v>
      </c>
      <c r="N1" s="581" t="s">
        <v>741</v>
      </c>
      <c r="O1" s="582">
        <v>131171</v>
      </c>
    </row>
    <row r="2" spans="4:15" ht="29" x14ac:dyDescent="0.35">
      <c r="D2" s="580" t="str">
        <f>'S2  - Inventaire départ'!B4</f>
        <v>P1</v>
      </c>
      <c r="E2" s="574">
        <f>Données!I6</f>
        <v>10.87</v>
      </c>
      <c r="F2" s="575">
        <f>Données!H6</f>
        <v>6.75</v>
      </c>
      <c r="G2" s="576">
        <f>Données!G6</f>
        <v>0.18000000000000002</v>
      </c>
      <c r="H2" s="577">
        <f>$G$18</f>
        <v>1.4999999999999999E-2</v>
      </c>
      <c r="I2" s="577">
        <f>$H$18</f>
        <v>0.24317112776452113</v>
      </c>
      <c r="J2" s="577">
        <f>$L$18</f>
        <v>1E-3</v>
      </c>
      <c r="K2" s="578">
        <f>'S5 -Outil - Ventes'!H6</f>
        <v>57067.499999999993</v>
      </c>
      <c r="L2" s="578">
        <f>'S8 -Outil - Ventes '!H6</f>
        <v>84242.5</v>
      </c>
      <c r="M2" s="579">
        <f>'S1 - projections'!AU24</f>
        <v>475534.33671821159</v>
      </c>
      <c r="N2" s="583" t="s">
        <v>248</v>
      </c>
      <c r="O2" s="584">
        <v>26650</v>
      </c>
    </row>
    <row r="3" spans="4:15" ht="15" thickBot="1" x14ac:dyDescent="0.4">
      <c r="D3" s="580" t="str">
        <f>'S2  - Inventaire départ'!B5</f>
        <v>P2</v>
      </c>
      <c r="E3" s="574">
        <f>Données!I7</f>
        <v>21.74</v>
      </c>
      <c r="F3" s="575">
        <f>Données!H7</f>
        <v>13.5</v>
      </c>
      <c r="G3" s="576">
        <f>Données!G7</f>
        <v>0.22500000000000001</v>
      </c>
      <c r="H3" s="577">
        <f t="shared" ref="H3:H14" si="0">$G$18</f>
        <v>1.4999999999999999E-2</v>
      </c>
      <c r="I3" s="577">
        <f t="shared" ref="I3:I14" si="1">$H$18</f>
        <v>0.24317112776452113</v>
      </c>
      <c r="J3" s="577">
        <f t="shared" ref="J3:J14" si="2">$L$18</f>
        <v>1E-3</v>
      </c>
      <c r="K3" s="578">
        <f>'S5 -Outil - Ventes'!H7</f>
        <v>134788</v>
      </c>
      <c r="L3" s="578">
        <f>'S8 -Outil - Ventes '!H7</f>
        <v>197834</v>
      </c>
      <c r="M3" s="579">
        <f>'S1 - projections'!AU25</f>
        <v>1114576.1817636022</v>
      </c>
      <c r="N3" s="585" t="s">
        <v>249</v>
      </c>
      <c r="O3" s="586">
        <v>5247</v>
      </c>
    </row>
    <row r="4" spans="4:15" ht="15" thickBot="1" x14ac:dyDescent="0.4">
      <c r="D4" s="580" t="str">
        <f>'S2  - Inventaire départ'!B6</f>
        <v>P3</v>
      </c>
      <c r="E4" s="574">
        <f>Données!I8</f>
        <v>35.020000000000003</v>
      </c>
      <c r="F4" s="575">
        <f>Données!H8</f>
        <v>20</v>
      </c>
      <c r="G4" s="576">
        <f>Données!G8</f>
        <v>0.67500000000000004</v>
      </c>
      <c r="H4" s="577">
        <f t="shared" si="0"/>
        <v>1.4999999999999999E-2</v>
      </c>
      <c r="I4" s="577">
        <f t="shared" si="1"/>
        <v>0.24317112776452113</v>
      </c>
      <c r="J4" s="577">
        <f t="shared" si="2"/>
        <v>1E-3</v>
      </c>
      <c r="K4" s="578">
        <f>'S5 -Outil - Ventes'!H8</f>
        <v>121764.54000000001</v>
      </c>
      <c r="L4" s="578">
        <f>'S8 -Outil - Ventes '!H8</f>
        <v>0</v>
      </c>
      <c r="M4" s="579">
        <f>'S1 - projections'!AU26</f>
        <v>378393.61923415639</v>
      </c>
      <c r="N4" s="506"/>
      <c r="O4" s="506"/>
    </row>
    <row r="5" spans="4:15" ht="44" thickBot="1" x14ac:dyDescent="0.4">
      <c r="D5" s="580" t="str">
        <f>'S2  - Inventaire départ'!B7</f>
        <v>P4</v>
      </c>
      <c r="E5" s="574">
        <f>Données!I9</f>
        <v>42.26</v>
      </c>
      <c r="F5" s="575">
        <f>Données!H9</f>
        <v>29</v>
      </c>
      <c r="G5" s="576">
        <f>Données!G9</f>
        <v>0.5</v>
      </c>
      <c r="H5" s="577">
        <f t="shared" si="0"/>
        <v>1.4999999999999999E-2</v>
      </c>
      <c r="I5" s="577">
        <f t="shared" si="1"/>
        <v>0.24317112776452113</v>
      </c>
      <c r="J5" s="577">
        <f t="shared" si="2"/>
        <v>1E-3</v>
      </c>
      <c r="K5" s="578">
        <f>'S5 -Outil - Ventes'!H9</f>
        <v>122554</v>
      </c>
      <c r="L5" s="578">
        <f>'S8 -Outil - Ventes '!H9</f>
        <v>181718</v>
      </c>
      <c r="M5" s="579">
        <f>'S1 - projections'!AU27</f>
        <v>1010022.7989089651</v>
      </c>
      <c r="N5" s="587" t="s">
        <v>742</v>
      </c>
      <c r="O5" s="588">
        <v>550</v>
      </c>
    </row>
    <row r="6" spans="4:15" ht="44" thickBot="1" x14ac:dyDescent="0.4">
      <c r="D6" s="580" t="str">
        <f>'S2  - Inventaire départ'!B8</f>
        <v>P5</v>
      </c>
      <c r="E6" s="574">
        <f>Données!I10</f>
        <v>59.17</v>
      </c>
      <c r="F6" s="575">
        <f>Données!H10</f>
        <v>35</v>
      </c>
      <c r="G6" s="576">
        <f>Données!G10</f>
        <v>0.75</v>
      </c>
      <c r="H6" s="577">
        <f t="shared" si="0"/>
        <v>1.4999999999999999E-2</v>
      </c>
      <c r="I6" s="577">
        <f t="shared" si="1"/>
        <v>0.24317112776452113</v>
      </c>
      <c r="J6" s="577">
        <f>$L$18</f>
        <v>1E-3</v>
      </c>
      <c r="K6" s="578">
        <f>'S5 -Outil - Ventes'!H10</f>
        <v>281057.5</v>
      </c>
      <c r="L6" s="578">
        <f>'S8 -Outil - Ventes '!H10</f>
        <v>414130.83</v>
      </c>
      <c r="M6" s="579">
        <f>'S1 - projections'!AU28</f>
        <v>2348717.7512862128</v>
      </c>
      <c r="N6" s="587" t="s">
        <v>743</v>
      </c>
      <c r="O6" s="588">
        <v>450</v>
      </c>
    </row>
    <row r="7" spans="4:15" x14ac:dyDescent="0.35">
      <c r="D7" s="580" t="str">
        <f>'S2  - Inventaire départ'!B9</f>
        <v>P6</v>
      </c>
      <c r="E7" s="574">
        <f>Données!I11</f>
        <v>64</v>
      </c>
      <c r="F7" s="575">
        <f>Données!H11</f>
        <v>42</v>
      </c>
      <c r="G7" s="576">
        <f>Données!G11</f>
        <v>0.9</v>
      </c>
      <c r="H7" s="577">
        <f t="shared" si="0"/>
        <v>1.4999999999999999E-2</v>
      </c>
      <c r="I7" s="577">
        <f t="shared" si="1"/>
        <v>0.24317112776452113</v>
      </c>
      <c r="J7" s="577">
        <f t="shared" si="2"/>
        <v>1E-3</v>
      </c>
      <c r="K7" s="578">
        <f>'S5 -Outil - Ventes'!H11</f>
        <v>103744</v>
      </c>
      <c r="L7" s="578">
        <f>'S8 -Outil - Ventes '!H11</f>
        <v>0</v>
      </c>
      <c r="M7" s="579">
        <f>'S1 - projections'!AU29</f>
        <v>312855.26910586539</v>
      </c>
      <c r="N7" s="53"/>
      <c r="O7" s="85"/>
    </row>
    <row r="8" spans="4:15" x14ac:dyDescent="0.35">
      <c r="D8" s="580" t="str">
        <f>'S2  - Inventaire départ'!B10</f>
        <v>P7</v>
      </c>
      <c r="E8" s="574">
        <f>Données!I12</f>
        <v>82.11</v>
      </c>
      <c r="F8" s="575">
        <f>Données!H12</f>
        <v>54</v>
      </c>
      <c r="G8" s="576">
        <f>Données!G12</f>
        <v>0.875</v>
      </c>
      <c r="H8" s="577">
        <f t="shared" si="0"/>
        <v>1.4999999999999999E-2</v>
      </c>
      <c r="I8" s="577">
        <f t="shared" si="1"/>
        <v>0.24317112776452113</v>
      </c>
      <c r="J8" s="577">
        <f t="shared" si="2"/>
        <v>1E-3</v>
      </c>
      <c r="K8" s="578">
        <f>'S5 -Outil - Ventes'!H12</f>
        <v>201497.94</v>
      </c>
      <c r="L8" s="578">
        <f>'S8 -Outil - Ventes '!H12</f>
        <v>295596</v>
      </c>
      <c r="M8" s="579">
        <f>'S1 - projections'!AU30</f>
        <v>1684547.2607568291</v>
      </c>
      <c r="N8" s="53"/>
      <c r="O8" s="85"/>
    </row>
    <row r="9" spans="4:15" x14ac:dyDescent="0.35">
      <c r="D9" s="580" t="str">
        <f>'S2  - Inventaire départ'!B11</f>
        <v>P8</v>
      </c>
      <c r="E9" s="574">
        <f>Données!I13</f>
        <v>85.73</v>
      </c>
      <c r="F9" s="575">
        <f>Données!H13</f>
        <v>59</v>
      </c>
      <c r="G9" s="576">
        <f>Données!G13</f>
        <v>1.8</v>
      </c>
      <c r="H9" s="577">
        <f t="shared" si="0"/>
        <v>1.4999999999999999E-2</v>
      </c>
      <c r="I9" s="577">
        <f t="shared" si="1"/>
        <v>0.24317112776452113</v>
      </c>
      <c r="J9" s="577">
        <f t="shared" si="2"/>
        <v>1E-3</v>
      </c>
      <c r="K9" s="578">
        <f>'S5 -Outil - Ventes'!H13</f>
        <v>643403.65</v>
      </c>
      <c r="L9" s="578">
        <f>'S8 -Outil - Ventes '!H13</f>
        <v>950745.70000000007</v>
      </c>
      <c r="M9" s="579">
        <f>'S1 - projections'!AU31</f>
        <v>5380323.7837859914</v>
      </c>
      <c r="N9" s="53"/>
      <c r="O9" s="85"/>
    </row>
    <row r="10" spans="4:15" x14ac:dyDescent="0.35">
      <c r="D10" s="580" t="str">
        <f>'S2  - Inventaire départ'!B12</f>
        <v>P9</v>
      </c>
      <c r="E10" s="574">
        <f>Données!I14</f>
        <v>108.68</v>
      </c>
      <c r="F10" s="575">
        <f>Données!H14</f>
        <v>66</v>
      </c>
      <c r="G10" s="576">
        <f>Données!G14</f>
        <v>0.5625</v>
      </c>
      <c r="H10" s="577">
        <f t="shared" si="0"/>
        <v>1.4999999999999999E-2</v>
      </c>
      <c r="I10" s="577">
        <f t="shared" si="1"/>
        <v>0.24317112776452113</v>
      </c>
      <c r="J10" s="577">
        <f t="shared" si="2"/>
        <v>1E-3</v>
      </c>
      <c r="K10" s="578">
        <f>'S5 -Outil - Ventes'!H14</f>
        <v>464715.68000000005</v>
      </c>
      <c r="L10" s="578">
        <f>'S8 -Outil - Ventes '!H14</f>
        <v>0</v>
      </c>
      <c r="M10" s="579">
        <f>'S1 - projections'!AU32</f>
        <v>1384858.4986039361</v>
      </c>
      <c r="N10" s="53"/>
      <c r="O10" s="85"/>
    </row>
    <row r="11" spans="4:15" x14ac:dyDescent="0.35">
      <c r="D11" s="580" t="str">
        <f>'S2  - Inventaire départ'!B13</f>
        <v>P10</v>
      </c>
      <c r="E11" s="574">
        <f>Données!I15</f>
        <v>107.47</v>
      </c>
      <c r="F11" s="575">
        <f>Données!H15</f>
        <v>69</v>
      </c>
      <c r="G11" s="576">
        <f>Données!G15</f>
        <v>0.75</v>
      </c>
      <c r="H11" s="577">
        <f t="shared" si="0"/>
        <v>1.4999999999999999E-2</v>
      </c>
      <c r="I11" s="577">
        <f t="shared" si="1"/>
        <v>0.24317112776452113</v>
      </c>
      <c r="J11" s="577">
        <f t="shared" si="2"/>
        <v>1E-3</v>
      </c>
      <c r="K11" s="578">
        <f>'S5 -Outil - Ventes'!H15</f>
        <v>121441.1</v>
      </c>
      <c r="L11" s="578">
        <f>'S8 -Outil - Ventes '!H15</f>
        <v>178185.26</v>
      </c>
      <c r="M11" s="579">
        <f>'S1 - projections'!AU33</f>
        <v>1010358.3210626672</v>
      </c>
      <c r="N11" s="53"/>
      <c r="O11" s="85"/>
    </row>
    <row r="12" spans="4:15" x14ac:dyDescent="0.35">
      <c r="D12" s="580" t="str">
        <f>'S2  - Inventaire départ'!B14</f>
        <v>P11</v>
      </c>
      <c r="E12" s="574">
        <f>Données!I16</f>
        <v>36.229999999999997</v>
      </c>
      <c r="F12" s="575">
        <f>Données!H16</f>
        <v>22</v>
      </c>
      <c r="G12" s="576">
        <f>Données!G16</f>
        <v>0.67500000000000004</v>
      </c>
      <c r="H12" s="577">
        <f t="shared" si="0"/>
        <v>1.4999999999999999E-2</v>
      </c>
      <c r="I12" s="577">
        <f t="shared" si="1"/>
        <v>0.24317112776452113</v>
      </c>
      <c r="J12" s="577">
        <f t="shared" si="2"/>
        <v>1E-3</v>
      </c>
      <c r="K12" s="578">
        <f>'S5 -Outil - Ventes'!H16</f>
        <v>0</v>
      </c>
      <c r="L12" s="578">
        <f>'S8 -Outil - Ventes '!H16</f>
        <v>38349.454999999994</v>
      </c>
      <c r="M12" s="579">
        <f>'S1 - projections'!AU34</f>
        <v>89480.87474152683</v>
      </c>
      <c r="N12" s="53"/>
      <c r="O12" s="85"/>
    </row>
    <row r="13" spans="4:15" x14ac:dyDescent="0.35">
      <c r="D13" s="580" t="str">
        <f>'S2  - Inventaire départ'!B15</f>
        <v>P12</v>
      </c>
      <c r="E13" s="574">
        <f>Données!I17</f>
        <v>63.4</v>
      </c>
      <c r="F13" s="575">
        <f>Données!H17</f>
        <v>43</v>
      </c>
      <c r="G13" s="576">
        <f>Données!G17</f>
        <v>1.75</v>
      </c>
      <c r="H13" s="577">
        <f t="shared" si="0"/>
        <v>1.4999999999999999E-2</v>
      </c>
      <c r="I13" s="577">
        <f t="shared" si="1"/>
        <v>0.24317112776452113</v>
      </c>
      <c r="J13" s="577">
        <f t="shared" si="2"/>
        <v>1E-3</v>
      </c>
      <c r="K13" s="578">
        <f>'S5 -Outil - Ventes'!H17</f>
        <v>0</v>
      </c>
      <c r="L13" s="578">
        <f>'S8 -Outil - Ventes '!H17</f>
        <v>188298</v>
      </c>
      <c r="M13" s="579">
        <f>'S1 - projections'!AU35</f>
        <v>467056.32136637293</v>
      </c>
    </row>
    <row r="14" spans="4:15" x14ac:dyDescent="0.35">
      <c r="D14" s="580" t="str">
        <f>'S2  - Inventaire départ'!B16</f>
        <v>P13</v>
      </c>
      <c r="E14" s="574">
        <f>Données!I18</f>
        <v>99.62</v>
      </c>
      <c r="F14" s="575">
        <f>Données!H18</f>
        <v>65</v>
      </c>
      <c r="G14" s="576">
        <f>Données!G18</f>
        <v>1.25</v>
      </c>
      <c r="H14" s="577">
        <f t="shared" si="0"/>
        <v>1.4999999999999999E-2</v>
      </c>
      <c r="I14" s="577">
        <f t="shared" si="1"/>
        <v>0.24317112776452113</v>
      </c>
      <c r="J14" s="577">
        <f t="shared" si="2"/>
        <v>1E-3</v>
      </c>
      <c r="K14" s="578">
        <f>'S5 -Outil - Ventes'!H18</f>
        <v>0</v>
      </c>
      <c r="L14" s="578">
        <f>'S8 -Outil - Ventes '!H18</f>
        <v>119593.81</v>
      </c>
      <c r="M14" s="579">
        <f>'S1 - projections'!AU36</f>
        <v>296946.67779729277</v>
      </c>
    </row>
    <row r="15" spans="4:15" x14ac:dyDescent="0.35">
      <c r="D15" s="568"/>
    </row>
    <row r="16" spans="4:15" x14ac:dyDescent="0.35">
      <c r="D16" s="41"/>
    </row>
    <row r="17" spans="1:21" x14ac:dyDescent="0.35">
      <c r="D17" s="41"/>
    </row>
    <row r="18" spans="1:21" ht="15" thickBot="1" x14ac:dyDescent="0.4">
      <c r="D18" s="41"/>
      <c r="G18" s="496">
        <v>1.4999999999999999E-2</v>
      </c>
      <c r="H18" s="497">
        <f>(O2+O3)/O1</f>
        <v>0.24317112776452113</v>
      </c>
      <c r="L18" s="498">
        <f>0.001</f>
        <v>1E-3</v>
      </c>
      <c r="N18" s="498"/>
    </row>
    <row r="19" spans="1:21" ht="73" thickBot="1" x14ac:dyDescent="0.4">
      <c r="A19" s="589" t="s">
        <v>24</v>
      </c>
      <c r="B19" s="590" t="s">
        <v>732</v>
      </c>
      <c r="C19" s="591" t="s">
        <v>744</v>
      </c>
      <c r="D19" s="592" t="s">
        <v>821</v>
      </c>
      <c r="E19" s="593" t="s">
        <v>633</v>
      </c>
      <c r="F19" s="594" t="s">
        <v>822</v>
      </c>
      <c r="G19" s="594" t="s">
        <v>745</v>
      </c>
      <c r="H19" s="594" t="s">
        <v>248</v>
      </c>
      <c r="I19" s="594" t="s">
        <v>823</v>
      </c>
      <c r="J19" s="594" t="s">
        <v>746</v>
      </c>
      <c r="K19" s="594" t="s">
        <v>824</v>
      </c>
      <c r="L19" s="594" t="s">
        <v>358</v>
      </c>
      <c r="M19" s="594" t="s">
        <v>825</v>
      </c>
      <c r="N19" s="594" t="s">
        <v>747</v>
      </c>
      <c r="O19" s="594" t="s">
        <v>826</v>
      </c>
      <c r="P19" s="594" t="s">
        <v>748</v>
      </c>
      <c r="Q19" s="594" t="s">
        <v>827</v>
      </c>
      <c r="R19" s="595" t="s">
        <v>828</v>
      </c>
      <c r="S19" s="594" t="s">
        <v>829</v>
      </c>
      <c r="T19" s="594" t="s">
        <v>830</v>
      </c>
      <c r="U19" s="592" t="s">
        <v>831</v>
      </c>
    </row>
    <row r="20" spans="1:21" x14ac:dyDescent="0.35">
      <c r="A20" s="596" t="str">
        <f>'S8 – Commande TRIM 2'!B4</f>
        <v>P1</v>
      </c>
      <c r="B20" s="558">
        <f>Données!I6</f>
        <v>10.87</v>
      </c>
      <c r="C20" s="558">
        <f>Données!H6</f>
        <v>6.75</v>
      </c>
      <c r="D20" s="559">
        <f>C20/B20</f>
        <v>0.62097516099356032</v>
      </c>
      <c r="E20" s="560">
        <f>$F$41*G2</f>
        <v>0.66</v>
      </c>
      <c r="F20" s="606">
        <f>E20/B20</f>
        <v>6.0717571297148124E-2</v>
      </c>
      <c r="G20" s="561">
        <f>$G$18*B20</f>
        <v>0.16304999999999997</v>
      </c>
      <c r="H20" s="561">
        <f>$H$18*G20</f>
        <v>3.9649052382005161E-2</v>
      </c>
      <c r="I20" s="562">
        <f>(G20+H20)/B20</f>
        <v>1.8647566916467816E-2</v>
      </c>
      <c r="J20" s="563"/>
      <c r="K20" s="564">
        <f>J20/B20</f>
        <v>0</v>
      </c>
      <c r="L20" s="561">
        <f>B20*$L$18</f>
        <v>1.0869999999999999E-2</v>
      </c>
      <c r="M20" s="565">
        <f>L20/B20</f>
        <v>1E-3</v>
      </c>
      <c r="N20" s="566">
        <f>C20+E20+G20+H20+J20+L20</f>
        <v>7.6235690523820052</v>
      </c>
      <c r="O20" s="559">
        <f>N20/B20</f>
        <v>0.70134029920717622</v>
      </c>
      <c r="P20" s="566">
        <f>B20-N20</f>
        <v>3.246430947617994</v>
      </c>
      <c r="Q20" s="559">
        <f>P20/B20</f>
        <v>0.29865970079282378</v>
      </c>
      <c r="R20" s="558">
        <f>P20*(K2+L2)</f>
        <v>458753.15720789874</v>
      </c>
      <c r="S20" s="604">
        <f>R20/$R$33</f>
        <v>5.2273142889182759E-3</v>
      </c>
      <c r="T20" s="567">
        <f>P20*M2</f>
        <v>1543789.3873769979</v>
      </c>
      <c r="U20" s="559">
        <f>T20/$T$33</f>
        <v>5.4600426752434298E-3</v>
      </c>
    </row>
    <row r="21" spans="1:21" x14ac:dyDescent="0.35">
      <c r="A21" s="597" t="str">
        <f>'S8 – Commande TRIM 2'!B5</f>
        <v>P2</v>
      </c>
      <c r="B21" s="555">
        <f>Données!I7</f>
        <v>21.74</v>
      </c>
      <c r="C21" s="555">
        <f>Données!H7</f>
        <v>13.5</v>
      </c>
      <c r="D21" s="559">
        <f>C21/B21</f>
        <v>0.62097516099356032</v>
      </c>
      <c r="E21" s="560">
        <f t="shared" ref="E21:E32" si="3">$F$41*G3</f>
        <v>0.82499999999999996</v>
      </c>
      <c r="F21" s="606">
        <f>E21/B21</f>
        <v>3.7948482060717569E-2</v>
      </c>
      <c r="G21" s="561">
        <f t="shared" ref="G21:G32" si="4">$G$18*B21</f>
        <v>0.32609999999999995</v>
      </c>
      <c r="H21" s="561">
        <f t="shared" ref="H21:H32" si="5">$H$18*G21</f>
        <v>7.9298104764010321E-2</v>
      </c>
      <c r="I21" s="562">
        <f t="shared" ref="I21:I32" si="6">(G21+H21)/B21</f>
        <v>1.8647566916467816E-2</v>
      </c>
      <c r="J21" s="557"/>
      <c r="K21" s="564">
        <f t="shared" ref="K21:K32" si="7">J21/B21</f>
        <v>0</v>
      </c>
      <c r="L21" s="561">
        <f t="shared" ref="L21:L32" si="8">B21*$L$18</f>
        <v>2.1739999999999999E-2</v>
      </c>
      <c r="M21" s="565">
        <f t="shared" ref="M21:M32" si="9">L21/B21</f>
        <v>1E-3</v>
      </c>
      <c r="N21" s="566">
        <f t="shared" ref="N21:N32" si="10">C21+E21+G21+H21+J21+L21</f>
        <v>14.752138104764009</v>
      </c>
      <c r="O21" s="559">
        <f t="shared" ref="O21:O32" si="11">N21/B21</f>
        <v>0.6785712099707456</v>
      </c>
      <c r="P21" s="566">
        <f t="shared" ref="P21:P32" si="12">B21-N21</f>
        <v>6.987861895235989</v>
      </c>
      <c r="Q21" s="559">
        <f t="shared" ref="Q21:Q32" si="13">P21/B21</f>
        <v>0.32142879002925434</v>
      </c>
      <c r="R21" s="558">
        <f t="shared" ref="R21:R32" si="14">P21*(K3+L3)</f>
        <v>2324316.5993171851</v>
      </c>
      <c r="S21" s="604">
        <f t="shared" ref="S21:S33" si="15">R21/$R$33</f>
        <v>2.6484686112088214E-2</v>
      </c>
      <c r="T21" s="567">
        <f t="shared" ref="T21:T32" si="16">P21*M3</f>
        <v>7788504.4298834978</v>
      </c>
      <c r="U21" s="559">
        <f t="shared" ref="U21:U33" si="17">T21/$T$33</f>
        <v>2.7546222892320952E-2</v>
      </c>
    </row>
    <row r="22" spans="1:21" x14ac:dyDescent="0.35">
      <c r="A22" s="597" t="str">
        <f>'S8 – Commande TRIM 2'!B6</f>
        <v>P3</v>
      </c>
      <c r="B22" s="555">
        <f>Données!I8</f>
        <v>35.020000000000003</v>
      </c>
      <c r="C22" s="555">
        <f>Données!H8</f>
        <v>20</v>
      </c>
      <c r="D22" s="604">
        <f t="shared" ref="D22:D32" si="18">C22/B22</f>
        <v>0.57110222729868643</v>
      </c>
      <c r="E22" s="560">
        <f t="shared" si="3"/>
        <v>2.4750000000000001</v>
      </c>
      <c r="F22" s="606">
        <f t="shared" ref="F22:F32" si="19">E22/B22</f>
        <v>7.0673900628212452E-2</v>
      </c>
      <c r="G22" s="561">
        <f t="shared" si="4"/>
        <v>0.52529999999999999</v>
      </c>
      <c r="H22" s="561">
        <f t="shared" si="5"/>
        <v>0.12773779341470295</v>
      </c>
      <c r="I22" s="562">
        <f t="shared" si="6"/>
        <v>1.8647566916467816E-2</v>
      </c>
      <c r="J22" s="557"/>
      <c r="K22" s="564">
        <f t="shared" si="7"/>
        <v>0</v>
      </c>
      <c r="L22" s="561">
        <f t="shared" si="8"/>
        <v>3.5020000000000003E-2</v>
      </c>
      <c r="M22" s="565">
        <f t="shared" si="9"/>
        <v>1E-3</v>
      </c>
      <c r="N22" s="566">
        <f t="shared" si="10"/>
        <v>23.163057793414705</v>
      </c>
      <c r="O22" s="559">
        <f t="shared" si="11"/>
        <v>0.66142369484336672</v>
      </c>
      <c r="P22" s="566">
        <f t="shared" si="12"/>
        <v>11.856942206585298</v>
      </c>
      <c r="Q22" s="605">
        <f t="shared" si="13"/>
        <v>0.33857630515663328</v>
      </c>
      <c r="R22" s="558">
        <f t="shared" si="14"/>
        <v>1443755.113591444</v>
      </c>
      <c r="S22" s="559">
        <f t="shared" si="15"/>
        <v>1.645102952731339E-2</v>
      </c>
      <c r="T22" s="567">
        <f t="shared" si="16"/>
        <v>4486591.2746000355</v>
      </c>
      <c r="U22" s="559">
        <f t="shared" si="17"/>
        <v>1.5868084096181685E-2</v>
      </c>
    </row>
    <row r="23" spans="1:21" x14ac:dyDescent="0.35">
      <c r="A23" s="597" t="str">
        <f>'S8 – Commande TRIM 2'!B7</f>
        <v>P4</v>
      </c>
      <c r="B23" s="555">
        <f>Données!I9</f>
        <v>42.26</v>
      </c>
      <c r="C23" s="555">
        <f>Données!H9</f>
        <v>29</v>
      </c>
      <c r="D23" s="605">
        <f t="shared" si="18"/>
        <v>0.68622811168954101</v>
      </c>
      <c r="E23" s="560">
        <f t="shared" si="3"/>
        <v>1.8333333333333333</v>
      </c>
      <c r="F23" s="562">
        <f t="shared" si="19"/>
        <v>4.3382236945890516E-2</v>
      </c>
      <c r="G23" s="561">
        <f t="shared" si="4"/>
        <v>0.63389999999999991</v>
      </c>
      <c r="H23" s="561">
        <f t="shared" si="5"/>
        <v>0.15414617788992993</v>
      </c>
      <c r="I23" s="556">
        <f t="shared" si="6"/>
        <v>1.8647566916467816E-2</v>
      </c>
      <c r="J23" s="61"/>
      <c r="K23" s="564">
        <f t="shared" si="7"/>
        <v>0</v>
      </c>
      <c r="L23" s="561">
        <f t="shared" si="8"/>
        <v>4.2259999999999999E-2</v>
      </c>
      <c r="M23" s="565">
        <f t="shared" si="9"/>
        <v>1E-3</v>
      </c>
      <c r="N23" s="566">
        <f t="shared" si="10"/>
        <v>31.663639511223263</v>
      </c>
      <c r="O23" s="604">
        <f t="shared" si="11"/>
        <v>0.74925791555189925</v>
      </c>
      <c r="P23" s="566">
        <f t="shared" si="12"/>
        <v>10.596360488776735</v>
      </c>
      <c r="Q23" s="604">
        <f t="shared" si="13"/>
        <v>0.2507420844481007</v>
      </c>
      <c r="R23" s="558">
        <f>P23*(K5+L5)</f>
        <v>3224175.7986410749</v>
      </c>
      <c r="S23" s="604">
        <f t="shared" si="15"/>
        <v>3.6738232658272807E-2</v>
      </c>
      <c r="T23" s="567">
        <f t="shared" si="16"/>
        <v>10702565.679122647</v>
      </c>
      <c r="U23" s="559">
        <f t="shared" si="17"/>
        <v>3.7852615013692269E-2</v>
      </c>
    </row>
    <row r="24" spans="1:21" x14ac:dyDescent="0.35">
      <c r="A24" s="597" t="str">
        <f>'S8 – Commande TRIM 2'!B8</f>
        <v>P5</v>
      </c>
      <c r="B24" s="555">
        <f>Données!I10</f>
        <v>59.17</v>
      </c>
      <c r="C24" s="555">
        <f>Données!H10</f>
        <v>35</v>
      </c>
      <c r="D24" s="604">
        <f t="shared" si="18"/>
        <v>0.59151597093121511</v>
      </c>
      <c r="E24" s="560">
        <f t="shared" si="3"/>
        <v>2.75</v>
      </c>
      <c r="F24" s="562">
        <f t="shared" si="19"/>
        <v>4.647625485888119E-2</v>
      </c>
      <c r="G24" s="561">
        <f t="shared" si="4"/>
        <v>0.88754999999999995</v>
      </c>
      <c r="H24" s="561">
        <f t="shared" si="5"/>
        <v>0.21582653444740071</v>
      </c>
      <c r="I24" s="556">
        <f t="shared" si="6"/>
        <v>1.8647566916467816E-2</v>
      </c>
      <c r="J24" s="61"/>
      <c r="K24" s="564">
        <f t="shared" si="7"/>
        <v>0</v>
      </c>
      <c r="L24" s="561">
        <f t="shared" si="8"/>
        <v>5.917E-2</v>
      </c>
      <c r="M24" s="565">
        <f t="shared" si="9"/>
        <v>1E-3</v>
      </c>
      <c r="N24" s="566">
        <f t="shared" si="10"/>
        <v>38.912546534447401</v>
      </c>
      <c r="O24" s="559">
        <f t="shared" si="11"/>
        <v>0.65763979270656414</v>
      </c>
      <c r="P24" s="566">
        <f t="shared" si="12"/>
        <v>20.257453465552601</v>
      </c>
      <c r="Q24" s="605">
        <f t="shared" si="13"/>
        <v>0.34236020729343586</v>
      </c>
      <c r="R24" s="558">
        <f t="shared" si="14"/>
        <v>14082745.244770227</v>
      </c>
      <c r="S24" s="559">
        <f t="shared" si="15"/>
        <v>0.16046741976278614</v>
      </c>
      <c r="T24" s="567">
        <f t="shared" si="16"/>
        <v>47579040.550397806</v>
      </c>
      <c r="U24" s="559">
        <f t="shared" si="17"/>
        <v>0.16827657579231031</v>
      </c>
    </row>
    <row r="25" spans="1:21" x14ac:dyDescent="0.35">
      <c r="A25" s="597" t="str">
        <f>'S8 – Commande TRIM 2'!B9</f>
        <v>P6</v>
      </c>
      <c r="B25" s="555">
        <f>Données!I11</f>
        <v>64</v>
      </c>
      <c r="C25" s="555">
        <f>Données!H11</f>
        <v>42</v>
      </c>
      <c r="D25" s="559">
        <f t="shared" si="18"/>
        <v>0.65625</v>
      </c>
      <c r="E25" s="560">
        <f t="shared" si="3"/>
        <v>3.3</v>
      </c>
      <c r="F25" s="562">
        <f t="shared" si="19"/>
        <v>5.1562499999999997E-2</v>
      </c>
      <c r="G25" s="561">
        <f t="shared" si="4"/>
        <v>0.96</v>
      </c>
      <c r="H25" s="561">
        <f t="shared" si="5"/>
        <v>0.23344428265394027</v>
      </c>
      <c r="I25" s="556">
        <f t="shared" si="6"/>
        <v>1.8647566916467816E-2</v>
      </c>
      <c r="J25" s="61"/>
      <c r="K25" s="564">
        <f t="shared" si="7"/>
        <v>0</v>
      </c>
      <c r="L25" s="561">
        <f t="shared" si="8"/>
        <v>6.4000000000000001E-2</v>
      </c>
      <c r="M25" s="565">
        <f t="shared" si="9"/>
        <v>1E-3</v>
      </c>
      <c r="N25" s="566">
        <f t="shared" si="10"/>
        <v>46.55744428265394</v>
      </c>
      <c r="O25" s="559">
        <f t="shared" si="11"/>
        <v>0.72746006691646781</v>
      </c>
      <c r="P25" s="566">
        <f t="shared" si="12"/>
        <v>17.44255571734606</v>
      </c>
      <c r="Q25" s="559">
        <f t="shared" si="13"/>
        <v>0.27253993308353219</v>
      </c>
      <c r="R25" s="558">
        <f t="shared" si="14"/>
        <v>1809560.5003403497</v>
      </c>
      <c r="S25" s="559">
        <f t="shared" si="15"/>
        <v>2.0619240023681189E-2</v>
      </c>
      <c r="T25" s="567">
        <f t="shared" si="16"/>
        <v>5456995.4628443522</v>
      </c>
      <c r="U25" s="559">
        <f t="shared" si="17"/>
        <v>1.9300189746973437E-2</v>
      </c>
    </row>
    <row r="26" spans="1:21" x14ac:dyDescent="0.35">
      <c r="A26" s="597" t="str">
        <f>'S8 – Commande TRIM 2'!B10</f>
        <v>P7</v>
      </c>
      <c r="B26" s="555">
        <f>Données!I12</f>
        <v>82.11</v>
      </c>
      <c r="C26" s="555">
        <f>Données!H12</f>
        <v>54</v>
      </c>
      <c r="D26" s="559">
        <f t="shared" si="18"/>
        <v>0.65765436609426375</v>
      </c>
      <c r="E26" s="560">
        <f t="shared" si="3"/>
        <v>3.208333333333333</v>
      </c>
      <c r="F26" s="562">
        <f t="shared" si="19"/>
        <v>3.9073600454674617E-2</v>
      </c>
      <c r="G26" s="561">
        <f t="shared" si="4"/>
        <v>1.2316499999999999</v>
      </c>
      <c r="H26" s="561">
        <f t="shared" si="5"/>
        <v>0.29950171951117244</v>
      </c>
      <c r="I26" s="556">
        <f t="shared" si="6"/>
        <v>1.8647566916467816E-2</v>
      </c>
      <c r="J26" s="557">
        <f>$K$41*G8</f>
        <v>2.625</v>
      </c>
      <c r="K26" s="564">
        <f t="shared" si="7"/>
        <v>3.1969309462915603E-2</v>
      </c>
      <c r="L26" s="561">
        <f t="shared" si="8"/>
        <v>8.2110000000000002E-2</v>
      </c>
      <c r="M26" s="565">
        <f t="shared" si="9"/>
        <v>1E-3</v>
      </c>
      <c r="N26" s="566">
        <f t="shared" si="10"/>
        <v>61.446595052844508</v>
      </c>
      <c r="O26" s="604">
        <f t="shared" si="11"/>
        <v>0.74834484292832182</v>
      </c>
      <c r="P26" s="566">
        <f t="shared" si="12"/>
        <v>20.663404947155492</v>
      </c>
      <c r="Q26" s="604">
        <f t="shared" si="13"/>
        <v>0.25165515707167813</v>
      </c>
      <c r="R26" s="558">
        <f t="shared" si="14"/>
        <v>10271653.378997015</v>
      </c>
      <c r="S26" s="559">
        <f t="shared" si="15"/>
        <v>0.11704150616780171</v>
      </c>
      <c r="T26" s="567">
        <f t="shared" si="16"/>
        <v>34808482.201639891</v>
      </c>
      <c r="U26" s="559">
        <f t="shared" si="17"/>
        <v>0.12310992667485737</v>
      </c>
    </row>
    <row r="27" spans="1:21" x14ac:dyDescent="0.35">
      <c r="A27" s="597" t="str">
        <f>'S8 – Commande TRIM 2'!B11</f>
        <v>P8</v>
      </c>
      <c r="B27" s="555">
        <f>Données!I13</f>
        <v>85.73</v>
      </c>
      <c r="C27" s="555">
        <f>Données!H13</f>
        <v>59</v>
      </c>
      <c r="D27" s="605">
        <f t="shared" si="18"/>
        <v>0.68820716202029619</v>
      </c>
      <c r="E27" s="653">
        <f t="shared" si="3"/>
        <v>6.6</v>
      </c>
      <c r="F27" s="562">
        <f t="shared" si="19"/>
        <v>7.6985885920914487E-2</v>
      </c>
      <c r="G27" s="561">
        <f t="shared" si="4"/>
        <v>1.2859499999999999</v>
      </c>
      <c r="H27" s="561">
        <f t="shared" si="5"/>
        <v>0.31270591174878593</v>
      </c>
      <c r="I27" s="556">
        <f t="shared" si="6"/>
        <v>1.8647566916467812E-2</v>
      </c>
      <c r="J27" s="557">
        <f t="shared" ref="J27:J28" si="20">$K$41*G9</f>
        <v>5.4</v>
      </c>
      <c r="K27" s="564">
        <f t="shared" si="7"/>
        <v>6.2988452117111862E-2</v>
      </c>
      <c r="L27" s="561">
        <f t="shared" si="8"/>
        <v>8.5730000000000001E-2</v>
      </c>
      <c r="M27" s="565">
        <f t="shared" si="9"/>
        <v>1E-3</v>
      </c>
      <c r="N27" s="566">
        <f t="shared" si="10"/>
        <v>72.684385911748777</v>
      </c>
      <c r="O27" s="604">
        <f t="shared" si="11"/>
        <v>0.84782906697479032</v>
      </c>
      <c r="P27" s="566">
        <f t="shared" si="12"/>
        <v>13.045614088251227</v>
      </c>
      <c r="Q27" s="604">
        <f t="shared" si="13"/>
        <v>0.15217093302520968</v>
      </c>
      <c r="R27" s="558">
        <f t="shared" si="14"/>
        <v>20796657.219136536</v>
      </c>
      <c r="S27" s="559">
        <f t="shared" si="15"/>
        <v>0.23696984257279366</v>
      </c>
      <c r="T27" s="567">
        <f t="shared" si="16"/>
        <v>70189627.753111675</v>
      </c>
      <c r="U27" s="559">
        <f t="shared" si="17"/>
        <v>0.24824523735234905</v>
      </c>
    </row>
    <row r="28" spans="1:21" x14ac:dyDescent="0.35">
      <c r="A28" s="597" t="str">
        <f>'S8 – Commande TRIM 2'!B12</f>
        <v>P9</v>
      </c>
      <c r="B28" s="555">
        <f>Données!I14</f>
        <v>108.68</v>
      </c>
      <c r="C28" s="555">
        <f>Données!H14</f>
        <v>66</v>
      </c>
      <c r="D28" s="559">
        <f t="shared" si="18"/>
        <v>0.60728744939271251</v>
      </c>
      <c r="E28" s="560">
        <f t="shared" si="3"/>
        <v>2.0625</v>
      </c>
      <c r="F28" s="562">
        <f t="shared" si="19"/>
        <v>1.8977732793522266E-2</v>
      </c>
      <c r="G28" s="561">
        <f t="shared" si="4"/>
        <v>1.6302000000000001</v>
      </c>
      <c r="H28" s="561">
        <f t="shared" si="5"/>
        <v>0.39641757248172238</v>
      </c>
      <c r="I28" s="556">
        <f t="shared" si="6"/>
        <v>1.8647566916467816E-2</v>
      </c>
      <c r="J28" s="557">
        <f t="shared" si="20"/>
        <v>1.6875</v>
      </c>
      <c r="K28" s="564">
        <f t="shared" si="7"/>
        <v>1.5527235921972762E-2</v>
      </c>
      <c r="L28" s="561">
        <f t="shared" si="8"/>
        <v>0.10868000000000001</v>
      </c>
      <c r="M28" s="565">
        <f t="shared" si="9"/>
        <v>1E-3</v>
      </c>
      <c r="N28" s="566">
        <f t="shared" si="10"/>
        <v>71.885297572481733</v>
      </c>
      <c r="O28" s="559">
        <f t="shared" si="11"/>
        <v>0.66143998502467549</v>
      </c>
      <c r="P28" s="566">
        <f t="shared" si="12"/>
        <v>36.794702427518274</v>
      </c>
      <c r="Q28" s="559">
        <f t="shared" si="13"/>
        <v>0.33856001497532456</v>
      </c>
      <c r="R28" s="558">
        <f t="shared" si="14"/>
        <v>17099075.159001809</v>
      </c>
      <c r="S28" s="605">
        <f t="shared" si="15"/>
        <v>0.19483732918579405</v>
      </c>
      <c r="T28" s="567">
        <f t="shared" si="16"/>
        <v>50955456.360351555</v>
      </c>
      <c r="U28" s="559">
        <f t="shared" si="17"/>
        <v>0.18021821405103483</v>
      </c>
    </row>
    <row r="29" spans="1:21" x14ac:dyDescent="0.35">
      <c r="A29" s="597" t="str">
        <f>'S8 – Commande TRIM 2'!B13</f>
        <v>P10</v>
      </c>
      <c r="B29" s="555">
        <f>Données!I15</f>
        <v>107.47</v>
      </c>
      <c r="C29" s="555">
        <f>Données!H15</f>
        <v>69</v>
      </c>
      <c r="D29" s="559">
        <f t="shared" si="18"/>
        <v>0.64203963896901461</v>
      </c>
      <c r="E29" s="560">
        <f t="shared" si="3"/>
        <v>2.75</v>
      </c>
      <c r="F29" s="562">
        <f t="shared" si="19"/>
        <v>2.5588536335721598E-2</v>
      </c>
      <c r="G29" s="561">
        <f t="shared" si="4"/>
        <v>1.61205</v>
      </c>
      <c r="H29" s="561">
        <f t="shared" si="5"/>
        <v>0.39200401651279626</v>
      </c>
      <c r="I29" s="556">
        <f t="shared" si="6"/>
        <v>1.8647566916467819E-2</v>
      </c>
      <c r="J29" s="557"/>
      <c r="K29" s="564">
        <f t="shared" si="7"/>
        <v>0</v>
      </c>
      <c r="L29" s="561">
        <f t="shared" si="8"/>
        <v>0.10747</v>
      </c>
      <c r="M29" s="565">
        <f t="shared" si="9"/>
        <v>1E-3</v>
      </c>
      <c r="N29" s="566">
        <f t="shared" si="10"/>
        <v>73.861524016512803</v>
      </c>
      <c r="O29" s="559">
        <f t="shared" si="11"/>
        <v>0.68727574222120413</v>
      </c>
      <c r="P29" s="566">
        <f t="shared" si="12"/>
        <v>33.608475983487196</v>
      </c>
      <c r="Q29" s="559">
        <f t="shared" si="13"/>
        <v>0.31272425777879592</v>
      </c>
      <c r="R29" s="558">
        <f t="shared" si="14"/>
        <v>10069985.324079689</v>
      </c>
      <c r="S29" s="605">
        <f t="shared" si="15"/>
        <v>0.11474357690339348</v>
      </c>
      <c r="T29" s="567">
        <f t="shared" si="16"/>
        <v>33956603.368151098</v>
      </c>
      <c r="U29" s="559">
        <f t="shared" si="17"/>
        <v>0.12009701907035034</v>
      </c>
    </row>
    <row r="30" spans="1:21" x14ac:dyDescent="0.35">
      <c r="A30" s="597" t="str">
        <f>'S8 – Commande TRIM 2'!B14</f>
        <v>P11</v>
      </c>
      <c r="B30" s="555">
        <f>Données!I16</f>
        <v>36.229999999999997</v>
      </c>
      <c r="C30" s="555">
        <f>Données!H16</f>
        <v>22</v>
      </c>
      <c r="D30" s="604">
        <f t="shared" si="18"/>
        <v>0.60723157604195421</v>
      </c>
      <c r="E30" s="560">
        <f t="shared" si="3"/>
        <v>2.4750000000000001</v>
      </c>
      <c r="F30" s="562">
        <f t="shared" si="19"/>
        <v>6.831355230471986E-2</v>
      </c>
      <c r="G30" s="561">
        <f t="shared" si="4"/>
        <v>0.54344999999999988</v>
      </c>
      <c r="H30" s="561">
        <f t="shared" si="5"/>
        <v>0.13215134938362899</v>
      </c>
      <c r="I30" s="556">
        <f t="shared" si="6"/>
        <v>1.8647566916467812E-2</v>
      </c>
      <c r="J30" s="557"/>
      <c r="K30" s="564">
        <f t="shared" si="7"/>
        <v>0</v>
      </c>
      <c r="L30" s="561">
        <f t="shared" si="8"/>
        <v>3.6229999999999998E-2</v>
      </c>
      <c r="M30" s="565">
        <f t="shared" si="9"/>
        <v>1E-3</v>
      </c>
      <c r="N30" s="566">
        <f t="shared" si="10"/>
        <v>25.186831349383631</v>
      </c>
      <c r="O30" s="559">
        <f t="shared" si="11"/>
        <v>0.69519269526314198</v>
      </c>
      <c r="P30" s="566">
        <f t="shared" si="12"/>
        <v>11.043168650616366</v>
      </c>
      <c r="Q30" s="605">
        <f t="shared" si="13"/>
        <v>0.30480730473685802</v>
      </c>
      <c r="R30" s="558">
        <f t="shared" si="14"/>
        <v>423499.49922422296</v>
      </c>
      <c r="S30" s="559">
        <f t="shared" si="15"/>
        <v>4.8256125300981337E-3</v>
      </c>
      <c r="T30" s="567">
        <f t="shared" si="16"/>
        <v>988152.39077535889</v>
      </c>
      <c r="U30" s="559">
        <f t="shared" si="17"/>
        <v>3.4948771298683118E-3</v>
      </c>
    </row>
    <row r="31" spans="1:21" x14ac:dyDescent="0.35">
      <c r="A31" s="597" t="str">
        <f>'S8 – Commande TRIM 2'!B15</f>
        <v>P12</v>
      </c>
      <c r="B31" s="555">
        <f>Données!I17</f>
        <v>63.4</v>
      </c>
      <c r="C31" s="555">
        <f>Données!H17</f>
        <v>43</v>
      </c>
      <c r="D31" s="605">
        <f t="shared" si="18"/>
        <v>0.67823343848580442</v>
      </c>
      <c r="E31" s="653">
        <f t="shared" si="3"/>
        <v>6.4166666666666661</v>
      </c>
      <c r="F31" s="562">
        <f t="shared" si="19"/>
        <v>0.10120925341745531</v>
      </c>
      <c r="G31" s="561">
        <f t="shared" si="4"/>
        <v>0.95099999999999996</v>
      </c>
      <c r="H31" s="561">
        <f t="shared" si="5"/>
        <v>0.23125574250405959</v>
      </c>
      <c r="I31" s="556">
        <f t="shared" si="6"/>
        <v>1.8647566916467819E-2</v>
      </c>
      <c r="J31" s="557"/>
      <c r="K31" s="564">
        <f t="shared" si="7"/>
        <v>0</v>
      </c>
      <c r="L31" s="561">
        <f t="shared" si="8"/>
        <v>6.3399999999999998E-2</v>
      </c>
      <c r="M31" s="565">
        <f t="shared" si="9"/>
        <v>1E-3</v>
      </c>
      <c r="N31" s="566">
        <f t="shared" si="10"/>
        <v>50.662322409170727</v>
      </c>
      <c r="O31" s="559">
        <f t="shared" si="11"/>
        <v>0.79909025881972762</v>
      </c>
      <c r="P31" s="566">
        <f t="shared" si="12"/>
        <v>12.737677590829271</v>
      </c>
      <c r="Q31" s="559">
        <f>P31/B31</f>
        <v>0.20090974118027241</v>
      </c>
      <c r="R31" s="558">
        <f t="shared" si="14"/>
        <v>2398479.21499797</v>
      </c>
      <c r="S31" s="559">
        <f t="shared" si="15"/>
        <v>2.7329740352174971E-2</v>
      </c>
      <c r="T31" s="567">
        <f t="shared" si="16"/>
        <v>5949212.8383236034</v>
      </c>
      <c r="U31" s="559">
        <f t="shared" si="17"/>
        <v>2.1041054075740018E-2</v>
      </c>
    </row>
    <row r="32" spans="1:21" ht="15" thickBot="1" x14ac:dyDescent="0.4">
      <c r="A32" s="597" t="str">
        <f>'S8 – Commande TRIM 2'!B16</f>
        <v>P13</v>
      </c>
      <c r="B32" s="555">
        <f>Données!I18</f>
        <v>99.62</v>
      </c>
      <c r="C32" s="555">
        <f>Données!H18</f>
        <v>65</v>
      </c>
      <c r="D32" s="559">
        <f t="shared" si="18"/>
        <v>0.65247942180285079</v>
      </c>
      <c r="E32" s="560">
        <f t="shared" si="3"/>
        <v>4.583333333333333</v>
      </c>
      <c r="F32" s="562">
        <f t="shared" si="19"/>
        <v>4.6008164357893323E-2</v>
      </c>
      <c r="G32" s="561">
        <f t="shared" si="4"/>
        <v>1.4943</v>
      </c>
      <c r="H32" s="561">
        <f t="shared" si="5"/>
        <v>0.3633706162185239</v>
      </c>
      <c r="I32" s="556">
        <f t="shared" si="6"/>
        <v>1.8647566916467816E-2</v>
      </c>
      <c r="J32" s="557"/>
      <c r="K32" s="564">
        <f t="shared" si="7"/>
        <v>0</v>
      </c>
      <c r="L32" s="561">
        <f t="shared" si="8"/>
        <v>9.962E-2</v>
      </c>
      <c r="M32" s="565">
        <f t="shared" si="9"/>
        <v>1E-3</v>
      </c>
      <c r="N32" s="566">
        <f t="shared" si="10"/>
        <v>71.540623949551843</v>
      </c>
      <c r="O32" s="559">
        <f t="shared" si="11"/>
        <v>0.71813515307721176</v>
      </c>
      <c r="P32" s="566">
        <f t="shared" si="12"/>
        <v>28.079376050448161</v>
      </c>
      <c r="Q32" s="559">
        <f t="shared" si="13"/>
        <v>0.28186484692278818</v>
      </c>
      <c r="R32" s="607">
        <f t="shared" si="14"/>
        <v>3358119.5642958479</v>
      </c>
      <c r="S32" s="608">
        <f t="shared" si="15"/>
        <v>3.8264469914884018E-2</v>
      </c>
      <c r="T32" s="609">
        <f t="shared" si="16"/>
        <v>8338077.4328014497</v>
      </c>
      <c r="U32" s="610">
        <f t="shared" si="17"/>
        <v>2.9489941429078143E-2</v>
      </c>
    </row>
    <row r="33" spans="1:21" ht="15" thickBot="1" x14ac:dyDescent="0.4">
      <c r="A33" s="570"/>
      <c r="B33" s="569"/>
      <c r="R33" s="611">
        <f>SUM(R20:R32)</f>
        <v>87760775.773601264</v>
      </c>
      <c r="S33" s="612">
        <f t="shared" si="15"/>
        <v>1</v>
      </c>
      <c r="T33" s="613">
        <f>SUM(T20:T32)</f>
        <v>282743099.12937993</v>
      </c>
      <c r="U33" s="614">
        <f t="shared" si="17"/>
        <v>1</v>
      </c>
    </row>
    <row r="38" spans="1:21" ht="15" thickBot="1" x14ac:dyDescent="0.4"/>
    <row r="39" spans="1:21" ht="29" x14ac:dyDescent="0.35">
      <c r="E39" s="758" t="s">
        <v>749</v>
      </c>
      <c r="F39" s="759"/>
      <c r="J39" s="601" t="s">
        <v>749</v>
      </c>
      <c r="K39" s="602"/>
    </row>
    <row r="40" spans="1:21" x14ac:dyDescent="0.35">
      <c r="E40" s="598" t="s">
        <v>750</v>
      </c>
      <c r="F40" s="584">
        <f>O5</f>
        <v>550</v>
      </c>
      <c r="J40" s="598" t="s">
        <v>750</v>
      </c>
      <c r="K40" s="584">
        <f>O6</f>
        <v>450</v>
      </c>
    </row>
    <row r="41" spans="1:21" ht="15" thickBot="1" x14ac:dyDescent="0.4">
      <c r="E41" s="599" t="s">
        <v>751</v>
      </c>
      <c r="F41" s="600">
        <f>F40/150</f>
        <v>3.6666666666666665</v>
      </c>
      <c r="G41" s="51"/>
      <c r="J41" s="599" t="s">
        <v>751</v>
      </c>
      <c r="K41" s="603">
        <f>K40/150</f>
        <v>3</v>
      </c>
    </row>
  </sheetData>
  <sheetProtection sheet="1" objects="1" scenarios="1" formatCells="1" formatColumns="0" formatRows="0" insertColumns="1" insertRows="1" insertHyperlinks="1" deleteColumns="1" deleteRows="1" selectLockedCells="0" selectUnlockedCells="0" sort="0" autoFilter="0" pivotTables="0"/>
  <mergeCells count="1">
    <mergeCell ref="E39:F39"/>
  </mergeCells>
  <pageMargins left="0.70866141732283472" right="0.70866141732283472" top="0.74803149606299213" bottom="0.74803149606299213" header="0.31496062992125984" footer="0.31496062992125984"/>
  <pageSetup scale="48" orientation="landscape" horizontalDpi="1200" verticalDpi="1200"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6ED2-2A3B-4507-8713-9CE280302C0A}">
  <dimension ref="A1:D57"/>
  <sheetViews>
    <sheetView topLeftCell="A37" zoomScale="95" zoomScaleNormal="95" workbookViewId="0">
      <selection activeCell="C43" sqref="C43"/>
    </sheetView>
  </sheetViews>
  <sheetFormatPr baseColWidth="10" defaultRowHeight="14.5" x14ac:dyDescent="0.35"/>
  <cols>
    <col min="1" max="1" width="38.90625" customWidth="1"/>
    <col min="2" max="2" width="12.453125" bestFit="1" customWidth="1"/>
    <col min="3" max="3" width="13.81640625" bestFit="1" customWidth="1"/>
    <col min="4" max="4" width="14.7265625" bestFit="1" customWidth="1"/>
  </cols>
  <sheetData>
    <row r="1" spans="1:4" ht="15" thickBot="1" x14ac:dyDescent="0.4"/>
    <row r="2" spans="1:4" x14ac:dyDescent="0.35">
      <c r="C2" s="517" t="s">
        <v>752</v>
      </c>
    </row>
    <row r="3" spans="1:4" x14ac:dyDescent="0.35">
      <c r="C3" s="32" t="s">
        <v>780</v>
      </c>
    </row>
    <row r="4" spans="1:4" ht="15" thickBot="1" x14ac:dyDescent="0.4">
      <c r="C4" s="518" t="s">
        <v>781</v>
      </c>
    </row>
    <row r="6" spans="1:4" ht="18.5" x14ac:dyDescent="0.45">
      <c r="B6" s="760" t="s">
        <v>203</v>
      </c>
      <c r="C6" s="760"/>
      <c r="D6" s="760"/>
    </row>
    <row r="7" spans="1:4" x14ac:dyDescent="0.35">
      <c r="A7" s="19" t="s">
        <v>782</v>
      </c>
    </row>
    <row r="8" spans="1:4" x14ac:dyDescent="0.35">
      <c r="A8" t="s">
        <v>630</v>
      </c>
      <c r="C8" s="507">
        <v>350227.53</v>
      </c>
    </row>
    <row r="9" spans="1:4" x14ac:dyDescent="0.35">
      <c r="A9" t="s">
        <v>625</v>
      </c>
      <c r="C9" s="507">
        <v>906247</v>
      </c>
    </row>
    <row r="10" spans="1:4" x14ac:dyDescent="0.35">
      <c r="A10" t="s">
        <v>211</v>
      </c>
      <c r="C10" s="507">
        <v>25000</v>
      </c>
    </row>
    <row r="11" spans="1:4" x14ac:dyDescent="0.35">
      <c r="A11" t="s">
        <v>783</v>
      </c>
      <c r="C11" s="507">
        <v>10821</v>
      </c>
    </row>
    <row r="12" spans="1:4" ht="16" x14ac:dyDescent="0.4">
      <c r="A12" s="513" t="s">
        <v>784</v>
      </c>
      <c r="B12" s="513"/>
      <c r="C12" s="519"/>
      <c r="D12" s="520">
        <v>1292295.53</v>
      </c>
    </row>
    <row r="13" spans="1:4" x14ac:dyDescent="0.35">
      <c r="A13" s="19"/>
      <c r="C13" s="507"/>
    </row>
    <row r="14" spans="1:4" x14ac:dyDescent="0.35">
      <c r="A14" s="19" t="s">
        <v>785</v>
      </c>
      <c r="C14" s="507"/>
    </row>
    <row r="15" spans="1:4" x14ac:dyDescent="0.35">
      <c r="A15" t="s">
        <v>217</v>
      </c>
      <c r="C15" s="521">
        <v>105131</v>
      </c>
    </row>
    <row r="16" spans="1:4" ht="15" thickBot="1" x14ac:dyDescent="0.4">
      <c r="A16" s="522" t="s">
        <v>786</v>
      </c>
      <c r="B16" s="522"/>
      <c r="C16" s="523">
        <v>-5257</v>
      </c>
      <c r="D16" s="95">
        <f>C15+C16</f>
        <v>99874</v>
      </c>
    </row>
    <row r="17" spans="1:4" ht="15" thickTop="1" x14ac:dyDescent="0.35">
      <c r="C17" s="507"/>
    </row>
    <row r="18" spans="1:4" x14ac:dyDescent="0.35">
      <c r="A18" t="s">
        <v>218</v>
      </c>
      <c r="C18" s="521">
        <v>40000</v>
      </c>
    </row>
    <row r="19" spans="1:4" ht="15" thickBot="1" x14ac:dyDescent="0.4">
      <c r="A19" s="522" t="s">
        <v>787</v>
      </c>
      <c r="B19" s="522"/>
      <c r="C19" s="523">
        <v>-3000</v>
      </c>
      <c r="D19" s="95">
        <f>C18+C19</f>
        <v>37000</v>
      </c>
    </row>
    <row r="20" spans="1:4" ht="15" thickTop="1" x14ac:dyDescent="0.35">
      <c r="C20" s="507"/>
    </row>
    <row r="21" spans="1:4" x14ac:dyDescent="0.35">
      <c r="A21" t="s">
        <v>788</v>
      </c>
      <c r="C21" s="521">
        <v>31500</v>
      </c>
    </row>
    <row r="22" spans="1:4" ht="15" thickBot="1" x14ac:dyDescent="0.4">
      <c r="A22" s="522" t="s">
        <v>789</v>
      </c>
      <c r="B22" s="522"/>
      <c r="C22" s="523">
        <v>-1575</v>
      </c>
      <c r="D22" s="95">
        <f>C21+C22</f>
        <v>29925</v>
      </c>
    </row>
    <row r="23" spans="1:4" ht="15" thickTop="1" x14ac:dyDescent="0.35">
      <c r="C23" s="507"/>
    </row>
    <row r="24" spans="1:4" x14ac:dyDescent="0.35">
      <c r="A24" t="s">
        <v>790</v>
      </c>
      <c r="C24" s="521">
        <v>39700</v>
      </c>
    </row>
    <row r="25" spans="1:4" ht="15" thickBot="1" x14ac:dyDescent="0.4">
      <c r="A25" s="522" t="s">
        <v>791</v>
      </c>
      <c r="B25" s="522"/>
      <c r="C25" s="523">
        <v>-1985</v>
      </c>
      <c r="D25" s="95">
        <f>C24+C25</f>
        <v>37715</v>
      </c>
    </row>
    <row r="26" spans="1:4" ht="15" thickTop="1" x14ac:dyDescent="0.35">
      <c r="C26" s="507"/>
    </row>
    <row r="27" spans="1:4" x14ac:dyDescent="0.35">
      <c r="A27" t="s">
        <v>215</v>
      </c>
      <c r="C27" s="521">
        <v>349000</v>
      </c>
      <c r="D27" s="95"/>
    </row>
    <row r="28" spans="1:4" ht="15" thickBot="1" x14ac:dyDescent="0.4">
      <c r="A28" s="522" t="s">
        <v>792</v>
      </c>
      <c r="B28" s="522"/>
      <c r="C28" s="523">
        <v>-17450</v>
      </c>
      <c r="D28" s="95">
        <f>C27+C28</f>
        <v>331550</v>
      </c>
    </row>
    <row r="29" spans="1:4" ht="15" thickTop="1" x14ac:dyDescent="0.35">
      <c r="C29" s="507"/>
    </row>
    <row r="30" spans="1:4" x14ac:dyDescent="0.35">
      <c r="A30" t="s">
        <v>793</v>
      </c>
      <c r="C30" s="521">
        <v>6500</v>
      </c>
    </row>
    <row r="31" spans="1:4" ht="15" thickBot="1" x14ac:dyDescent="0.4">
      <c r="A31" s="522" t="s">
        <v>794</v>
      </c>
      <c r="B31" s="522"/>
      <c r="C31" s="523">
        <v>-750</v>
      </c>
      <c r="D31" s="95">
        <f>C30+C31</f>
        <v>5750</v>
      </c>
    </row>
    <row r="32" spans="1:4" ht="15" thickTop="1" x14ac:dyDescent="0.35"/>
    <row r="33" spans="1:4" ht="16.5" thickBot="1" x14ac:dyDescent="0.45">
      <c r="A33" s="19" t="s">
        <v>795</v>
      </c>
      <c r="D33" s="524">
        <v>541814</v>
      </c>
    </row>
    <row r="34" spans="1:4" ht="16.5" thickBot="1" x14ac:dyDescent="0.45">
      <c r="A34" s="525" t="s">
        <v>796</v>
      </c>
      <c r="B34" s="526"/>
      <c r="C34" s="526"/>
      <c r="D34" s="527">
        <v>1834109.53</v>
      </c>
    </row>
    <row r="36" spans="1:4" ht="18.5" x14ac:dyDescent="0.45">
      <c r="B36" s="761" t="s">
        <v>204</v>
      </c>
      <c r="C36" s="761"/>
      <c r="D36" s="761"/>
    </row>
    <row r="37" spans="1:4" x14ac:dyDescent="0.35">
      <c r="A37" s="19" t="s">
        <v>797</v>
      </c>
    </row>
    <row r="38" spans="1:4" x14ac:dyDescent="0.35">
      <c r="A38" t="s">
        <v>210</v>
      </c>
      <c r="B38" s="507">
        <v>851612</v>
      </c>
      <c r="C38" s="507"/>
      <c r="D38" s="507"/>
    </row>
    <row r="39" spans="1:4" x14ac:dyDescent="0.35">
      <c r="A39" t="s">
        <v>240</v>
      </c>
      <c r="B39" s="507">
        <v>7456.51</v>
      </c>
      <c r="C39" s="507"/>
      <c r="D39" s="507"/>
    </row>
    <row r="40" spans="1:4" x14ac:dyDescent="0.35">
      <c r="A40" t="s">
        <v>246</v>
      </c>
      <c r="B40" s="507">
        <v>5246.83</v>
      </c>
      <c r="C40" s="507"/>
      <c r="D40" s="507"/>
    </row>
    <row r="41" spans="1:4" x14ac:dyDescent="0.35">
      <c r="A41" t="s">
        <v>798</v>
      </c>
      <c r="B41" s="507">
        <v>60886.86</v>
      </c>
      <c r="C41" s="507"/>
      <c r="D41" s="507"/>
    </row>
    <row r="42" spans="1:4" x14ac:dyDescent="0.35">
      <c r="A42" t="s">
        <v>799</v>
      </c>
      <c r="B42" s="507">
        <v>235601</v>
      </c>
      <c r="C42" s="507"/>
      <c r="D42" s="507"/>
    </row>
    <row r="43" spans="1:4" x14ac:dyDescent="0.35">
      <c r="A43" t="s">
        <v>214</v>
      </c>
      <c r="B43" s="507">
        <v>149763.22</v>
      </c>
      <c r="C43" s="507"/>
      <c r="D43" s="507"/>
    </row>
    <row r="44" spans="1:4" ht="16" x14ac:dyDescent="0.4">
      <c r="A44" s="513" t="s">
        <v>800</v>
      </c>
      <c r="B44" s="528"/>
      <c r="C44" s="520">
        <v>1310566.42</v>
      </c>
      <c r="D44" s="507" t="s">
        <v>779</v>
      </c>
    </row>
    <row r="45" spans="1:4" x14ac:dyDescent="0.35">
      <c r="A45" s="19"/>
      <c r="B45" s="507"/>
      <c r="C45" s="512"/>
      <c r="D45" s="507"/>
    </row>
    <row r="46" spans="1:4" x14ac:dyDescent="0.35">
      <c r="A46" s="19" t="s">
        <v>801</v>
      </c>
      <c r="B46" s="507"/>
      <c r="C46" s="507"/>
      <c r="D46" s="507"/>
    </row>
    <row r="47" spans="1:4" x14ac:dyDescent="0.35">
      <c r="A47" t="s">
        <v>639</v>
      </c>
      <c r="B47" s="507">
        <v>58199.19</v>
      </c>
      <c r="C47" s="507"/>
      <c r="D47" s="507"/>
    </row>
    <row r="48" spans="1:4" ht="16.5" thickBot="1" x14ac:dyDescent="0.45">
      <c r="A48" s="513" t="s">
        <v>802</v>
      </c>
      <c r="B48" s="529"/>
      <c r="C48" s="530">
        <v>58199.19</v>
      </c>
      <c r="D48" s="507"/>
    </row>
    <row r="49" spans="1:4" ht="15" thickBot="1" x14ac:dyDescent="0.4">
      <c r="A49" s="531" t="s">
        <v>803</v>
      </c>
      <c r="B49" s="532"/>
      <c r="C49" s="532"/>
      <c r="D49" s="533">
        <v>1368765.61</v>
      </c>
    </row>
    <row r="50" spans="1:4" x14ac:dyDescent="0.35">
      <c r="B50" s="507"/>
      <c r="C50" s="507"/>
      <c r="D50" s="507"/>
    </row>
    <row r="51" spans="1:4" ht="18.5" x14ac:dyDescent="0.45">
      <c r="B51" s="762" t="s">
        <v>804</v>
      </c>
      <c r="C51" s="762"/>
      <c r="D51" s="762"/>
    </row>
    <row r="52" spans="1:4" x14ac:dyDescent="0.35">
      <c r="A52" t="s">
        <v>805</v>
      </c>
      <c r="B52" s="507"/>
      <c r="C52" s="507">
        <v>450000</v>
      </c>
      <c r="D52" s="507"/>
    </row>
    <row r="53" spans="1:4" x14ac:dyDescent="0.35">
      <c r="A53" t="s">
        <v>806</v>
      </c>
      <c r="B53" s="507"/>
      <c r="C53" s="507">
        <v>85000</v>
      </c>
      <c r="D53" s="507"/>
    </row>
    <row r="54" spans="1:4" ht="15" thickBot="1" x14ac:dyDescent="0.4">
      <c r="A54" t="s">
        <v>807</v>
      </c>
      <c r="B54" s="507"/>
      <c r="C54" s="534">
        <v>-69656.08</v>
      </c>
      <c r="D54" s="507"/>
    </row>
    <row r="55" spans="1:4" ht="16.5" thickBot="1" x14ac:dyDescent="0.45">
      <c r="A55" s="535" t="s">
        <v>808</v>
      </c>
      <c r="B55" s="536"/>
      <c r="C55" s="536"/>
      <c r="D55" s="537">
        <v>465343.92</v>
      </c>
    </row>
    <row r="56" spans="1:4" ht="15" thickBot="1" x14ac:dyDescent="0.4">
      <c r="B56" s="148"/>
      <c r="C56" s="148"/>
      <c r="D56" s="148"/>
    </row>
    <row r="57" spans="1:4" ht="16.5" thickBot="1" x14ac:dyDescent="0.45">
      <c r="A57" s="538" t="s">
        <v>809</v>
      </c>
      <c r="B57" s="539"/>
      <c r="C57" s="539"/>
      <c r="D57" s="540">
        <v>1834109.53</v>
      </c>
    </row>
  </sheetData>
  <sheetProtection sheet="1" objects="1" scenarios="1" formatCells="1" formatColumns="0" formatRows="0" insertColumns="1" insertRows="1" insertHyperlinks="1" deleteColumns="1" deleteRows="1" selectLockedCells="0" selectUnlockedCells="0" sort="0" autoFilter="0" pivotTables="0"/>
  <mergeCells count="3">
    <mergeCell ref="B6:D6"/>
    <mergeCell ref="B36:D36"/>
    <mergeCell ref="B51:D5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4CA2-8309-4E13-ADC4-B04D2B0B3DBD}">
  <sheetPr>
    <pageSetUpPr fitToPage="1"/>
  </sheetPr>
  <dimension ref="A1:R35"/>
  <sheetViews>
    <sheetView zoomScale="90" zoomScaleNormal="90" workbookViewId="0">
      <selection activeCell="F6" sqref="F6"/>
    </sheetView>
  </sheetViews>
  <sheetFormatPr baseColWidth="10" defaultRowHeight="14.5" x14ac:dyDescent="0.35"/>
  <cols>
    <col min="1" max="1" width="2.54296875" customWidth="1"/>
    <col min="3" max="4" width="13.453125" customWidth="1"/>
    <col min="6" max="6" width="19.81640625" customWidth="1"/>
    <col min="8" max="8" width="14.1796875" bestFit="1" customWidth="1"/>
    <col min="11" max="11" width="22.1796875" customWidth="1"/>
  </cols>
  <sheetData>
    <row r="1" spans="1:18" x14ac:dyDescent="0.35">
      <c r="A1" s="19" t="s">
        <v>813</v>
      </c>
      <c r="I1" s="58" t="s">
        <v>76</v>
      </c>
      <c r="J1" s="59"/>
      <c r="K1" s="59"/>
      <c r="L1" s="59"/>
    </row>
    <row r="2" spans="1:18" x14ac:dyDescent="0.35">
      <c r="F2" s="60" t="s">
        <v>77</v>
      </c>
      <c r="L2" s="722" t="s">
        <v>78</v>
      </c>
      <c r="M2" s="722"/>
      <c r="N2" s="722"/>
      <c r="O2" s="722"/>
      <c r="P2" s="722"/>
      <c r="Q2" s="722"/>
      <c r="R2" s="735"/>
    </row>
    <row r="3" spans="1:18" ht="43.75" customHeight="1" thickBot="1" x14ac:dyDescent="0.4">
      <c r="B3" s="61"/>
      <c r="C3" s="61" t="s">
        <v>810</v>
      </c>
      <c r="D3" s="541" t="s">
        <v>811</v>
      </c>
      <c r="E3" s="62" t="s">
        <v>80</v>
      </c>
      <c r="F3" s="61" t="s">
        <v>81</v>
      </c>
      <c r="G3" s="61" t="s">
        <v>82</v>
      </c>
      <c r="H3" s="62" t="s">
        <v>83</v>
      </c>
      <c r="I3" s="63" t="s">
        <v>84</v>
      </c>
      <c r="J3" s="63" t="s">
        <v>85</v>
      </c>
      <c r="K3" s="64"/>
      <c r="M3" s="61"/>
      <c r="N3" s="62" t="s">
        <v>86</v>
      </c>
      <c r="O3" s="62" t="s">
        <v>87</v>
      </c>
      <c r="P3" s="63" t="s">
        <v>88</v>
      </c>
      <c r="Q3" s="61" t="s">
        <v>83</v>
      </c>
      <c r="R3" s="61"/>
    </row>
    <row r="4" spans="1:18" ht="15.65" customHeight="1" thickBot="1" x14ac:dyDescent="0.4">
      <c r="B4" s="62" t="s">
        <v>4</v>
      </c>
      <c r="C4" s="65">
        <f>'S1 - projections'!F8+'S1 - projections'!G8+'S1 - projections'!H8</f>
        <v>7728.7754810549777</v>
      </c>
      <c r="D4" s="65">
        <f>'S5 -Outil - Ventes'!I6</f>
        <v>0</v>
      </c>
      <c r="E4" s="66">
        <f>Données!J6</f>
        <v>50</v>
      </c>
      <c r="F4" s="62">
        <f>CEILING(C4-D4,E4)</f>
        <v>7750</v>
      </c>
      <c r="G4" s="67">
        <f>Données!H6</f>
        <v>6.75</v>
      </c>
      <c r="H4" s="68">
        <f>F4*G4</f>
        <v>52312.5</v>
      </c>
      <c r="I4" s="69">
        <f>Données!G6</f>
        <v>0.18000000000000002</v>
      </c>
      <c r="J4" s="70">
        <f>F4*I4</f>
        <v>1395.0000000000002</v>
      </c>
      <c r="L4" s="71" t="s">
        <v>89</v>
      </c>
      <c r="M4" s="72" t="s">
        <v>90</v>
      </c>
      <c r="N4" s="62">
        <v>150</v>
      </c>
      <c r="O4" s="73">
        <v>925</v>
      </c>
      <c r="P4" s="70">
        <f>J23</f>
        <v>290</v>
      </c>
      <c r="Q4" s="74">
        <f>P4*O4</f>
        <v>268250</v>
      </c>
      <c r="R4" s="75">
        <f>Q4+Q5</f>
        <v>268900</v>
      </c>
    </row>
    <row r="5" spans="1:18" ht="15" thickBot="1" x14ac:dyDescent="0.4">
      <c r="B5" s="62" t="s">
        <v>6</v>
      </c>
      <c r="C5" s="65">
        <f>'S1 - projections'!F9+'S1 - projections'!G9+'S1 - projections'!H9</f>
        <v>9057.50479011887</v>
      </c>
      <c r="D5" s="65">
        <f>'S5 -Outil - Ventes'!I7</f>
        <v>0</v>
      </c>
      <c r="E5" s="66">
        <f>Données!J7</f>
        <v>100</v>
      </c>
      <c r="F5" s="62">
        <f t="shared" ref="F5:F16" si="0">CEILING(C5-D5,E5)</f>
        <v>9100</v>
      </c>
      <c r="G5" s="67">
        <f>Données!H7</f>
        <v>13.5</v>
      </c>
      <c r="H5" s="68">
        <f t="shared" ref="H5:H16" si="1">F5*G5</f>
        <v>122850</v>
      </c>
      <c r="I5" s="69">
        <f>Données!G7</f>
        <v>0.22500000000000001</v>
      </c>
      <c r="J5" s="70">
        <f t="shared" ref="J5:J16" si="2">F5*I5</f>
        <v>2047.5</v>
      </c>
      <c r="L5" s="7"/>
      <c r="M5" s="61"/>
      <c r="N5" s="62">
        <v>100</v>
      </c>
      <c r="O5" s="73">
        <v>650</v>
      </c>
      <c r="P5" s="76">
        <f>ROUNDUP(J26,0)</f>
        <v>1</v>
      </c>
      <c r="Q5" s="74">
        <f t="shared" ref="Q5:Q7" si="3">P5*O5</f>
        <v>650</v>
      </c>
      <c r="R5" s="62"/>
    </row>
    <row r="6" spans="1:18" ht="15" thickBot="1" x14ac:dyDescent="0.4">
      <c r="B6" s="62" t="s">
        <v>103</v>
      </c>
      <c r="C6" s="65">
        <f>'S1 - projections'!F10+'S1 - projections'!G10+'S1 - projections'!H10</f>
        <v>0</v>
      </c>
      <c r="D6" s="65">
        <f>'S5 -Outil - Ventes'!I8</f>
        <v>223</v>
      </c>
      <c r="E6" s="66">
        <f>Données!J8</f>
        <v>100</v>
      </c>
      <c r="F6" s="100">
        <f t="shared" si="0"/>
        <v>-200</v>
      </c>
      <c r="G6" s="67">
        <f>Données!H8</f>
        <v>20</v>
      </c>
      <c r="H6" s="68"/>
      <c r="I6" s="69">
        <f>Données!G8</f>
        <v>0.67500000000000004</v>
      </c>
      <c r="J6" s="70">
        <f t="shared" si="2"/>
        <v>-135</v>
      </c>
      <c r="L6" s="71" t="s">
        <v>91</v>
      </c>
      <c r="M6" s="77" t="s">
        <v>92</v>
      </c>
      <c r="N6" s="62">
        <v>150</v>
      </c>
      <c r="O6" s="73">
        <v>865</v>
      </c>
      <c r="P6" s="70">
        <f>J23</f>
        <v>290</v>
      </c>
      <c r="Q6" s="74">
        <f t="shared" si="3"/>
        <v>250850</v>
      </c>
      <c r="R6" s="75">
        <f>Q6+Q7</f>
        <v>251069.77499999999</v>
      </c>
    </row>
    <row r="7" spans="1:18" x14ac:dyDescent="0.35">
      <c r="B7" s="62" t="s">
        <v>9</v>
      </c>
      <c r="C7" s="65">
        <f>'S1 - projections'!F11+'S1 - projections'!G11+'S1 - projections'!H11</f>
        <v>4222.4064710252596</v>
      </c>
      <c r="D7" s="65">
        <f>'S5 -Outil - Ventes'!I9</f>
        <v>0</v>
      </c>
      <c r="E7" s="66">
        <f>Données!J9</f>
        <v>100</v>
      </c>
      <c r="F7" s="62">
        <f t="shared" si="0"/>
        <v>4300</v>
      </c>
      <c r="G7" s="67">
        <f>Données!H9</f>
        <v>29</v>
      </c>
      <c r="H7" s="68">
        <f t="shared" si="1"/>
        <v>124700</v>
      </c>
      <c r="I7" s="69">
        <f>Données!G9</f>
        <v>0.5</v>
      </c>
      <c r="J7" s="70">
        <f t="shared" si="2"/>
        <v>2150</v>
      </c>
      <c r="M7" s="61"/>
      <c r="N7" s="62">
        <v>100</v>
      </c>
      <c r="O7" s="73">
        <v>745</v>
      </c>
      <c r="P7" s="76">
        <f>J26</f>
        <v>0.29499999999999998</v>
      </c>
      <c r="Q7" s="74">
        <f t="shared" si="3"/>
        <v>219.77499999999998</v>
      </c>
      <c r="R7" s="62"/>
    </row>
    <row r="8" spans="1:18" x14ac:dyDescent="0.35">
      <c r="B8" s="62" t="s">
        <v>11</v>
      </c>
      <c r="C8" s="65">
        <f>'S1 - projections'!F12+'S1 - projections'!G12+'S1 - projections'!H12</f>
        <v>7012.7380200594343</v>
      </c>
      <c r="D8" s="65">
        <f>'S5 -Outil - Ventes'!I10</f>
        <v>0</v>
      </c>
      <c r="E8" s="66">
        <f>Données!J10</f>
        <v>50</v>
      </c>
      <c r="F8" s="62">
        <f t="shared" si="0"/>
        <v>7050</v>
      </c>
      <c r="G8" s="67">
        <f>Données!H10</f>
        <v>35</v>
      </c>
      <c r="H8" s="68">
        <f t="shared" si="1"/>
        <v>246750</v>
      </c>
      <c r="I8" s="69">
        <f>Données!G10</f>
        <v>0.75</v>
      </c>
      <c r="J8" s="70">
        <f t="shared" si="2"/>
        <v>5287.5</v>
      </c>
    </row>
    <row r="9" spans="1:18" x14ac:dyDescent="0.35">
      <c r="B9" s="62" t="s">
        <v>104</v>
      </c>
      <c r="C9" s="65">
        <f>'S1 - projections'!F13+'S1 - projections'!G13+'S1 - projections'!H13</f>
        <v>0</v>
      </c>
      <c r="D9" s="65">
        <f>'S5 -Outil - Ventes'!I11</f>
        <v>79</v>
      </c>
      <c r="E9" s="66">
        <f>Données!J11</f>
        <v>100</v>
      </c>
      <c r="F9" s="62">
        <f t="shared" si="0"/>
        <v>0</v>
      </c>
      <c r="G9" s="67">
        <f>Données!H11</f>
        <v>42</v>
      </c>
      <c r="H9" s="68">
        <f t="shared" si="1"/>
        <v>0</v>
      </c>
      <c r="I9" s="69">
        <f>Données!G11</f>
        <v>0.9</v>
      </c>
      <c r="J9" s="70">
        <f t="shared" si="2"/>
        <v>0</v>
      </c>
    </row>
    <row r="10" spans="1:18" x14ac:dyDescent="0.35">
      <c r="B10" s="62" t="s">
        <v>14</v>
      </c>
      <c r="C10" s="65">
        <f>'S1 - projections'!F14+'S1 - projections'!G14+'S1 - projections'!H14</f>
        <v>3624.4782819465076</v>
      </c>
      <c r="D10" s="65">
        <f>'S5 -Outil - Ventes'!I12</f>
        <v>46</v>
      </c>
      <c r="E10" s="66">
        <f>Données!J12</f>
        <v>50</v>
      </c>
      <c r="F10" s="62">
        <f t="shared" si="0"/>
        <v>3600</v>
      </c>
      <c r="G10" s="67">
        <f>Données!H12</f>
        <v>54</v>
      </c>
      <c r="H10" s="68">
        <f t="shared" si="1"/>
        <v>194400</v>
      </c>
      <c r="I10" s="69">
        <f>Données!G12</f>
        <v>0.875</v>
      </c>
      <c r="J10" s="70">
        <f t="shared" si="2"/>
        <v>3150</v>
      </c>
      <c r="O10" s="85"/>
    </row>
    <row r="11" spans="1:18" x14ac:dyDescent="0.35">
      <c r="B11" s="62" t="s">
        <v>16</v>
      </c>
      <c r="C11" s="65">
        <f>'S1 - projections'!F15+'S1 - projections'!G15+'S1 - projections'!H15</f>
        <v>11087.507901188706</v>
      </c>
      <c r="D11" s="65">
        <f>'S5 -Outil - Ventes'!I13</f>
        <v>5</v>
      </c>
      <c r="E11" s="66">
        <f>Données!J13</f>
        <v>10</v>
      </c>
      <c r="F11" s="62">
        <f t="shared" si="0"/>
        <v>11090</v>
      </c>
      <c r="G11" s="67">
        <f>Données!H13</f>
        <v>59</v>
      </c>
      <c r="H11" s="68">
        <f t="shared" si="1"/>
        <v>654310</v>
      </c>
      <c r="I11" s="69">
        <f>Données!G13</f>
        <v>1.8</v>
      </c>
      <c r="J11" s="70">
        <f t="shared" si="2"/>
        <v>19962</v>
      </c>
    </row>
    <row r="12" spans="1:18" x14ac:dyDescent="0.35">
      <c r="B12" s="62" t="s">
        <v>105</v>
      </c>
      <c r="C12" s="65">
        <f>'S1 - projections'!F16+'S1 - projections'!G16+'S1 - projections'!H16</f>
        <v>0</v>
      </c>
      <c r="D12" s="65">
        <f>'S5 -Outil - Ventes'!I14</f>
        <v>4</v>
      </c>
      <c r="E12" s="66">
        <f>Données!J14</f>
        <v>10</v>
      </c>
      <c r="F12" s="62">
        <f t="shared" si="0"/>
        <v>0</v>
      </c>
      <c r="G12" s="67">
        <f>Données!H14</f>
        <v>66</v>
      </c>
      <c r="H12" s="68">
        <f t="shared" si="1"/>
        <v>0</v>
      </c>
      <c r="I12" s="69">
        <f>Données!G14</f>
        <v>0.5625</v>
      </c>
      <c r="J12" s="70">
        <f t="shared" si="2"/>
        <v>0</v>
      </c>
    </row>
    <row r="13" spans="1:18" x14ac:dyDescent="0.35">
      <c r="B13" s="62" t="s">
        <v>19</v>
      </c>
      <c r="C13" s="65">
        <f>'S1 - projections'!F17+'S1 - projections'!G17+'S1 - projections'!H17</f>
        <v>1660.9116363298658</v>
      </c>
      <c r="D13" s="65">
        <f>'S5 -Outil - Ventes'!I15</f>
        <v>0</v>
      </c>
      <c r="E13" s="66">
        <f>Données!J15</f>
        <v>10</v>
      </c>
      <c r="F13" s="62">
        <f t="shared" si="0"/>
        <v>1670</v>
      </c>
      <c r="G13" s="67">
        <f>Données!H15</f>
        <v>69</v>
      </c>
      <c r="H13" s="68">
        <f t="shared" si="1"/>
        <v>115230</v>
      </c>
      <c r="I13" s="69">
        <f>Données!G15</f>
        <v>0.75</v>
      </c>
      <c r="J13" s="70">
        <f t="shared" si="2"/>
        <v>1252.5</v>
      </c>
    </row>
    <row r="14" spans="1:18" x14ac:dyDescent="0.35">
      <c r="B14" s="62" t="s">
        <v>34</v>
      </c>
      <c r="C14" s="65">
        <f>'S1 - projections'!F18+'S1 - projections'!G18+'S1 - projections'!H18</f>
        <v>1128.5438335809808</v>
      </c>
      <c r="D14" s="65">
        <f>'S5 -Outil - Ventes'!I16</f>
        <v>0</v>
      </c>
      <c r="E14" s="66">
        <f>Données!J16</f>
        <v>100</v>
      </c>
      <c r="F14" s="62">
        <f t="shared" si="0"/>
        <v>1200</v>
      </c>
      <c r="G14" s="67">
        <f>Données!H16</f>
        <v>22</v>
      </c>
      <c r="H14" s="68">
        <f t="shared" si="1"/>
        <v>26400</v>
      </c>
      <c r="I14" s="69">
        <f>Données!G16</f>
        <v>0.67500000000000004</v>
      </c>
      <c r="J14" s="70">
        <f t="shared" si="2"/>
        <v>810</v>
      </c>
    </row>
    <row r="15" spans="1:18" x14ac:dyDescent="0.35">
      <c r="B15" s="62" t="s">
        <v>66</v>
      </c>
      <c r="C15" s="65">
        <f>'S1 - projections'!F19+'S1 - projections'!G19+'S1 - projections'!H19</f>
        <v>3366.173848439822</v>
      </c>
      <c r="D15" s="65">
        <f>'S5 -Outil - Ventes'!I17</f>
        <v>0</v>
      </c>
      <c r="E15" s="66">
        <f>Données!J17</f>
        <v>10</v>
      </c>
      <c r="F15" s="62">
        <f t="shared" si="0"/>
        <v>3370</v>
      </c>
      <c r="G15" s="67">
        <f>Données!H17</f>
        <v>43</v>
      </c>
      <c r="H15" s="68">
        <f t="shared" si="1"/>
        <v>144910</v>
      </c>
      <c r="I15" s="69">
        <f>Données!G17</f>
        <v>1.75</v>
      </c>
      <c r="J15" s="70">
        <f t="shared" si="2"/>
        <v>5897.5</v>
      </c>
    </row>
    <row r="16" spans="1:18" x14ac:dyDescent="0.35">
      <c r="B16" s="62" t="s">
        <v>67</v>
      </c>
      <c r="C16" s="65">
        <f>'S1 - projections'!F20+'S1 - projections'!G20+'S1 - projections'!H20</f>
        <v>1362.035661218425</v>
      </c>
      <c r="D16" s="65">
        <f>'S5 -Outil - Ventes'!I18</f>
        <v>0</v>
      </c>
      <c r="E16" s="66">
        <f>Données!J18</f>
        <v>10</v>
      </c>
      <c r="F16" s="62">
        <f t="shared" si="0"/>
        <v>1370</v>
      </c>
      <c r="G16" s="67">
        <f>Données!H18</f>
        <v>65</v>
      </c>
      <c r="H16" s="68">
        <f t="shared" si="1"/>
        <v>89050</v>
      </c>
      <c r="I16" s="69">
        <f>Données!G18</f>
        <v>1.25</v>
      </c>
      <c r="J16" s="70">
        <f t="shared" si="2"/>
        <v>1712.5</v>
      </c>
    </row>
    <row r="17" spans="2:18" x14ac:dyDescent="0.35">
      <c r="B17" s="41"/>
      <c r="C17" s="34"/>
      <c r="D17" s="34"/>
    </row>
    <row r="18" spans="2:18" x14ac:dyDescent="0.35">
      <c r="B18" s="41"/>
      <c r="C18" s="34"/>
      <c r="D18" s="34"/>
    </row>
    <row r="19" spans="2:18" x14ac:dyDescent="0.35">
      <c r="B19" s="41"/>
      <c r="C19" s="34"/>
      <c r="D19" s="34"/>
      <c r="E19" s="41"/>
      <c r="F19" s="41"/>
      <c r="G19" s="78"/>
      <c r="H19" s="79"/>
      <c r="I19" s="80"/>
      <c r="J19" s="34"/>
      <c r="L19" s="6"/>
    </row>
    <row r="20" spans="2:18" ht="15" thickBot="1" x14ac:dyDescent="0.4">
      <c r="B20" s="41"/>
      <c r="C20" s="34"/>
      <c r="D20" s="34"/>
      <c r="E20" s="41"/>
      <c r="F20" s="41"/>
      <c r="G20" s="78"/>
      <c r="H20" s="79"/>
      <c r="I20" s="80"/>
      <c r="J20" s="34"/>
    </row>
    <row r="21" spans="2:18" ht="15" thickBot="1" x14ac:dyDescent="0.4">
      <c r="B21" s="41"/>
      <c r="C21" s="34"/>
      <c r="D21" s="34"/>
      <c r="E21" s="41"/>
      <c r="F21" s="41"/>
      <c r="G21" s="78"/>
      <c r="H21" s="81"/>
      <c r="I21" s="80"/>
      <c r="J21" s="82"/>
      <c r="K21" s="39"/>
      <c r="L21" s="39"/>
      <c r="M21" s="39"/>
      <c r="N21" s="39"/>
      <c r="O21" s="39"/>
      <c r="P21" s="39"/>
      <c r="Q21" s="39"/>
      <c r="R21" s="97"/>
    </row>
    <row r="22" spans="2:18" ht="15" thickBot="1" x14ac:dyDescent="0.4">
      <c r="B22" s="41"/>
      <c r="F22" s="6"/>
      <c r="H22" s="83">
        <f>SUM(H4:H16)</f>
        <v>1770912.5</v>
      </c>
      <c r="J22" s="84">
        <f>SUM(J4:J16)</f>
        <v>43529.5</v>
      </c>
      <c r="K22" s="19" t="s">
        <v>93</v>
      </c>
    </row>
    <row r="23" spans="2:18" ht="15" thickBot="1" x14ac:dyDescent="0.4">
      <c r="B23" s="41"/>
      <c r="J23" s="86">
        <f>ROUNDDOWN(J22/N4,0)</f>
        <v>290</v>
      </c>
      <c r="K23" t="s">
        <v>94</v>
      </c>
    </row>
    <row r="24" spans="2:18" x14ac:dyDescent="0.35">
      <c r="B24" s="41"/>
      <c r="F24" s="87"/>
      <c r="I24" s="88" t="s">
        <v>95</v>
      </c>
      <c r="J24" s="89">
        <f>J23*N4</f>
        <v>43500</v>
      </c>
    </row>
    <row r="25" spans="2:18" x14ac:dyDescent="0.35">
      <c r="B25" s="41"/>
      <c r="I25" s="90" t="s">
        <v>96</v>
      </c>
      <c r="J25" s="91">
        <f>J22-J24</f>
        <v>29.5</v>
      </c>
      <c r="K25" s="92" t="s">
        <v>97</v>
      </c>
    </row>
    <row r="26" spans="2:18" x14ac:dyDescent="0.35">
      <c r="B26" s="41"/>
      <c r="I26" s="88" t="s">
        <v>98</v>
      </c>
      <c r="J26" s="93">
        <f>J25/N7</f>
        <v>0.29499999999999998</v>
      </c>
    </row>
    <row r="27" spans="2:18" x14ac:dyDescent="0.35">
      <c r="B27" s="41"/>
      <c r="F27" s="79"/>
    </row>
    <row r="28" spans="2:18" x14ac:dyDescent="0.35">
      <c r="B28" t="s">
        <v>812</v>
      </c>
      <c r="H28" s="83">
        <f>H22</f>
        <v>1770912.5</v>
      </c>
    </row>
    <row r="29" spans="2:18" x14ac:dyDescent="0.35">
      <c r="B29" s="51" t="s">
        <v>100</v>
      </c>
      <c r="H29" s="94">
        <f>MIN(R4,R6)</f>
        <v>251069.77499999999</v>
      </c>
    </row>
    <row r="30" spans="2:18" x14ac:dyDescent="0.35">
      <c r="B30" t="s">
        <v>101</v>
      </c>
      <c r="H30" s="95">
        <f>SUM(H28:H29)</f>
        <v>2021982.2749999999</v>
      </c>
    </row>
    <row r="32" spans="2:18" ht="15" thickBot="1" x14ac:dyDescent="0.4"/>
    <row r="33" spans="2:10" ht="15" thickBot="1" x14ac:dyDescent="0.4">
      <c r="B33" s="96" t="s">
        <v>102</v>
      </c>
      <c r="C33" s="39"/>
      <c r="D33" s="39"/>
      <c r="E33" s="39"/>
      <c r="F33" s="39"/>
      <c r="G33" s="39"/>
      <c r="H33" s="39"/>
      <c r="I33" s="39"/>
      <c r="J33" s="39"/>
    </row>
    <row r="35" spans="2:10" x14ac:dyDescent="0.35">
      <c r="I35" s="95"/>
    </row>
  </sheetData>
  <sheetProtection sheet="1" objects="1" scenarios="1" formatCells="1" formatColumns="0" formatRows="0" insertColumns="1" insertRows="1" insertHyperlinks="1" deleteColumns="1" deleteRows="1" selectLockedCells="0" selectUnlockedCells="0" sort="0" autoFilter="0" pivotTables="0"/>
  <mergeCells count="1">
    <mergeCell ref="L2:R2"/>
  </mergeCells>
  <pageMargins left="0.70866141732283472" right="0.70866141732283472" top="0.74803149606299213" bottom="0.74803149606299213" header="0.31496062992125984" footer="0.31496062992125984"/>
  <pageSetup scale="62" orientation="landscape" cellComments="asDisplayed"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0968-5D54-4C28-9462-BBB69B1D532A}">
  <dimension ref="A1:C16"/>
  <sheetViews>
    <sheetView topLeftCell="A3" workbookViewId="0">
      <selection activeCell="H9" sqref="H9"/>
    </sheetView>
  </sheetViews>
  <sheetFormatPr baseColWidth="10" defaultRowHeight="14.5" x14ac:dyDescent="0.35"/>
  <sheetData>
    <row r="1" spans="1:3" x14ac:dyDescent="0.35">
      <c r="A1" t="s">
        <v>814</v>
      </c>
      <c r="C1" t="s">
        <v>815</v>
      </c>
    </row>
    <row r="3" spans="1:3" x14ac:dyDescent="0.35">
      <c r="B3" s="61"/>
      <c r="C3" s="61" t="s">
        <v>816</v>
      </c>
    </row>
    <row r="4" spans="1:3" x14ac:dyDescent="0.35">
      <c r="B4" s="61" t="s">
        <v>4</v>
      </c>
      <c r="C4" s="61">
        <v>7933</v>
      </c>
    </row>
    <row r="5" spans="1:3" x14ac:dyDescent="0.35">
      <c r="B5" s="61" t="s">
        <v>6</v>
      </c>
      <c r="C5" s="61">
        <v>9228</v>
      </c>
    </row>
    <row r="6" spans="1:3" x14ac:dyDescent="0.35">
      <c r="B6" s="61" t="s">
        <v>103</v>
      </c>
      <c r="C6" s="61">
        <v>0</v>
      </c>
    </row>
    <row r="7" spans="1:3" x14ac:dyDescent="0.35">
      <c r="B7" s="61" t="s">
        <v>9</v>
      </c>
      <c r="C7" s="61">
        <v>4350</v>
      </c>
    </row>
    <row r="8" spans="1:3" x14ac:dyDescent="0.35">
      <c r="B8" s="61" t="s">
        <v>11</v>
      </c>
      <c r="C8" s="61">
        <v>6999</v>
      </c>
    </row>
    <row r="9" spans="1:3" x14ac:dyDescent="0.35">
      <c r="B9" s="61" t="s">
        <v>104</v>
      </c>
      <c r="C9" s="61">
        <v>0</v>
      </c>
    </row>
    <row r="10" spans="1:3" x14ac:dyDescent="0.35">
      <c r="B10" s="61" t="s">
        <v>14</v>
      </c>
      <c r="C10" s="61">
        <v>3651</v>
      </c>
    </row>
    <row r="11" spans="1:3" x14ac:dyDescent="0.35">
      <c r="B11" s="61" t="s">
        <v>16</v>
      </c>
      <c r="C11" s="61">
        <v>11111</v>
      </c>
    </row>
    <row r="12" spans="1:3" x14ac:dyDescent="0.35">
      <c r="B12" s="61" t="s">
        <v>105</v>
      </c>
      <c r="C12" s="61">
        <v>0</v>
      </c>
    </row>
    <row r="13" spans="1:3" x14ac:dyDescent="0.35">
      <c r="B13" s="61" t="s">
        <v>19</v>
      </c>
      <c r="C13" s="61">
        <v>1658</v>
      </c>
    </row>
    <row r="14" spans="1:3" x14ac:dyDescent="0.35">
      <c r="B14" s="61" t="s">
        <v>34</v>
      </c>
      <c r="C14" s="61">
        <v>917</v>
      </c>
    </row>
    <row r="15" spans="1:3" x14ac:dyDescent="0.35">
      <c r="B15" s="61" t="s">
        <v>66</v>
      </c>
      <c r="C15" s="61">
        <v>2570</v>
      </c>
    </row>
    <row r="16" spans="1:3" x14ac:dyDescent="0.35">
      <c r="B16" s="61" t="s">
        <v>67</v>
      </c>
      <c r="C16" s="61">
        <v>1031</v>
      </c>
    </row>
  </sheetData>
  <sheetProtection sheet="1" objects="1" scenarios="1" formatCells="1" formatColumns="0" formatRows="0" insertColumns="1" insertRows="1" insertHyperlinks="1" deleteColumns="1" deleteRows="1" selectLockedCells="0" selectUnlockedCell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D270-C5A7-4F49-B946-3538528090AE}">
  <dimension ref="B1:H28"/>
  <sheetViews>
    <sheetView showGridLines="0" topLeftCell="A6" zoomScaleNormal="100" workbookViewId="0">
      <selection activeCell="G28" sqref="G28"/>
    </sheetView>
  </sheetViews>
  <sheetFormatPr baseColWidth="10" defaultColWidth="10.54296875" defaultRowHeight="20.149999999999999" customHeight="1" x14ac:dyDescent="0.35"/>
  <cols>
    <col min="1" max="1" width="2.1796875" style="452" customWidth="1"/>
    <col min="2" max="2" width="14" style="452" customWidth="1"/>
    <col min="3" max="3" width="17.81640625" style="452" customWidth="1"/>
    <col min="4" max="4" width="26.54296875" style="452" customWidth="1"/>
    <col min="5" max="5" width="15.453125" style="452" customWidth="1"/>
    <col min="6" max="6" width="14" style="452" customWidth="1"/>
    <col min="7" max="7" width="18.81640625" style="452" customWidth="1"/>
    <col min="8" max="8" width="2.1796875" style="452" customWidth="1"/>
    <col min="9" max="16384" width="10.54296875" style="452"/>
  </cols>
  <sheetData>
    <row r="1" spans="2:8" ht="106.25" customHeight="1" x14ac:dyDescent="0.35">
      <c r="H1" s="452" t="s">
        <v>201</v>
      </c>
    </row>
    <row r="2" spans="2:8" s="454" customFormat="1" ht="17.149999999999999" customHeight="1" x14ac:dyDescent="0.4">
      <c r="B2" s="453" t="s">
        <v>711</v>
      </c>
      <c r="C2" s="452" t="s">
        <v>712</v>
      </c>
      <c r="F2" s="455" t="s">
        <v>713</v>
      </c>
      <c r="G2" s="456">
        <v>48826</v>
      </c>
    </row>
    <row r="3" spans="2:8" ht="17.149999999999999" customHeight="1" x14ac:dyDescent="0.35">
      <c r="C3" s="452" t="s">
        <v>714</v>
      </c>
      <c r="F3" s="455" t="s">
        <v>377</v>
      </c>
      <c r="G3" s="457">
        <v>45703</v>
      </c>
    </row>
    <row r="4" spans="2:8" ht="17.149999999999999" customHeight="1" x14ac:dyDescent="0.35">
      <c r="C4" s="452" t="s">
        <v>715</v>
      </c>
    </row>
    <row r="5" spans="2:8" ht="17.149999999999999" customHeight="1" x14ac:dyDescent="0.35">
      <c r="C5" s="452" t="s">
        <v>716</v>
      </c>
    </row>
    <row r="6" spans="2:8" ht="17.149999999999999" customHeight="1" x14ac:dyDescent="0.35">
      <c r="C6" s="452" t="s">
        <v>717</v>
      </c>
    </row>
    <row r="7" spans="2:8" ht="17.149999999999999" customHeight="1" x14ac:dyDescent="0.35"/>
    <row r="9" spans="2:8" ht="30" customHeight="1" x14ac:dyDescent="0.35">
      <c r="B9" s="458" t="s">
        <v>701</v>
      </c>
      <c r="C9" s="458" t="s">
        <v>718</v>
      </c>
      <c r="D9" s="458" t="s">
        <v>702</v>
      </c>
      <c r="E9" s="458" t="s">
        <v>703</v>
      </c>
      <c r="F9" s="458" t="s">
        <v>719</v>
      </c>
      <c r="G9" s="458" t="s">
        <v>704</v>
      </c>
    </row>
    <row r="10" spans="2:8" ht="20.149999999999999" customHeight="1" x14ac:dyDescent="0.35">
      <c r="B10" s="459">
        <f>'S8 – Commande TRIM 2'!F4</f>
        <v>7750</v>
      </c>
      <c r="C10" s="460">
        <v>1</v>
      </c>
      <c r="D10" s="461" t="s">
        <v>4</v>
      </c>
      <c r="E10" s="462">
        <f>'S8 – Commande TRIM 2'!G4</f>
        <v>6.75</v>
      </c>
      <c r="F10" s="463"/>
      <c r="G10" s="462">
        <f>Table_SalesReceiptDetails6[[#This Row],[Quantité]]*Table_SalesReceiptDetails6[[#This Row],[Prix unitaire]]</f>
        <v>52312.5</v>
      </c>
    </row>
    <row r="11" spans="2:8" ht="20.149999999999999" customHeight="1" x14ac:dyDescent="0.35">
      <c r="B11" s="459">
        <f>'S8 – Commande TRIM 2'!F5</f>
        <v>9100</v>
      </c>
      <c r="C11" s="460">
        <v>2</v>
      </c>
      <c r="D11" s="461" t="s">
        <v>6</v>
      </c>
      <c r="E11" s="462">
        <f>'S8 – Commande TRIM 2'!G5</f>
        <v>13.5</v>
      </c>
      <c r="F11" s="463"/>
      <c r="G11" s="462">
        <f>Table_SalesReceiptDetails6[[#This Row],[Quantité]]*Table_SalesReceiptDetails6[[#This Row],[Prix unitaire]]</f>
        <v>122850</v>
      </c>
    </row>
    <row r="12" spans="2:8" ht="20.149999999999999" customHeight="1" x14ac:dyDescent="0.35">
      <c r="B12" s="542">
        <f>'S8 – Commande TRIM 2'!F6</f>
        <v>-200</v>
      </c>
      <c r="C12" s="543">
        <v>3</v>
      </c>
      <c r="D12" s="544" t="s">
        <v>103</v>
      </c>
      <c r="E12" s="545">
        <f>'S8 – Commande TRIM 2'!G6</f>
        <v>20</v>
      </c>
      <c r="F12" s="546"/>
      <c r="G12" s="545">
        <f>Table_SalesReceiptDetails6[[#This Row],[Quantité]]*Table_SalesReceiptDetails6[[#This Row],[Prix unitaire]]</f>
        <v>-4000</v>
      </c>
    </row>
    <row r="13" spans="2:8" ht="20.149999999999999" customHeight="1" x14ac:dyDescent="0.35">
      <c r="B13" s="459">
        <f>'S8 – Commande TRIM 2'!F7</f>
        <v>4300</v>
      </c>
      <c r="C13" s="460">
        <v>4</v>
      </c>
      <c r="D13" s="461" t="s">
        <v>9</v>
      </c>
      <c r="E13" s="462">
        <f>'S8 – Commande TRIM 2'!G7</f>
        <v>29</v>
      </c>
      <c r="F13" s="463"/>
      <c r="G13" s="462">
        <f>Table_SalesReceiptDetails6[[#This Row],[Quantité]]*Table_SalesReceiptDetails6[[#This Row],[Prix unitaire]]</f>
        <v>124700</v>
      </c>
    </row>
    <row r="14" spans="2:8" ht="20.149999999999999" customHeight="1" x14ac:dyDescent="0.35">
      <c r="B14" s="459">
        <f>'S8 – Commande TRIM 2'!F8</f>
        <v>7050</v>
      </c>
      <c r="C14" s="460">
        <v>5</v>
      </c>
      <c r="D14" s="461" t="s">
        <v>11</v>
      </c>
      <c r="E14" s="462">
        <f>'S8 – Commande TRIM 2'!G8</f>
        <v>35</v>
      </c>
      <c r="F14" s="463"/>
      <c r="G14" s="462">
        <f>Table_SalesReceiptDetails6[[#This Row],[Quantité]]*Table_SalesReceiptDetails6[[#This Row],[Prix unitaire]]</f>
        <v>246750</v>
      </c>
    </row>
    <row r="15" spans="2:8" ht="20.149999999999999" customHeight="1" x14ac:dyDescent="0.35">
      <c r="B15" s="459">
        <f>'S8 – Commande TRIM 2'!F9</f>
        <v>0</v>
      </c>
      <c r="C15" s="460">
        <v>6</v>
      </c>
      <c r="D15" s="461" t="s">
        <v>104</v>
      </c>
      <c r="E15" s="462">
        <f>'S8 – Commande TRIM 2'!G9</f>
        <v>42</v>
      </c>
      <c r="F15" s="463"/>
      <c r="G15" s="462">
        <f>Table_SalesReceiptDetails6[[#This Row],[Quantité]]*Table_SalesReceiptDetails6[[#This Row],[Prix unitaire]]</f>
        <v>0</v>
      </c>
    </row>
    <row r="16" spans="2:8" ht="20.149999999999999" customHeight="1" x14ac:dyDescent="0.35">
      <c r="B16" s="459">
        <f>'S8 – Commande TRIM 2'!F10</f>
        <v>3600</v>
      </c>
      <c r="C16" s="460">
        <v>7</v>
      </c>
      <c r="D16" s="461" t="s">
        <v>14</v>
      </c>
      <c r="E16" s="462">
        <f>'S8 – Commande TRIM 2'!G10</f>
        <v>54</v>
      </c>
      <c r="F16" s="463"/>
      <c r="G16" s="462">
        <f>Table_SalesReceiptDetails6[[#This Row],[Quantité]]*Table_SalesReceiptDetails6[[#This Row],[Prix unitaire]]</f>
        <v>194400</v>
      </c>
    </row>
    <row r="17" spans="2:7" ht="20.149999999999999" customHeight="1" x14ac:dyDescent="0.35">
      <c r="B17" s="459">
        <f>'S8 – Commande TRIM 2'!F11</f>
        <v>11090</v>
      </c>
      <c r="C17" s="460">
        <v>8</v>
      </c>
      <c r="D17" s="461" t="s">
        <v>16</v>
      </c>
      <c r="E17" s="462">
        <f>'S8 – Commande TRIM 2'!G11</f>
        <v>59</v>
      </c>
      <c r="F17" s="463"/>
      <c r="G17" s="462">
        <f>Table_SalesReceiptDetails6[[#This Row],[Quantité]]*Table_SalesReceiptDetails6[[#This Row],[Prix unitaire]]</f>
        <v>654310</v>
      </c>
    </row>
    <row r="18" spans="2:7" ht="20.149999999999999" customHeight="1" x14ac:dyDescent="0.35">
      <c r="B18" s="459">
        <f>'S8 – Commande TRIM 2'!F12</f>
        <v>0</v>
      </c>
      <c r="C18" s="460">
        <v>9</v>
      </c>
      <c r="D18" s="461" t="s">
        <v>105</v>
      </c>
      <c r="E18" s="462">
        <f>'S8 – Commande TRIM 2'!G12</f>
        <v>66</v>
      </c>
      <c r="F18" s="463"/>
      <c r="G18" s="462">
        <f>Table_SalesReceiptDetails6[[#This Row],[Quantité]]*Table_SalesReceiptDetails6[[#This Row],[Prix unitaire]]</f>
        <v>0</v>
      </c>
    </row>
    <row r="19" spans="2:7" ht="20.149999999999999" customHeight="1" x14ac:dyDescent="0.35">
      <c r="B19" s="459">
        <f>'S8 – Commande TRIM 2'!F13</f>
        <v>1670</v>
      </c>
      <c r="C19" s="460">
        <v>10</v>
      </c>
      <c r="D19" s="461" t="s">
        <v>19</v>
      </c>
      <c r="E19" s="462">
        <f>'S8 – Commande TRIM 2'!G13</f>
        <v>69</v>
      </c>
      <c r="F19" s="463"/>
      <c r="G19" s="462">
        <f>Table_SalesReceiptDetails6[[#This Row],[Quantité]]*Table_SalesReceiptDetails6[[#This Row],[Prix unitaire]]</f>
        <v>115230</v>
      </c>
    </row>
    <row r="20" spans="2:7" ht="20.149999999999999" customHeight="1" x14ac:dyDescent="0.35">
      <c r="B20" s="459">
        <f>'S8 – Commande TRIM 2'!F14</f>
        <v>1200</v>
      </c>
      <c r="C20" s="460">
        <v>11</v>
      </c>
      <c r="D20" s="461" t="s">
        <v>34</v>
      </c>
      <c r="E20" s="462">
        <f>'S8 – Commande TRIM 2'!G14</f>
        <v>22</v>
      </c>
      <c r="F20" s="463"/>
      <c r="G20" s="462">
        <f>Table_SalesReceiptDetails6[[#This Row],[Quantité]]*Table_SalesReceiptDetails6[[#This Row],[Prix unitaire]]</f>
        <v>26400</v>
      </c>
    </row>
    <row r="21" spans="2:7" ht="20.149999999999999" customHeight="1" x14ac:dyDescent="0.35">
      <c r="B21" s="459">
        <f>'S8 – Commande TRIM 2'!F15</f>
        <v>3370</v>
      </c>
      <c r="C21" s="460">
        <v>12</v>
      </c>
      <c r="D21" s="461" t="s">
        <v>66</v>
      </c>
      <c r="E21" s="462">
        <f>'S8 – Commande TRIM 2'!G15</f>
        <v>43</v>
      </c>
      <c r="F21" s="463"/>
      <c r="G21" s="462">
        <f>Table_SalesReceiptDetails6[[#This Row],[Quantité]]*Table_SalesReceiptDetails6[[#This Row],[Prix unitaire]]</f>
        <v>144910</v>
      </c>
    </row>
    <row r="22" spans="2:7" ht="20.149999999999999" customHeight="1" x14ac:dyDescent="0.35">
      <c r="B22" s="459">
        <f>'S8 – Commande TRIM 2'!F16</f>
        <v>1370</v>
      </c>
      <c r="C22" s="460">
        <v>13</v>
      </c>
      <c r="D22" s="461" t="s">
        <v>67</v>
      </c>
      <c r="E22" s="462">
        <f>'S8 – Commande TRIM 2'!G16</f>
        <v>65</v>
      </c>
      <c r="F22" s="463"/>
      <c r="G22" s="462">
        <f>Table_SalesReceiptDetails6[[#This Row],[Quantité]]*Table_SalesReceiptDetails6[[#This Row],[Prix unitaire]]</f>
        <v>89050</v>
      </c>
    </row>
    <row r="23" spans="2:7" ht="24" customHeight="1" x14ac:dyDescent="0.35">
      <c r="B23" s="460"/>
      <c r="C23" s="460"/>
      <c r="D23" s="461"/>
      <c r="E23" s="461"/>
      <c r="F23" s="461"/>
      <c r="G23" s="464"/>
    </row>
    <row r="24" spans="2:7" ht="24" customHeight="1" x14ac:dyDescent="0.35">
      <c r="F24" s="465"/>
      <c r="G24" s="551">
        <f>SUM(Table_SalesReceiptDetails6[Total de la ligne])</f>
        <v>1766912.5</v>
      </c>
    </row>
    <row r="25" spans="2:7" ht="24" customHeight="1" x14ac:dyDescent="0.3">
      <c r="B25" s="454" t="s">
        <v>720</v>
      </c>
      <c r="F25" s="465" t="s">
        <v>707</v>
      </c>
      <c r="G25" s="552">
        <f>SUM(Table_SalesReceiptDetails6[Total de la ligne])</f>
        <v>1766912.5</v>
      </c>
    </row>
    <row r="26" spans="2:7" ht="24" customHeight="1" x14ac:dyDescent="0.35">
      <c r="B26" s="468" t="s">
        <v>721</v>
      </c>
      <c r="E26" s="465" t="s">
        <v>722</v>
      </c>
      <c r="F26" s="469">
        <v>0.05</v>
      </c>
      <c r="G26" s="467">
        <f>F26*G25</f>
        <v>88345.625</v>
      </c>
    </row>
    <row r="27" spans="2:7" ht="20.149999999999999" customHeight="1" x14ac:dyDescent="0.35">
      <c r="B27" s="452" t="s">
        <v>723</v>
      </c>
      <c r="E27" s="465" t="s">
        <v>724</v>
      </c>
      <c r="F27" s="470">
        <v>9.9750000000000005E-2</v>
      </c>
      <c r="G27" s="467">
        <f>G25*F27</f>
        <v>176249.52187500001</v>
      </c>
    </row>
    <row r="28" spans="2:7" ht="20.149999999999999" customHeight="1" x14ac:dyDescent="0.35">
      <c r="B28" s="471"/>
      <c r="F28" s="465" t="s">
        <v>68</v>
      </c>
      <c r="G28" s="553">
        <f>G25+G26+G27</f>
        <v>2031507.6468750001</v>
      </c>
    </row>
  </sheetData>
  <sheetProtection sheet="1" objects="1" scenarios="1" formatCells="1" formatColumns="0" formatRows="0" insertColumns="1" insertRows="1" insertHyperlinks="1" deleteColumns="1" deleteRows="1" selectLockedCells="0" selectUnlockedCells="0" sort="0" autoFilter="0" pivotTables="0"/>
  <dataValidations count="19">
    <dataValidation allowBlank="1" showInputMessage="1" showErrorMessage="1" prompt="Entrez le nom, le numéro de téléphone et l’adresse e-mail du contact dans cette cellule" sqref="B26" xr:uid="{9D454E19-B266-4780-9E5D-376B0ABD6856}"/>
    <dataValidation allowBlank="1" showInputMessage="1" showErrorMessage="1" promptTitle="Modèle de ticket de caisse" prompt="Pour créer rapidement un ticket de caisse, entrez les informations suivantes :_x000a_- Informations client_x000a_- N° de facture, Date de facture_x000a_- Détails du paiement_x000a_- Détails du ticket de caisse_x000a_- TVA" sqref="A1" xr:uid="{3E2EF3EC-C1A9-4252-8CC2-E27C306F5A66}"/>
    <dataValidation allowBlank="1" showInputMessage="1" showErrorMessage="1" prompt="Entrez les informations sur le client dans la section à droite" sqref="B2" xr:uid="{CABED5EB-AB51-4F43-9174-D7A968A2BAEA}"/>
    <dataValidation allowBlank="1" showInputMessage="1" showErrorMessage="1" prompt="Entrez le nom du client dans cette cellule." sqref="C2" xr:uid="{6D1CF9FE-AE6E-4DF9-B526-4F73C830C065}"/>
    <dataValidation allowBlank="1" showInputMessage="1" showErrorMessage="1" prompt="Entrez le nom de société du client dans cette cellule." sqref="C3" xr:uid="{5AFF9656-61C5-472A-85D1-C7C7D35A7552}"/>
    <dataValidation allowBlank="1" showInputMessage="1" showErrorMessage="1" prompt="Entrez l’adresse du client dans cette cellule" sqref="C4:C5" xr:uid="{3F47D276-C12B-48CD-B281-69D0239B3B79}"/>
    <dataValidation allowBlank="1" showInputMessage="1" showErrorMessage="1" prompt="Entrez les numéros de contact du client de cette cellule" sqref="C6" xr:uid="{C9E76B06-CA20-4C95-9D9B-C7DB2BC9FE65}"/>
    <dataValidation allowBlank="1" showInputMessage="1" showErrorMessage="1" prompt="Entrez le numéro de la facture dans cette cellule." sqref="G2" xr:uid="{A2FCF46C-92F2-4C3B-99A2-D500FCE3F9E9}"/>
    <dataValidation allowBlank="1" showInputMessage="1" showErrorMessage="1" prompt="Entrez la date de la facture dans cette cellule" sqref="G3" xr:uid="{B27432DE-6758-443B-AD55-2B439CCDD56E}"/>
    <dataValidation allowBlank="1" showInputMessage="1" showErrorMessage="1" prompt="Entrez la quantité dans cette colonne." sqref="B9" xr:uid="{0505EC53-2E5E-421D-B228-33523521293E}"/>
    <dataValidation allowBlank="1" showInputMessage="1" showErrorMessage="1" prompt="Entrez le numéro de poste dans cette colonne" sqref="C9" xr:uid="{35BF04A2-B3E9-4ED3-B9DE-0761C135DB7F}"/>
    <dataValidation allowBlank="1" showInputMessage="1" showErrorMessage="1" prompt="Entrez la description de l’événement dans cette colonne" sqref="D9" xr:uid="{22DF144E-DF83-4657-9FA8-CE1C2B9351F9}"/>
    <dataValidation allowBlank="1" showInputMessage="1" showErrorMessage="1" prompt="Entrez le prix unitaire dans cette colonne." sqref="E9" xr:uid="{C2DF9B45-8A3F-4604-B6E2-92BE5CDF3AE4}"/>
    <dataValidation allowBlank="1" showInputMessage="1" showErrorMessage="1" prompt="Entrez le pourcentage de remise dans cette colonne" sqref="F9" xr:uid="{428BE7EE-155E-4D1F-B240-AA35DE2D134E}"/>
    <dataValidation allowBlank="1" showInputMessage="1" showErrorMessage="1" prompt="Cette colonne calcule automatiquement chaque coût total par ligne" sqref="G9" xr:uid="{4E071584-A056-4985-AA32-0C6A755A74D0}"/>
    <dataValidation allowBlank="1" showInputMessage="1" showErrorMessage="1" prompt="Le sous-total est calculé automatiquement dans cette cellule" sqref="G25" xr:uid="{445CD916-BBA1-4AE0-B047-E5062AA3FD78}"/>
    <dataValidation allowBlank="1" showInputMessage="1" showErrorMessage="1" prompt="Entrez le montant de la remise sur la vente ici" sqref="G24" xr:uid="{A5E6A006-2952-49AE-9364-E9611104A772}"/>
    <dataValidation allowBlank="1" showInputMessage="1" showErrorMessage="1" prompt="Entrez la TVA dans cette cellule" sqref="G26" xr:uid="{3ABC3937-E354-40F3-B5EF-0843408A4BAF}"/>
    <dataValidation allowBlank="1" showInputMessage="1" showErrorMessage="1" prompt="Le total est calculé automatiquement dans cette cellule" sqref="G28" xr:uid="{B8123B9E-D09C-4AEC-B783-EBA2BB22DEAE}"/>
  </dataValidations>
  <printOptions horizontalCentered="1"/>
  <pageMargins left="0.25" right="0.25" top="0.75" bottom="0.75" header="0.3" footer="0.3"/>
  <pageSetup paperSize="9"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4BC7-D5B8-4D72-B50F-B7664904FB9E}">
  <sheetPr>
    <tabColor theme="4" tint="0.79998168889431442"/>
    <pageSetUpPr fitToPage="1"/>
  </sheetPr>
  <dimension ref="B1:E30"/>
  <sheetViews>
    <sheetView showGridLines="0" topLeftCell="A8" zoomScaleNormal="100" workbookViewId="0">
      <selection activeCell="E28" sqref="E28"/>
    </sheetView>
  </sheetViews>
  <sheetFormatPr baseColWidth="10" defaultColWidth="9.6328125" defaultRowHeight="30" customHeight="1" x14ac:dyDescent="0.35"/>
  <cols>
    <col min="1" max="1" width="6.7265625" style="429" customWidth="1"/>
    <col min="2" max="2" width="16.7265625" style="429" customWidth="1"/>
    <col min="3" max="3" width="43.6328125" style="429" customWidth="1"/>
    <col min="4" max="4" width="28.36328125" style="429" bestFit="1" customWidth="1"/>
    <col min="5" max="5" width="16.7265625" style="429" customWidth="1"/>
    <col min="6" max="6" width="2.81640625" style="429" customWidth="1"/>
    <col min="7" max="7" width="9.6328125" style="429" customWidth="1"/>
    <col min="8" max="16384" width="9.6328125" style="429"/>
  </cols>
  <sheetData>
    <row r="1" spans="2:5" ht="68.25" customHeight="1" x14ac:dyDescent="0.35">
      <c r="B1" s="428"/>
      <c r="C1" s="428" t="s">
        <v>680</v>
      </c>
      <c r="D1" s="750" t="s">
        <v>681</v>
      </c>
      <c r="E1" s="750"/>
    </row>
    <row r="2" spans="2:5" ht="27.9" customHeight="1" x14ac:dyDescent="0.4">
      <c r="B2" s="751" t="s">
        <v>682</v>
      </c>
      <c r="C2" s="751"/>
      <c r="D2" s="430"/>
      <c r="E2" s="430"/>
    </row>
    <row r="3" spans="2:5" ht="16.5" customHeight="1" x14ac:dyDescent="0.35">
      <c r="B3" s="746" t="s">
        <v>683</v>
      </c>
      <c r="C3" s="746"/>
      <c r="D3" s="431" t="s">
        <v>684</v>
      </c>
      <c r="E3" s="429">
        <v>1256</v>
      </c>
    </row>
    <row r="4" spans="2:5" ht="16.5" customHeight="1" x14ac:dyDescent="0.35">
      <c r="B4" s="746" t="s">
        <v>685</v>
      </c>
      <c r="C4" s="746"/>
      <c r="D4" s="431" t="s">
        <v>686</v>
      </c>
      <c r="E4" s="432">
        <v>45704</v>
      </c>
    </row>
    <row r="5" spans="2:5" ht="16.5" customHeight="1" x14ac:dyDescent="0.35">
      <c r="B5" s="747" t="s">
        <v>687</v>
      </c>
      <c r="C5" s="747"/>
      <c r="D5" s="431" t="s">
        <v>688</v>
      </c>
      <c r="E5" s="429" t="s">
        <v>689</v>
      </c>
    </row>
    <row r="6" spans="2:5" ht="16.5" customHeight="1" x14ac:dyDescent="0.35">
      <c r="B6" s="749" t="s">
        <v>690</v>
      </c>
      <c r="C6" s="746"/>
    </row>
    <row r="7" spans="2:5" ht="33" customHeight="1" x14ac:dyDescent="0.35">
      <c r="B7" s="746" t="s">
        <v>691</v>
      </c>
      <c r="C7" s="746"/>
    </row>
    <row r="8" spans="2:5" ht="16.5" customHeight="1" x14ac:dyDescent="0.35">
      <c r="B8" s="746" t="s">
        <v>692</v>
      </c>
      <c r="C8" s="746"/>
    </row>
    <row r="9" spans="2:5" ht="16.5" customHeight="1" x14ac:dyDescent="0.35">
      <c r="B9" s="746" t="s">
        <v>693</v>
      </c>
      <c r="C9" s="746"/>
    </row>
    <row r="10" spans="2:5" ht="16.5" customHeight="1" x14ac:dyDescent="0.35">
      <c r="B10" s="746" t="s">
        <v>685</v>
      </c>
      <c r="C10" s="746"/>
    </row>
    <row r="11" spans="2:5" ht="33" customHeight="1" x14ac:dyDescent="0.35">
      <c r="B11" s="747">
        <v>0</v>
      </c>
      <c r="C11" s="747"/>
    </row>
    <row r="12" spans="2:5" ht="30" customHeight="1" x14ac:dyDescent="0.35">
      <c r="B12" s="433" t="s">
        <v>130</v>
      </c>
      <c r="C12" s="433" t="s">
        <v>694</v>
      </c>
      <c r="D12" s="433" t="s">
        <v>695</v>
      </c>
      <c r="E12" s="433" t="s">
        <v>696</v>
      </c>
    </row>
    <row r="13" spans="2:5" ht="30" customHeight="1" x14ac:dyDescent="0.35">
      <c r="B13" s="434" t="s">
        <v>697</v>
      </c>
      <c r="C13" s="434" t="s">
        <v>698</v>
      </c>
      <c r="D13" s="435" t="s">
        <v>699</v>
      </c>
      <c r="E13" s="436" t="s">
        <v>700</v>
      </c>
    </row>
    <row r="14" spans="2:5" ht="15" customHeight="1" x14ac:dyDescent="0.35"/>
    <row r="15" spans="2:5" ht="30" customHeight="1" x14ac:dyDescent="0.35">
      <c r="B15" s="433" t="s">
        <v>701</v>
      </c>
      <c r="C15" s="433" t="s">
        <v>702</v>
      </c>
      <c r="D15" s="437" t="s">
        <v>703</v>
      </c>
      <c r="E15" s="438" t="s">
        <v>704</v>
      </c>
    </row>
    <row r="16" spans="2:5" ht="30" customHeight="1" x14ac:dyDescent="0.35">
      <c r="B16" s="547">
        <f>'S8 – Commande TRIM 2'!P6</f>
        <v>290</v>
      </c>
      <c r="C16" s="439" t="s">
        <v>705</v>
      </c>
      <c r="D16" s="440">
        <f>865</f>
        <v>865</v>
      </c>
      <c r="E16" s="441">
        <f>Facture5[[#This Row],[Prix unitaire]]*Facture5[[#This Row],[Quantité]]</f>
        <v>250850</v>
      </c>
    </row>
    <row r="17" spans="2:5" ht="30" customHeight="1" x14ac:dyDescent="0.35">
      <c r="B17" s="442">
        <f>'S8 – Commande TRIM 2'!P7</f>
        <v>0.29499999999999998</v>
      </c>
      <c r="C17" s="443" t="s">
        <v>706</v>
      </c>
      <c r="D17" s="444">
        <v>745</v>
      </c>
      <c r="E17" s="441">
        <f>Facture5[[#This Row],[Prix unitaire]]*Facture5[[#This Row],[Quantité]]</f>
        <v>219.77499999999998</v>
      </c>
    </row>
    <row r="18" spans="2:5" ht="30" customHeight="1" x14ac:dyDescent="0.35">
      <c r="B18" s="439"/>
      <c r="C18" s="439"/>
      <c r="D18" s="445"/>
      <c r="E18" s="441"/>
    </row>
    <row r="19" spans="2:5" ht="30" customHeight="1" x14ac:dyDescent="0.35">
      <c r="B19" s="443"/>
      <c r="C19" s="443"/>
      <c r="D19" s="446"/>
      <c r="E19" s="441"/>
    </row>
    <row r="20" spans="2:5" ht="30" customHeight="1" x14ac:dyDescent="0.35">
      <c r="B20" s="439"/>
      <c r="C20" s="439"/>
      <c r="D20" s="445"/>
      <c r="E20" s="441"/>
    </row>
    <row r="21" spans="2:5" ht="30" customHeight="1" x14ac:dyDescent="0.35">
      <c r="B21" s="443"/>
      <c r="C21" s="443"/>
      <c r="D21" s="446"/>
      <c r="E21" s="441"/>
    </row>
    <row r="22" spans="2:5" ht="30" customHeight="1" x14ac:dyDescent="0.35">
      <c r="B22" s="439"/>
      <c r="C22" s="439"/>
      <c r="D22" s="445"/>
      <c r="E22" s="441"/>
    </row>
    <row r="23" spans="2:5" ht="30" customHeight="1" x14ac:dyDescent="0.35">
      <c r="B23" s="443"/>
      <c r="C23" s="443"/>
      <c r="D23" s="446"/>
      <c r="E23" s="441"/>
    </row>
    <row r="24" spans="2:5" ht="30" customHeight="1" x14ac:dyDescent="0.35">
      <c r="B24" s="439"/>
      <c r="C24" s="439"/>
      <c r="D24" s="445"/>
      <c r="E24" s="441"/>
    </row>
    <row r="25" spans="2:5" ht="30" customHeight="1" x14ac:dyDescent="0.35">
      <c r="B25" s="443"/>
      <c r="C25" s="443"/>
      <c r="D25" s="446"/>
      <c r="E25" s="441"/>
    </row>
    <row r="26" spans="2:5" ht="30" customHeight="1" x14ac:dyDescent="0.35">
      <c r="B26" s="447"/>
      <c r="C26" s="447"/>
      <c r="D26" s="447" t="s">
        <v>707</v>
      </c>
      <c r="E26" s="548">
        <f>SUM(Facture5[Total de la ligne])</f>
        <v>251069.77499999999</v>
      </c>
    </row>
    <row r="27" spans="2:5" ht="30" customHeight="1" x14ac:dyDescent="0.35">
      <c r="B27" s="748" t="s">
        <v>308</v>
      </c>
      <c r="C27" s="748"/>
      <c r="D27" s="449">
        <v>0.14974999999999999</v>
      </c>
      <c r="E27" s="549">
        <f>Facture5[[#Totals],[Total de la ligne]]*0.14975</f>
        <v>37597.698806249995</v>
      </c>
    </row>
    <row r="28" spans="2:5" ht="30" customHeight="1" x14ac:dyDescent="0.35">
      <c r="B28" s="742" t="s">
        <v>708</v>
      </c>
      <c r="C28" s="742"/>
      <c r="D28" s="742"/>
      <c r="E28" s="550">
        <f>SUM(E26:E27)</f>
        <v>288667.47380624997</v>
      </c>
    </row>
    <row r="29" spans="2:5" ht="30" customHeight="1" x14ac:dyDescent="0.35">
      <c r="B29" s="743" t="s">
        <v>709</v>
      </c>
      <c r="C29" s="744"/>
      <c r="D29" s="744"/>
      <c r="E29" s="744"/>
    </row>
    <row r="30" spans="2:5" ht="30" customHeight="1" x14ac:dyDescent="0.35">
      <c r="B30" s="745" t="s">
        <v>710</v>
      </c>
      <c r="C30" s="745"/>
      <c r="D30" s="745"/>
      <c r="E30" s="745"/>
    </row>
  </sheetData>
  <sheetProtection sheet="1" objects="1" scenarios="1" formatCells="1" formatColumns="0" formatRows="0" insertColumns="1" insertRows="1" insertHyperlinks="1" deleteColumns="1" deleteRows="1" selectLockedCells="0" selectUnlockedCells="0" sort="0" autoFilter="0" pivotTables="0"/>
  <mergeCells count="15">
    <mergeCell ref="B28:D28"/>
    <mergeCell ref="B29:E29"/>
    <mergeCell ref="B30:E30"/>
    <mergeCell ref="B7:C7"/>
    <mergeCell ref="B8:C8"/>
    <mergeCell ref="B9:C9"/>
    <mergeCell ref="B10:C10"/>
    <mergeCell ref="B11:C11"/>
    <mergeCell ref="B27:C27"/>
    <mergeCell ref="B6:C6"/>
    <mergeCell ref="D1:E1"/>
    <mergeCell ref="B2:C2"/>
    <mergeCell ref="B3:C3"/>
    <mergeCell ref="B4:C4"/>
    <mergeCell ref="B5:C5"/>
  </mergeCells>
  <dataValidations count="38">
    <dataValidation allowBlank="1" showInputMessage="1" showErrorMessage="1" prompt="Entrez le taux de TVA dans la cellule à droite." sqref="B27:C27" xr:uid="{E513F732-7D53-4ADF-A231-D090E80523A5}"/>
    <dataValidation allowBlank="1" showInputMessage="1" showErrorMessage="1" prompt="Ajoutez le logo de la société dans cette cellule, son slogan dans la cellule à droite et le nom, l'adresse postale, la ville, le code postal, le pays, le numéro de téléphone, le numéro de télécopie et l'e-mail de la société dans les cellules ci-dessous." sqref="B1" xr:uid="{84EE4E7F-C8DC-40A9-8456-A40B90BB9723}"/>
    <dataValidation allowBlank="1" showInputMessage="1" showErrorMessage="1" prompt="Le total est calculé automatiquement dans cette cellule." sqref="E28" xr:uid="{ABDA7EE5-1A4F-4E71-8B2E-6F060CB6D285}"/>
    <dataValidation allowBlank="1" showInputMessage="1" showErrorMessage="1" prompt="Le montant de TVA est calculé automatiquement dans cette cellule à l’aide du taux de TVA figurant dans la cellule à gauche." sqref="E27" xr:uid="{EC090A11-5593-4E2A-A7C3-9F14A0591D02}"/>
    <dataValidation allowBlank="1" showInputMessage="1" showErrorMessage="1" prompt="Créez une facture de service dans cette feuille de calcul en suivant les instructions figurant dans la feuille de calcul Comment utiliser ce modèle. Ajoutez le logo de la société dans la cellule à droite." sqref="A1" xr:uid="{2D91612E-07CB-4718-8DC7-21462D87943D}"/>
    <dataValidation allowBlank="1" showInputMessage="1" showErrorMessage="1" prompt="Entrez la description de la tâche dans cette cellule." sqref="C13" xr:uid="{8B5CBFFA-262D-469E-951B-1D119E956C4A}"/>
    <dataValidation allowBlank="1" showInputMessage="1" showErrorMessage="1" prompt="Entrez le nom du vendeur dans cette cellule." sqref="B13" xr:uid="{D2F53E55-79AD-4B55-B92D-6C8A2BA09EF7}"/>
    <dataValidation allowBlank="1" showInputMessage="1" showErrorMessage="1" prompt="Entrez les conditions de paiement dans cette cellule." sqref="D13" xr:uid="{9A584D59-2259-4093-9CAA-144C906D1204}"/>
    <dataValidation allowBlank="1" showInputMessage="1" showErrorMessage="1" prompt="Entrez la date d’échéance dans cette cellule." sqref="E13" xr:uid="{71CE44E6-B2B1-4DD4-A2E1-78AE308A0AE9}"/>
    <dataValidation allowBlank="1" showInputMessage="1" showErrorMessage="1" prompt="Entrez la date d’échéance dans la cellule ci-dessous." sqref="E12" xr:uid="{95558423-2F0B-41A4-8AE9-32DB34191C2F}"/>
    <dataValidation allowBlank="1" showInputMessage="1" showErrorMessage="1" prompt="Entrez les conditions de paiement dans la cellule ci-dessous." sqref="D12" xr:uid="{C4478333-3B88-4594-8F0B-3F17F92931D0}"/>
    <dataValidation allowBlank="1" showInputMessage="1" showErrorMessage="1" prompt="Entrez la description de la tâche dans la cellule ci-dessous." sqref="C12" xr:uid="{B09199BB-5C25-4C50-940F-AFAC5BD29E41}"/>
    <dataValidation allowBlank="1" showInputMessage="1" showErrorMessage="1" prompt="Entrez le nom du vendeur dans la cellule ci-dessous." sqref="B12" xr:uid="{026BC2AE-79E5-4C54-BE87-FE7BA6E19517}"/>
    <dataValidation allowBlank="1" showInputMessage="1" showErrorMessage="1" prompt="Le total est calculé automatiquement dans la cellule à droite." sqref="B28:D28" xr:uid="{EE7162EC-FB4B-4885-BBD4-1683E8224372}"/>
    <dataValidation allowBlank="1" showInputMessage="1" showErrorMessage="1" prompt="Entrez le taux de TVA dans cette cellule. Le montant de TVA est calculé automatiquement dans la cellule à droite." sqref="D27" xr:uid="{D5A261B2-18E8-418F-9D42-8CDAFAFC2431}"/>
    <dataValidation allowBlank="1" showInputMessage="1" showErrorMessage="1" prompt="Le total de la ligne est calculé automatiquement dans cette colonne sous ce titre." sqref="E15" xr:uid="{61E3237D-7DA6-4CE9-A8C6-1CE5B25E551C}"/>
    <dataValidation allowBlank="1" showInputMessage="1" showErrorMessage="1" prompt="Entrez le prix unitaire dans cette colonne sous ce titre." sqref="D15" xr:uid="{03680C89-1C21-4D06-A4A3-CA42A4B6CE90}"/>
    <dataValidation allowBlank="1" showInputMessage="1" showErrorMessage="1" prompt="Entrez la description dans cette colonne sous ce titre." sqref="C15" xr:uid="{108252EB-2E7D-43A2-BB0A-AF97A2BEDD32}"/>
    <dataValidation allowBlank="1" showInputMessage="1" showErrorMessage="1" prompt="Entrez la quantité dans cette colonne sous ce titre." sqref="B15" xr:uid="{565DA484-21C1-49AC-87F1-6DA87A26530B}"/>
    <dataValidation allowBlank="1" showInputMessage="1" showErrorMessage="1" prompt="Entrez le numéro de téléphone du client dans cette cellule." sqref="B11:C11" xr:uid="{858A5041-FE79-47BD-A08C-EDBD155FF18B}"/>
    <dataValidation allowBlank="1" showInputMessage="1" showErrorMessage="1" prompt="Entrez la localité, le code postal et le pays du client dans cette cellule." sqref="B10:C10" xr:uid="{13CC122E-13B2-47BC-8FE0-49218DE805DB}"/>
    <dataValidation allowBlank="1" showInputMessage="1" showErrorMessage="1" prompt="Entrez l’adresse postale du client dans cette cellule" sqref="B9:C9" xr:uid="{0FDFAB43-16D9-4E4F-9A8C-15B2E9F90C2D}"/>
    <dataValidation allowBlank="1" showInputMessage="1" showErrorMessage="1" prompt="Entrez le nom de l’entreprise dans cette cellule" sqref="B8:C8" xr:uid="{267ACB09-4FB5-4965-BA16-79EF264E1193}"/>
    <dataValidation allowBlank="1" showInputMessage="1" showErrorMessage="1" prompt="Entrez le nom du client dans cette cellule." sqref="B7:C7" xr:uid="{1A73738A-D66D-4627-A2AF-C94002B8AA21}"/>
    <dataValidation allowBlank="1" showInputMessage="1" showErrorMessage="1" prompt="Entrez l’ID du client dans cette cellule." sqref="E5" xr:uid="{632F170A-E0BF-477B-86F8-F7B9F0D3B5DE}"/>
    <dataValidation allowBlank="1" showInputMessage="1" showErrorMessage="1" prompt="Entrez la référence client dans la cellule à droite" sqref="D5" xr:uid="{C8C49C41-53F7-45E3-9EAA-9F9A58134252}"/>
    <dataValidation allowBlank="1" showInputMessage="1" showErrorMessage="1" prompt="Entrez la date de la facture dans cette cellule" sqref="E4" xr:uid="{4F5E23E5-DBE3-481C-A52B-B02116E086BD}"/>
    <dataValidation allowBlank="1" showInputMessage="1" showErrorMessage="1" prompt="Entrez la date de la facture dans la cellule à droite." sqref="D4" xr:uid="{A3A108CA-F76E-40A1-965D-E37EA8ADA183}"/>
    <dataValidation allowBlank="1" showInputMessage="1" showErrorMessage="1" prompt="Entrez le numéro de la facture dans cette cellule." sqref="E3" xr:uid="{2A75192B-61CB-4BE2-B762-A325CC3CC050}"/>
    <dataValidation allowBlank="1" showInputMessage="1" showErrorMessage="1" prompt="Entrez le numéro de la facture dans la cellule à droite." sqref="D3" xr:uid="{DAE312AD-4D28-474A-91CC-B39FD7B89BB3}"/>
    <dataValidation allowBlank="1" showInputMessage="1" showErrorMessage="1" prompt="Entrez l’adresse e-mail dans cette cellule." sqref="B6:C6" xr:uid="{A52CD752-7D80-40A8-BF2D-2AE81E96D154}"/>
    <dataValidation allowBlank="1" showInputMessage="1" showErrorMessage="1" prompt="Entrez les numéros de téléphone et de télécopie entre les crochets dans cette cellule." sqref="B5:C5" xr:uid="{33FF715B-0E0E-43E4-A41F-4FB4F3F8DD2E}"/>
    <dataValidation allowBlank="1" showInputMessage="1" showErrorMessage="1" prompt="Entrez la localité, le code postal et le pays dans cette cellule." sqref="B4:C4" xr:uid="{A4631688-8D65-4AF2-A1F5-7B91CCB82224}"/>
    <dataValidation allowBlank="1" showInputMessage="1" showErrorMessage="1" prompt="Entrez l’adresse postale de la société émettrice de la facture dans cette cellule." sqref="B3:C3" xr:uid="{F9735E1F-52AB-4B9C-80E5-8FEA6B81062F}"/>
    <dataValidation allowBlank="1" showInputMessage="1" showErrorMessage="1" prompt="Entrez le nom de l’entreprise émettrice de la facture dans cette cellule." sqref="B2" xr:uid="{027B4564-552D-4920-B5AB-F310E22A6881}"/>
    <dataValidation allowBlank="1" showInputMessage="1" showErrorMessage="1" prompt="Le titre de cette feuille de calcul figure dans cette cellule. Entrez le numéro et la date de la facture, ainsi que l’ID du client dans les cellules D3 à E5." sqref="D1:E1" xr:uid="{ED5AF3A9-A62D-4F91-BB10-E01C2C2C8C00}"/>
    <dataValidation allowBlank="1" showInputMessage="1" showErrorMessage="1" prompt="Entrez le slogan de la société dans cette cellule." sqref="C1" xr:uid="{B2ABDA5F-1433-47AD-BD11-951304A10F13}"/>
    <dataValidation allowBlank="1" showInputMessage="1" showErrorMessage="1" prompt="Le nom de la société est ajouté automatiquement dans cette cellule." sqref="B29:E29" xr:uid="{7F21EAD5-8708-4B69-B90D-667E2F492169}"/>
  </dataValidations>
  <hyperlinks>
    <hyperlink ref="B6" r:id="rId1" xr:uid="{E3BF7C05-8C3D-46D9-9109-888C47643596}"/>
  </hyperlinks>
  <printOptions horizontalCentered="1"/>
  <pageMargins left="0.75" right="0.75" top="0.5" bottom="0.5" header="0.5" footer="0.5"/>
  <pageSetup paperSize="9" scale="77" fitToHeight="0" orientation="portrait" r:id="rId2"/>
  <headerFooter differentFirst="1">
    <oddFooter>Page &amp;P of &amp;N</oddFooter>
  </headerFooter>
  <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53EB6-CBFD-4F1E-93DD-9755AD8EE2EF}">
  <sheetPr>
    <pageSetUpPr fitToPage="1"/>
  </sheetPr>
  <dimension ref="B2:Q19"/>
  <sheetViews>
    <sheetView topLeftCell="A5" zoomScaleNormal="100" workbookViewId="0">
      <selection activeCell="D13" sqref="D13"/>
    </sheetView>
  </sheetViews>
  <sheetFormatPr baseColWidth="10" defaultRowHeight="14.5" x14ac:dyDescent="0.35"/>
  <cols>
    <col min="1" max="1" width="3.6328125" customWidth="1"/>
    <col min="2" max="2" width="10.6328125" customWidth="1"/>
    <col min="3" max="3" width="17.36328125" customWidth="1"/>
    <col min="4" max="4" width="15.36328125" customWidth="1"/>
    <col min="5" max="6" width="14.54296875" customWidth="1"/>
    <col min="7" max="7" width="13.90625" customWidth="1"/>
    <col min="8" max="10" width="14" customWidth="1"/>
    <col min="13" max="14" width="14.90625" customWidth="1"/>
  </cols>
  <sheetData>
    <row r="2" spans="2:16" ht="15" thickBot="1" x14ac:dyDescent="0.4"/>
    <row r="3" spans="2:16" ht="15" thickBot="1" x14ac:dyDescent="0.4">
      <c r="C3" s="736" t="s">
        <v>250</v>
      </c>
      <c r="D3" s="737"/>
      <c r="E3" s="737"/>
      <c r="F3" s="737"/>
      <c r="G3" s="737"/>
      <c r="H3" s="737"/>
      <c r="I3" s="737"/>
      <c r="J3" s="738"/>
    </row>
    <row r="4" spans="2:16" ht="54.65" customHeight="1" x14ac:dyDescent="0.35">
      <c r="D4" s="101" t="s">
        <v>251</v>
      </c>
      <c r="G4" s="50"/>
      <c r="H4" s="152" t="s">
        <v>252</v>
      </c>
      <c r="I4" s="245" t="s">
        <v>253</v>
      </c>
      <c r="J4" t="s">
        <v>254</v>
      </c>
      <c r="K4" s="739" t="s">
        <v>255</v>
      </c>
      <c r="L4" s="740"/>
      <c r="M4" s="741"/>
      <c r="N4" s="64"/>
    </row>
    <row r="5" spans="2:16" ht="74" customHeight="1" x14ac:dyDescent="0.35">
      <c r="B5" s="422" t="s">
        <v>24</v>
      </c>
      <c r="C5" s="423" t="s">
        <v>817</v>
      </c>
      <c r="D5" s="423" t="s">
        <v>256</v>
      </c>
      <c r="E5" s="423" t="s">
        <v>257</v>
      </c>
      <c r="F5" s="423" t="s">
        <v>725</v>
      </c>
      <c r="G5" s="423" t="s">
        <v>258</v>
      </c>
      <c r="H5" s="423" t="s">
        <v>259</v>
      </c>
      <c r="I5" s="423" t="s">
        <v>260</v>
      </c>
      <c r="J5" s="424" t="s">
        <v>261</v>
      </c>
      <c r="K5" s="425" t="s">
        <v>24</v>
      </c>
      <c r="L5" s="423" t="s">
        <v>262</v>
      </c>
      <c r="M5" s="426" t="s">
        <v>263</v>
      </c>
      <c r="N5" s="427" t="s">
        <v>726</v>
      </c>
      <c r="O5" s="64" t="s">
        <v>84</v>
      </c>
      <c r="P5" s="64" t="s">
        <v>679</v>
      </c>
    </row>
    <row r="6" spans="2:16" x14ac:dyDescent="0.35">
      <c r="B6" s="248" t="s">
        <v>4</v>
      </c>
      <c r="C6" s="249">
        <f>'S8 – Commande TRIM 2'!F4</f>
        <v>7750</v>
      </c>
      <c r="D6" s="421">
        <f>'Ventes potentielle TRIM 2'!C4</f>
        <v>7933</v>
      </c>
      <c r="E6" s="249">
        <f>MIN(C6:D6)</f>
        <v>7750</v>
      </c>
      <c r="F6" s="473">
        <f>'Fournisseur 1'!B10</f>
        <v>5300</v>
      </c>
      <c r="G6" s="250"/>
      <c r="H6" s="251">
        <f>(E6*Données!I6)+(G6*50%)*Données!I6</f>
        <v>84242.5</v>
      </c>
      <c r="I6" s="249">
        <f>C6-E6-G6</f>
        <v>0</v>
      </c>
      <c r="J6" s="252">
        <f>I6*Données!H6</f>
        <v>0</v>
      </c>
      <c r="K6" s="253" t="str">
        <f>B6</f>
        <v>P1</v>
      </c>
      <c r="L6" s="34">
        <f>IF(D6&gt;E6,D6-E6,0)</f>
        <v>183</v>
      </c>
      <c r="M6" s="254">
        <f>L6*Données!I6</f>
        <v>1989.2099999999998</v>
      </c>
      <c r="N6" s="148"/>
      <c r="O6" s="87">
        <f>'S3 - IMMO'!J4</f>
        <v>0.18000000000000002</v>
      </c>
      <c r="P6" s="6">
        <f t="shared" ref="P6:P18" si="0">(E6+N6)*O6</f>
        <v>1395.0000000000002</v>
      </c>
    </row>
    <row r="7" spans="2:16" x14ac:dyDescent="0.35">
      <c r="B7" s="248" t="s">
        <v>6</v>
      </c>
      <c r="C7" s="249">
        <f>'S8 – Commande TRIM 2'!F5</f>
        <v>9100</v>
      </c>
      <c r="D7" s="421">
        <f>'Ventes potentielle TRIM 2'!C5</f>
        <v>9228</v>
      </c>
      <c r="E7" s="249">
        <f t="shared" ref="E7:E15" si="1">MIN(C7:D7)</f>
        <v>9100</v>
      </c>
      <c r="F7" s="473">
        <f>'Fournisseur 1'!B11</f>
        <v>6200</v>
      </c>
      <c r="G7" s="250"/>
      <c r="H7" s="251">
        <f>(E7*Données!I7)+(G7*50%)*Données!I7</f>
        <v>197834</v>
      </c>
      <c r="I7" s="249">
        <f t="shared" ref="I7:I18" si="2">C7-E7-G7</f>
        <v>0</v>
      </c>
      <c r="J7" s="252">
        <f>I7*Données!H7</f>
        <v>0</v>
      </c>
      <c r="K7" s="253" t="str">
        <f t="shared" ref="K7:K18" si="3">B7</f>
        <v>P2</v>
      </c>
      <c r="L7" s="34">
        <f t="shared" ref="L7:L18" si="4">IF(D7&gt;E7,D7-E7,0)</f>
        <v>128</v>
      </c>
      <c r="M7" s="254">
        <f>L7*Données!I7</f>
        <v>2782.72</v>
      </c>
      <c r="N7" s="148"/>
      <c r="O7" s="87">
        <f>'S3 - IMMO'!J5</f>
        <v>0.22500000000000001</v>
      </c>
      <c r="P7" s="6">
        <f t="shared" si="0"/>
        <v>2047.5</v>
      </c>
    </row>
    <row r="8" spans="2:16" x14ac:dyDescent="0.35">
      <c r="B8" s="248" t="s">
        <v>103</v>
      </c>
      <c r="C8" s="249">
        <v>0</v>
      </c>
      <c r="D8" s="421">
        <f>'Ventes potentielle TRIM 2'!C6</f>
        <v>0</v>
      </c>
      <c r="E8" s="249">
        <f t="shared" si="1"/>
        <v>0</v>
      </c>
      <c r="F8" s="473">
        <f>'Fournisseur 1'!B12</f>
        <v>3700</v>
      </c>
      <c r="G8" s="250"/>
      <c r="H8" s="251">
        <f>(E8*Données!I8)+(G8*50%)*Données!I8</f>
        <v>0</v>
      </c>
      <c r="I8" s="249">
        <f t="shared" si="2"/>
        <v>0</v>
      </c>
      <c r="J8" s="252">
        <f>I8*Données!H8</f>
        <v>0</v>
      </c>
      <c r="K8" s="253" t="str">
        <f t="shared" si="3"/>
        <v>P3</v>
      </c>
      <c r="L8" s="34">
        <f t="shared" si="4"/>
        <v>0</v>
      </c>
      <c r="M8" s="254">
        <f>L8*Données!I8</f>
        <v>0</v>
      </c>
      <c r="N8" s="148"/>
      <c r="O8" s="87">
        <f>'S3 - IMMO'!J6</f>
        <v>0.67500000000000004</v>
      </c>
      <c r="P8" s="6">
        <f t="shared" si="0"/>
        <v>0</v>
      </c>
    </row>
    <row r="9" spans="2:16" x14ac:dyDescent="0.35">
      <c r="B9" s="248" t="s">
        <v>9</v>
      </c>
      <c r="C9" s="249">
        <f>'S8 – Commande TRIM 2'!F7</f>
        <v>4300</v>
      </c>
      <c r="D9" s="421">
        <f>'Ventes potentielle TRIM 2'!C7</f>
        <v>4350</v>
      </c>
      <c r="E9" s="249">
        <f t="shared" si="1"/>
        <v>4300</v>
      </c>
      <c r="F9" s="473">
        <f>'Fournisseur 1'!B13</f>
        <v>2900</v>
      </c>
      <c r="G9" s="250"/>
      <c r="H9" s="251">
        <f>(E9*Données!I9)+(G9*50%)*Données!I9</f>
        <v>181718</v>
      </c>
      <c r="I9" s="249">
        <f t="shared" si="2"/>
        <v>0</v>
      </c>
      <c r="J9" s="252">
        <f>I9*Données!H9</f>
        <v>0</v>
      </c>
      <c r="K9" s="253" t="str">
        <f t="shared" si="3"/>
        <v>P4</v>
      </c>
      <c r="L9" s="34">
        <f t="shared" si="4"/>
        <v>50</v>
      </c>
      <c r="M9" s="254">
        <f>L9*Données!I9</f>
        <v>2113</v>
      </c>
      <c r="N9" s="148"/>
      <c r="O9" s="87">
        <f>'S3 - IMMO'!J7</f>
        <v>0.5</v>
      </c>
      <c r="P9" s="6">
        <f t="shared" si="0"/>
        <v>2150</v>
      </c>
    </row>
    <row r="10" spans="2:16" x14ac:dyDescent="0.35">
      <c r="B10" s="248" t="s">
        <v>11</v>
      </c>
      <c r="C10" s="249">
        <f>'S8 – Commande TRIM 2'!F8</f>
        <v>7050</v>
      </c>
      <c r="D10" s="421">
        <f>'Ventes potentielle TRIM 2'!C8</f>
        <v>6999</v>
      </c>
      <c r="E10" s="249">
        <f t="shared" si="1"/>
        <v>6999</v>
      </c>
      <c r="F10" s="473">
        <f>'Fournisseur 1'!B14</f>
        <v>4800</v>
      </c>
      <c r="G10" s="250"/>
      <c r="H10" s="251">
        <f>(E10*Données!I10)+(G10*50%)*Données!I10</f>
        <v>414130.83</v>
      </c>
      <c r="I10" s="249">
        <f t="shared" si="2"/>
        <v>51</v>
      </c>
      <c r="J10" s="252">
        <f>I10*Données!H10</f>
        <v>1785</v>
      </c>
      <c r="K10" s="253" t="str">
        <f t="shared" si="3"/>
        <v>P5</v>
      </c>
      <c r="L10" s="34">
        <f t="shared" si="4"/>
        <v>0</v>
      </c>
      <c r="M10" s="254">
        <f>L10*Données!I10</f>
        <v>0</v>
      </c>
      <c r="N10" s="148"/>
      <c r="O10" s="87">
        <f>'S3 - IMMO'!J8</f>
        <v>0.75</v>
      </c>
      <c r="P10" s="6">
        <f t="shared" si="0"/>
        <v>5249.25</v>
      </c>
    </row>
    <row r="11" spans="2:16" x14ac:dyDescent="0.35">
      <c r="B11" s="248" t="s">
        <v>104</v>
      </c>
      <c r="C11" s="249">
        <f>'S8 – Commande TRIM 2'!F9</f>
        <v>0</v>
      </c>
      <c r="D11" s="421">
        <f>'Ventes potentielle TRIM 2'!C9</f>
        <v>0</v>
      </c>
      <c r="E11" s="249">
        <f t="shared" si="1"/>
        <v>0</v>
      </c>
      <c r="F11" s="473">
        <f>'Fournisseur 1'!B15</f>
        <v>1700</v>
      </c>
      <c r="G11" s="250"/>
      <c r="H11" s="251">
        <f>(E11*Données!I11)+(G11*50%)*Données!I11</f>
        <v>0</v>
      </c>
      <c r="I11" s="249">
        <f t="shared" si="2"/>
        <v>0</v>
      </c>
      <c r="J11" s="252">
        <f>I11*Données!H11</f>
        <v>0</v>
      </c>
      <c r="K11" s="253" t="str">
        <f t="shared" si="3"/>
        <v>P6</v>
      </c>
      <c r="L11" s="34">
        <f t="shared" si="4"/>
        <v>0</v>
      </c>
      <c r="M11" s="254">
        <f>L11*Données!I11</f>
        <v>0</v>
      </c>
      <c r="N11" s="148"/>
      <c r="O11" s="87">
        <f>'S3 - IMMO'!J9</f>
        <v>0.9</v>
      </c>
      <c r="P11" s="6">
        <f t="shared" si="0"/>
        <v>0</v>
      </c>
    </row>
    <row r="12" spans="2:16" x14ac:dyDescent="0.35">
      <c r="B12" s="248" t="s">
        <v>14</v>
      </c>
      <c r="C12" s="249">
        <f>'S8 – Commande TRIM 2'!F10</f>
        <v>3600</v>
      </c>
      <c r="D12" s="421">
        <f>'Ventes potentielle TRIM 2'!C10</f>
        <v>3651</v>
      </c>
      <c r="E12" s="249">
        <f t="shared" si="1"/>
        <v>3600</v>
      </c>
      <c r="F12" s="473">
        <f>'Fournisseur 1'!B16</f>
        <v>2500</v>
      </c>
      <c r="G12" s="250"/>
      <c r="H12" s="251">
        <f>(E12*Données!I12)+(G12*50%)*Données!I12</f>
        <v>295596</v>
      </c>
      <c r="I12" s="249">
        <f t="shared" si="2"/>
        <v>0</v>
      </c>
      <c r="J12" s="252">
        <f>I12*Données!H12</f>
        <v>0</v>
      </c>
      <c r="K12" s="253" t="str">
        <f t="shared" si="3"/>
        <v>P7</v>
      </c>
      <c r="L12" s="34">
        <f t="shared" si="4"/>
        <v>51</v>
      </c>
      <c r="M12" s="254">
        <f>L12*Données!I12</f>
        <v>4187.6099999999997</v>
      </c>
      <c r="N12" s="148"/>
      <c r="O12" s="87">
        <f>'S3 - IMMO'!J10</f>
        <v>0.875</v>
      </c>
      <c r="P12" s="6">
        <f t="shared" si="0"/>
        <v>3150</v>
      </c>
    </row>
    <row r="13" spans="2:16" x14ac:dyDescent="0.35">
      <c r="B13" s="248" t="s">
        <v>16</v>
      </c>
      <c r="C13" s="249">
        <f>'S8 – Commande TRIM 2'!F11</f>
        <v>11090</v>
      </c>
      <c r="D13" s="421">
        <f>'Ventes potentielle TRIM 2'!C11</f>
        <v>11111</v>
      </c>
      <c r="E13" s="249">
        <f t="shared" si="1"/>
        <v>11090</v>
      </c>
      <c r="F13" s="473">
        <f>'Fournisseur 1'!B17</f>
        <v>7600</v>
      </c>
      <c r="G13" s="250"/>
      <c r="H13" s="251">
        <f>(E13*Données!I13)+(G13*50%)*Données!I13</f>
        <v>950745.70000000007</v>
      </c>
      <c r="I13" s="249">
        <f t="shared" si="2"/>
        <v>0</v>
      </c>
      <c r="J13" s="252">
        <f>I13*Données!H13</f>
        <v>0</v>
      </c>
      <c r="K13" s="253" t="str">
        <f t="shared" si="3"/>
        <v>P8</v>
      </c>
      <c r="L13" s="34">
        <f t="shared" si="4"/>
        <v>21</v>
      </c>
      <c r="M13" s="254">
        <f>L13*Données!I13</f>
        <v>1800.3300000000002</v>
      </c>
      <c r="N13" s="148"/>
      <c r="O13" s="87">
        <f>'S3 - IMMO'!J11</f>
        <v>1.8</v>
      </c>
      <c r="P13" s="6">
        <f t="shared" si="0"/>
        <v>19962</v>
      </c>
    </row>
    <row r="14" spans="2:16" x14ac:dyDescent="0.35">
      <c r="B14" s="248" t="s">
        <v>105</v>
      </c>
      <c r="C14" s="249">
        <f>'S8 – Commande TRIM 2'!F12</f>
        <v>0</v>
      </c>
      <c r="D14" s="421">
        <f>'Ventes potentielle TRIM 2'!C12</f>
        <v>0</v>
      </c>
      <c r="E14" s="249">
        <f t="shared" si="1"/>
        <v>0</v>
      </c>
      <c r="F14" s="473">
        <f>'Fournisseur 1'!B18</f>
        <v>4300</v>
      </c>
      <c r="G14" s="250"/>
      <c r="H14" s="251">
        <f>(E14*Données!I14)+(G14*50%)*Données!I14</f>
        <v>0</v>
      </c>
      <c r="I14" s="249">
        <f t="shared" si="2"/>
        <v>0</v>
      </c>
      <c r="J14" s="252">
        <f>I14*Données!H14</f>
        <v>0</v>
      </c>
      <c r="K14" s="253" t="str">
        <f t="shared" si="3"/>
        <v>P9</v>
      </c>
      <c r="L14" s="34">
        <f t="shared" si="4"/>
        <v>0</v>
      </c>
      <c r="M14" s="254">
        <f>L14*Données!I14</f>
        <v>0</v>
      </c>
      <c r="N14" s="148"/>
      <c r="O14" s="87">
        <f>'S3 - IMMO'!J12</f>
        <v>0.5625</v>
      </c>
      <c r="P14" s="6">
        <f t="shared" si="0"/>
        <v>0</v>
      </c>
    </row>
    <row r="15" spans="2:16" x14ac:dyDescent="0.35">
      <c r="B15" s="248" t="s">
        <v>19</v>
      </c>
      <c r="C15" s="249">
        <f>'S8 – Commande TRIM 2'!F13</f>
        <v>1670</v>
      </c>
      <c r="D15" s="421">
        <f>'Ventes potentielle TRIM 2'!C13</f>
        <v>1658</v>
      </c>
      <c r="E15" s="249">
        <f t="shared" si="1"/>
        <v>1658</v>
      </c>
      <c r="F15" s="473">
        <f>'Fournisseur 1'!B19</f>
        <v>1200</v>
      </c>
      <c r="G15" s="250"/>
      <c r="H15" s="251">
        <f>(E15*Données!I15)+(G15*50%)*Données!I15</f>
        <v>178185.26</v>
      </c>
      <c r="I15" s="249">
        <f t="shared" si="2"/>
        <v>12</v>
      </c>
      <c r="J15" s="252">
        <f>I15*Données!H15</f>
        <v>828</v>
      </c>
      <c r="K15" s="253" t="str">
        <f t="shared" si="3"/>
        <v>P10</v>
      </c>
      <c r="L15" s="34">
        <f t="shared" si="4"/>
        <v>0</v>
      </c>
      <c r="M15" s="254">
        <f>L15*Données!I15</f>
        <v>0</v>
      </c>
      <c r="N15" s="148"/>
      <c r="O15" s="87">
        <f>'S3 - IMMO'!J13</f>
        <v>0.75</v>
      </c>
      <c r="P15" s="6">
        <f t="shared" si="0"/>
        <v>1243.5</v>
      </c>
    </row>
    <row r="16" spans="2:16" x14ac:dyDescent="0.35">
      <c r="B16" s="248" t="s">
        <v>34</v>
      </c>
      <c r="C16" s="249">
        <f>'S8 – Commande TRIM 2'!F14</f>
        <v>1200</v>
      </c>
      <c r="D16" s="421">
        <f>'Ventes potentielle TRIM 2'!C14</f>
        <v>917</v>
      </c>
      <c r="E16" s="249">
        <f>MIN(C16:D16)</f>
        <v>917</v>
      </c>
      <c r="F16" s="473">
        <f>'Fournisseur 1'!B20</f>
        <v>900</v>
      </c>
      <c r="G16" s="249">
        <f>IF(C16&lt;D16,0,C16-D16)</f>
        <v>283</v>
      </c>
      <c r="H16" s="251">
        <f>(E16*Données!I16)+(G16*50%)*Données!I16</f>
        <v>38349.454999999994</v>
      </c>
      <c r="I16" s="249">
        <f t="shared" si="2"/>
        <v>0</v>
      </c>
      <c r="J16" s="252">
        <f>I16*Données!H16</f>
        <v>0</v>
      </c>
      <c r="K16" s="253" t="str">
        <f t="shared" si="3"/>
        <v>P11</v>
      </c>
      <c r="L16" s="34">
        <f t="shared" si="4"/>
        <v>0</v>
      </c>
      <c r="M16" s="254">
        <f>L16*Données!I16</f>
        <v>0</v>
      </c>
      <c r="N16" s="148"/>
      <c r="O16" s="87">
        <f>'S3 - IMMO'!J14</f>
        <v>0.67500000000000004</v>
      </c>
      <c r="P16" s="6">
        <f t="shared" si="0"/>
        <v>618.97500000000002</v>
      </c>
    </row>
    <row r="17" spans="2:17" x14ac:dyDescent="0.35">
      <c r="B17" s="248" t="s">
        <v>66</v>
      </c>
      <c r="C17" s="249">
        <f>'S8 – Commande TRIM 2'!F15</f>
        <v>3370</v>
      </c>
      <c r="D17" s="421">
        <f>'Ventes potentielle TRIM 2'!C15</f>
        <v>2570</v>
      </c>
      <c r="E17" s="249">
        <f>MIN(C17:D17)</f>
        <v>2570</v>
      </c>
      <c r="F17" s="473">
        <f>'Fournisseur 1'!B21</f>
        <v>2600</v>
      </c>
      <c r="G17" s="249">
        <f t="shared" ref="G17:G18" si="5">IF(C17&lt;D17,0,C17-D17)</f>
        <v>800</v>
      </c>
      <c r="H17" s="251">
        <f>(E17*Données!I17)+(G17*50%)*Données!I17</f>
        <v>188298</v>
      </c>
      <c r="I17" s="249">
        <f t="shared" si="2"/>
        <v>0</v>
      </c>
      <c r="J17" s="252">
        <f>I17*Données!H17</f>
        <v>0</v>
      </c>
      <c r="K17" s="253" t="str">
        <f t="shared" si="3"/>
        <v>P12</v>
      </c>
      <c r="L17" s="34">
        <f t="shared" si="4"/>
        <v>0</v>
      </c>
      <c r="M17" s="254">
        <f>L17*Données!I17</f>
        <v>0</v>
      </c>
      <c r="N17" s="148"/>
      <c r="O17" s="87">
        <f>'S3 - IMMO'!J15</f>
        <v>1.75</v>
      </c>
      <c r="P17" s="6">
        <f t="shared" si="0"/>
        <v>4497.5</v>
      </c>
    </row>
    <row r="18" spans="2:17" x14ac:dyDescent="0.35">
      <c r="B18" s="248" t="s">
        <v>67</v>
      </c>
      <c r="C18" s="249">
        <f>'S8 – Commande TRIM 2'!F16</f>
        <v>1370</v>
      </c>
      <c r="D18" s="421">
        <f>'Ventes potentielle TRIM 2'!C16</f>
        <v>1031</v>
      </c>
      <c r="E18" s="249">
        <f>MIN(C18:D18)</f>
        <v>1031</v>
      </c>
      <c r="F18" s="473">
        <f>'Fournisseur 1'!B22</f>
        <v>1100</v>
      </c>
      <c r="G18" s="249">
        <f t="shared" si="5"/>
        <v>339</v>
      </c>
      <c r="H18" s="251">
        <f>(E18*Données!I18)+(G18*50%)*Données!I18</f>
        <v>119593.81</v>
      </c>
      <c r="I18" s="249">
        <f t="shared" si="2"/>
        <v>0</v>
      </c>
      <c r="J18" s="252">
        <f>I18*Données!H18</f>
        <v>0</v>
      </c>
      <c r="K18" s="253" t="str">
        <f t="shared" si="3"/>
        <v>P13</v>
      </c>
      <c r="L18" s="34">
        <f t="shared" si="4"/>
        <v>0</v>
      </c>
      <c r="M18" s="254">
        <f>L18*Données!I18</f>
        <v>0</v>
      </c>
      <c r="N18" s="148"/>
      <c r="O18" s="87">
        <f>'S3 - IMMO'!J16</f>
        <v>1.25</v>
      </c>
      <c r="P18" s="6">
        <f t="shared" si="0"/>
        <v>1288.75</v>
      </c>
    </row>
    <row r="19" spans="2:17" ht="15" thickBot="1" x14ac:dyDescent="0.4">
      <c r="B19" s="255"/>
      <c r="C19" s="256">
        <f t="shared" ref="C19:I19" si="6">SUM(C6:C18)</f>
        <v>50500</v>
      </c>
      <c r="D19" s="256">
        <f t="shared" si="6"/>
        <v>49448</v>
      </c>
      <c r="E19" s="256">
        <f t="shared" si="6"/>
        <v>49015</v>
      </c>
      <c r="F19" s="256">
        <f t="shared" si="6"/>
        <v>44800</v>
      </c>
      <c r="G19" s="256">
        <f t="shared" si="6"/>
        <v>1422</v>
      </c>
      <c r="H19" s="257">
        <f t="shared" si="6"/>
        <v>2648693.5550000002</v>
      </c>
      <c r="I19" s="256">
        <f t="shared" si="6"/>
        <v>63</v>
      </c>
      <c r="J19" s="258">
        <f>SUM(J6:J18)</f>
        <v>2613</v>
      </c>
      <c r="K19" s="255"/>
      <c r="L19" s="256">
        <f>SUM(L6:L18)</f>
        <v>433</v>
      </c>
      <c r="M19" s="259">
        <f>SUM(M6:M18)</f>
        <v>12872.869999999999</v>
      </c>
      <c r="N19" s="155"/>
      <c r="O19" s="87" t="str">
        <f>'S3 - IMMO'!J17</f>
        <v>Volume total (étalage)</v>
      </c>
      <c r="P19" s="6">
        <f>SUM(P6:P18)</f>
        <v>41602.474999999999</v>
      </c>
      <c r="Q19" t="s">
        <v>97</v>
      </c>
    </row>
  </sheetData>
  <sheetProtection sheet="1" objects="1" scenarios="1" formatCells="1" formatColumns="0" formatRows="0" insertColumns="1" insertRows="1" insertHyperlinks="1" deleteColumns="1" deleteRows="1" selectLockedCells="0" selectUnlockedCells="0" sort="0" autoFilter="0" pivotTables="0"/>
  <mergeCells count="2">
    <mergeCell ref="C3:J3"/>
    <mergeCell ref="K4:M4"/>
  </mergeCells>
  <pageMargins left="0.70866141732283472" right="0.70866141732283472" top="0.74803149606299213" bottom="0.74803149606299213" header="0.31496062992125984" footer="0.31496062992125984"/>
  <pageSetup scale="71" orientation="landscape"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C064-8D2D-4031-9749-635C60BFF4DA}">
  <sheetPr>
    <pageSetUpPr fitToPage="1"/>
  </sheetPr>
  <dimension ref="A1:K98"/>
  <sheetViews>
    <sheetView topLeftCell="C31" workbookViewId="0">
      <selection activeCell="E43" sqref="E43:E49"/>
    </sheetView>
  </sheetViews>
  <sheetFormatPr baseColWidth="10" defaultRowHeight="14.5" x14ac:dyDescent="0.35"/>
  <cols>
    <col min="1" max="1" width="28" customWidth="1"/>
    <col min="2" max="2" width="14.36328125" customWidth="1"/>
    <col min="3" max="3" width="34.90625" customWidth="1"/>
    <col min="4" max="4" width="19.08984375" customWidth="1"/>
    <col min="5" max="5" width="12.453125" bestFit="1" customWidth="1"/>
    <col min="6" max="6" width="15.54296875" customWidth="1"/>
    <col min="7" max="7" width="14.453125" customWidth="1"/>
    <col min="8" max="8" width="11.6328125" customWidth="1"/>
    <col min="9" max="9" width="15.08984375" customWidth="1"/>
    <col min="10" max="10" width="11.90625" bestFit="1" customWidth="1"/>
    <col min="11" max="11" width="12.6328125" customWidth="1"/>
    <col min="13" max="13" width="19.08984375" customWidth="1"/>
  </cols>
  <sheetData>
    <row r="1" spans="1:9" ht="15" thickBot="1" x14ac:dyDescent="0.4">
      <c r="A1" s="19" t="s">
        <v>818</v>
      </c>
    </row>
    <row r="2" spans="1:9" ht="15" thickBot="1" x14ac:dyDescent="0.4">
      <c r="A2" s="260" t="s">
        <v>265</v>
      </c>
      <c r="H2" s="261" t="s">
        <v>266</v>
      </c>
      <c r="I2" s="262"/>
    </row>
    <row r="3" spans="1:9" x14ac:dyDescent="0.35">
      <c r="A3" s="263" t="s">
        <v>267</v>
      </c>
      <c r="B3" s="264">
        <f>'S8 -Outil - Ventes '!E19</f>
        <v>49015</v>
      </c>
      <c r="C3" s="265" t="s">
        <v>268</v>
      </c>
    </row>
    <row r="4" spans="1:9" x14ac:dyDescent="0.35">
      <c r="A4" s="266" t="s">
        <v>269</v>
      </c>
      <c r="B4" s="267">
        <f>'S8 -Outil - Ventes '!P19</f>
        <v>41602.474999999999</v>
      </c>
      <c r="C4" s="268" t="s">
        <v>86</v>
      </c>
      <c r="D4" s="269"/>
      <c r="H4" s="88" t="s">
        <v>270</v>
      </c>
      <c r="I4" s="270">
        <v>0.14974999999999999</v>
      </c>
    </row>
    <row r="5" spans="1:9" x14ac:dyDescent="0.35">
      <c r="A5" s="271" t="s">
        <v>271</v>
      </c>
      <c r="B5" s="272">
        <f>'S8 -Outil - Ventes '!H19</f>
        <v>2648693.5550000002</v>
      </c>
      <c r="C5" s="273"/>
      <c r="H5" s="88" t="s">
        <v>272</v>
      </c>
      <c r="I5" s="59">
        <v>4</v>
      </c>
    </row>
    <row r="6" spans="1:9" ht="15" thickBot="1" x14ac:dyDescent="0.4">
      <c r="A6" s="274" t="s">
        <v>273</v>
      </c>
      <c r="B6" s="275">
        <f>'S3 - IMMO'!E8</f>
        <v>23269.807220763927</v>
      </c>
      <c r="C6" s="276" t="s">
        <v>86</v>
      </c>
      <c r="H6" s="88" t="s">
        <v>274</v>
      </c>
      <c r="I6" s="59">
        <v>13</v>
      </c>
    </row>
    <row r="7" spans="1:9" x14ac:dyDescent="0.35">
      <c r="H7" s="88" t="s">
        <v>275</v>
      </c>
      <c r="I7" s="59">
        <v>3</v>
      </c>
    </row>
    <row r="8" spans="1:9" ht="15" thickBot="1" x14ac:dyDescent="0.4"/>
    <row r="9" spans="1:9" ht="15" thickBot="1" x14ac:dyDescent="0.4">
      <c r="A9" s="752" t="s">
        <v>276</v>
      </c>
      <c r="B9" s="753"/>
      <c r="C9" s="754"/>
      <c r="D9" s="755" t="s">
        <v>277</v>
      </c>
      <c r="E9" s="756"/>
      <c r="F9" s="756"/>
      <c r="G9" s="756"/>
      <c r="H9" s="756"/>
      <c r="I9" s="757"/>
    </row>
    <row r="10" spans="1:9" x14ac:dyDescent="0.35">
      <c r="A10" s="23"/>
      <c r="B10" s="277"/>
      <c r="C10" s="27"/>
      <c r="D10" s="23"/>
      <c r="E10" s="277"/>
      <c r="F10" s="277"/>
      <c r="G10" s="277"/>
      <c r="H10" s="277"/>
      <c r="I10" s="27"/>
    </row>
    <row r="11" spans="1:9" x14ac:dyDescent="0.35">
      <c r="A11" s="29" t="s">
        <v>278</v>
      </c>
      <c r="B11" s="278">
        <f>'S5 -Outil - Ventes'!J19</f>
        <v>10821</v>
      </c>
      <c r="C11" s="279"/>
      <c r="D11" s="29"/>
      <c r="I11" s="279"/>
    </row>
    <row r="12" spans="1:9" ht="29" x14ac:dyDescent="0.35">
      <c r="A12" s="29" t="s">
        <v>279</v>
      </c>
      <c r="B12" s="280">
        <f>'Bon de commande TRIM 2'!G24</f>
        <v>1766912.5</v>
      </c>
      <c r="C12" s="279"/>
      <c r="D12" s="29"/>
      <c r="E12" s="474" t="s">
        <v>280</v>
      </c>
      <c r="F12" s="7" t="s">
        <v>281</v>
      </c>
      <c r="G12" s="19" t="s">
        <v>282</v>
      </c>
      <c r="H12" s="7" t="s">
        <v>283</v>
      </c>
      <c r="I12" s="475" t="s">
        <v>284</v>
      </c>
    </row>
    <row r="13" spans="1:9" x14ac:dyDescent="0.35">
      <c r="A13" s="29" t="s">
        <v>285</v>
      </c>
      <c r="B13" s="280">
        <f>'S8 – Commande TRIM 2'!H29</f>
        <v>251069.77499999999</v>
      </c>
      <c r="C13" s="281"/>
      <c r="D13" s="282" t="s">
        <v>121</v>
      </c>
      <c r="F13" s="41"/>
      <c r="G13" s="280">
        <v>1000</v>
      </c>
      <c r="H13" s="103">
        <v>1</v>
      </c>
      <c r="I13" s="283">
        <f>H13*G13*$I$6</f>
        <v>13000</v>
      </c>
    </row>
    <row r="14" spans="1:9" x14ac:dyDescent="0.35">
      <c r="A14" s="29" t="s">
        <v>286</v>
      </c>
      <c r="B14" s="280">
        <f>'S8 -Outil - Ventes '!J19</f>
        <v>2613</v>
      </c>
      <c r="C14" s="279"/>
      <c r="D14" s="282" t="s">
        <v>287</v>
      </c>
      <c r="E14" s="41">
        <v>13000</v>
      </c>
      <c r="F14" s="41" t="s">
        <v>288</v>
      </c>
      <c r="G14" s="284">
        <v>600</v>
      </c>
      <c r="H14" s="285">
        <f>B3/E14</f>
        <v>3.7703846153846152</v>
      </c>
      <c r="I14" s="283">
        <f>H14*G14*$I$6</f>
        <v>29408.999999999996</v>
      </c>
    </row>
    <row r="15" spans="1:9" x14ac:dyDescent="0.35">
      <c r="A15" s="29"/>
      <c r="C15" s="279"/>
      <c r="D15" s="282" t="s">
        <v>289</v>
      </c>
      <c r="E15" s="41">
        <v>35100</v>
      </c>
      <c r="F15" s="41" t="s">
        <v>288</v>
      </c>
      <c r="G15" s="284">
        <v>950</v>
      </c>
      <c r="H15" s="285">
        <f>B3/E15</f>
        <v>1.3964387464387464</v>
      </c>
      <c r="I15" s="283">
        <f>H15*G15*$I$6</f>
        <v>17246.018518518518</v>
      </c>
    </row>
    <row r="16" spans="1:9" x14ac:dyDescent="0.35">
      <c r="A16" s="29"/>
      <c r="C16" s="279"/>
      <c r="D16" s="282" t="s">
        <v>290</v>
      </c>
      <c r="E16" s="41">
        <v>13000</v>
      </c>
      <c r="F16" s="41" t="s">
        <v>288</v>
      </c>
      <c r="G16" s="286">
        <v>2.5000000000000001E-2</v>
      </c>
      <c r="H16" s="287">
        <f>B3/E16</f>
        <v>3.7703846153846152</v>
      </c>
      <c r="I16" s="283">
        <f>G16*B5</f>
        <v>66217.338875000001</v>
      </c>
    </row>
    <row r="17" spans="1:11" x14ac:dyDescent="0.35">
      <c r="A17" s="29"/>
      <c r="C17" s="279"/>
      <c r="D17" s="282" t="s">
        <v>291</v>
      </c>
      <c r="E17" s="41">
        <v>30000</v>
      </c>
      <c r="F17" s="41" t="s">
        <v>97</v>
      </c>
      <c r="G17" s="284">
        <v>620</v>
      </c>
      <c r="H17" s="285">
        <f>B4/E17</f>
        <v>1.3867491666666667</v>
      </c>
      <c r="I17" s="283">
        <f>H17*G17*$I$6</f>
        <v>11177.198283333333</v>
      </c>
    </row>
    <row r="18" spans="1:11" x14ac:dyDescent="0.35">
      <c r="A18" s="29"/>
      <c r="C18" s="283"/>
      <c r="D18" s="282" t="s">
        <v>292</v>
      </c>
      <c r="E18" s="41">
        <v>12000</v>
      </c>
      <c r="F18" s="41" t="s">
        <v>97</v>
      </c>
      <c r="G18" s="284">
        <v>640</v>
      </c>
      <c r="H18" s="288">
        <f>B6/E18</f>
        <v>1.9391506017303273</v>
      </c>
      <c r="I18" s="289">
        <f>H18*G18*$I$6</f>
        <v>16133.733006396322</v>
      </c>
    </row>
    <row r="19" spans="1:11" x14ac:dyDescent="0.35">
      <c r="A19" s="29"/>
      <c r="C19" s="279"/>
      <c r="D19" s="290" t="s">
        <v>247</v>
      </c>
      <c r="H19" s="291">
        <f>ROUND(SUM(H13:H18),1)</f>
        <v>13.3</v>
      </c>
      <c r="I19" s="292">
        <f>SUM(I13:I18)</f>
        <v>153183.28868324819</v>
      </c>
    </row>
    <row r="20" spans="1:11" x14ac:dyDescent="0.35">
      <c r="A20" s="29"/>
      <c r="C20" s="279"/>
      <c r="D20" s="290" t="s">
        <v>293</v>
      </c>
      <c r="E20" s="293">
        <v>0.26101000000000002</v>
      </c>
      <c r="I20" s="294">
        <f>I19*E20</f>
        <v>39982.370179214609</v>
      </c>
    </row>
    <row r="21" spans="1:11" x14ac:dyDescent="0.35">
      <c r="A21" s="29"/>
      <c r="C21" s="279"/>
      <c r="D21" s="290" t="s">
        <v>294</v>
      </c>
      <c r="E21" s="293">
        <v>0.20316999999999999</v>
      </c>
      <c r="I21" s="294">
        <f>I19*E21</f>
        <v>31122.248761775532</v>
      </c>
    </row>
    <row r="22" spans="1:11" x14ac:dyDescent="0.35">
      <c r="A22" s="29"/>
      <c r="C22" s="279"/>
      <c r="D22" s="290" t="s">
        <v>295</v>
      </c>
      <c r="E22" s="295">
        <v>12</v>
      </c>
      <c r="I22" s="296">
        <f>E22*H19*13</f>
        <v>2074.8000000000002</v>
      </c>
    </row>
    <row r="23" spans="1:11" x14ac:dyDescent="0.35">
      <c r="A23" s="29"/>
      <c r="C23" s="279"/>
      <c r="D23" s="290" t="s">
        <v>296</v>
      </c>
      <c r="E23" s="58">
        <v>0.04</v>
      </c>
      <c r="I23" s="283">
        <f>I19*E23</f>
        <v>6127.3315473299281</v>
      </c>
    </row>
    <row r="24" spans="1:11" x14ac:dyDescent="0.35">
      <c r="A24" s="29"/>
      <c r="C24" s="279"/>
      <c r="D24" s="290" t="s">
        <v>297</v>
      </c>
      <c r="E24" s="58">
        <v>0.04</v>
      </c>
      <c r="I24" s="283">
        <f>E24*I19</f>
        <v>6127.3315473299281</v>
      </c>
    </row>
    <row r="25" spans="1:11" ht="15" thickBot="1" x14ac:dyDescent="0.4">
      <c r="A25" s="255"/>
      <c r="B25" s="145"/>
      <c r="C25" s="147"/>
      <c r="D25" s="255"/>
      <c r="E25" s="145"/>
      <c r="F25" s="145"/>
      <c r="G25" s="145"/>
      <c r="H25" s="145"/>
      <c r="I25" s="147"/>
    </row>
    <row r="27" spans="1:11" ht="15" thickBot="1" x14ac:dyDescent="0.4"/>
    <row r="28" spans="1:11" ht="15" thickBot="1" x14ac:dyDescent="0.4">
      <c r="A28" s="19" t="s">
        <v>298</v>
      </c>
      <c r="C28" s="41"/>
      <c r="D28" s="41"/>
      <c r="F28" s="96" t="s">
        <v>299</v>
      </c>
      <c r="G28" s="39"/>
      <c r="H28" s="37"/>
      <c r="I28" s="39"/>
      <c r="J28" s="39"/>
      <c r="K28" s="97"/>
    </row>
    <row r="29" spans="1:11" x14ac:dyDescent="0.35">
      <c r="A29" t="s">
        <v>300</v>
      </c>
      <c r="B29" s="295">
        <v>250</v>
      </c>
      <c r="C29" s="117"/>
      <c r="D29" s="117"/>
    </row>
    <row r="30" spans="1:11" x14ac:dyDescent="0.35">
      <c r="A30" t="s">
        <v>301</v>
      </c>
      <c r="B30" s="59">
        <v>4</v>
      </c>
      <c r="G30" s="53" t="s">
        <v>302</v>
      </c>
      <c r="H30" s="64" t="s">
        <v>303</v>
      </c>
      <c r="I30" s="64" t="s">
        <v>304</v>
      </c>
    </row>
    <row r="31" spans="1:11" x14ac:dyDescent="0.35">
      <c r="A31" t="s">
        <v>305</v>
      </c>
      <c r="B31" s="297">
        <f>CEILING((H13+H14+H15+H16)/B30,1)</f>
        <v>3</v>
      </c>
      <c r="C31" s="51"/>
      <c r="F31" t="s">
        <v>14</v>
      </c>
      <c r="G31" s="298">
        <f>'S8 -Outil - Ventes '!E12</f>
        <v>3600</v>
      </c>
      <c r="H31" s="299">
        <f>Données!G12</f>
        <v>0.875</v>
      </c>
      <c r="I31" s="298">
        <f>G31*H31</f>
        <v>3150</v>
      </c>
    </row>
    <row r="32" spans="1:11" x14ac:dyDescent="0.35">
      <c r="A32" t="s">
        <v>306</v>
      </c>
      <c r="B32" s="117">
        <f>B29*B31</f>
        <v>750</v>
      </c>
      <c r="F32" t="s">
        <v>16</v>
      </c>
      <c r="G32" s="298">
        <f>'S8 -Outil - Ventes '!E13</f>
        <v>11090</v>
      </c>
      <c r="H32" s="299">
        <f>Données!G13</f>
        <v>1.8</v>
      </c>
      <c r="I32" s="298">
        <f t="shared" ref="I32:I33" si="0">G32*H32</f>
        <v>19962</v>
      </c>
    </row>
    <row r="33" spans="1:11" x14ac:dyDescent="0.35">
      <c r="A33" s="300" t="s">
        <v>307</v>
      </c>
      <c r="B33" s="301">
        <f>B32*I7</f>
        <v>2250</v>
      </c>
      <c r="F33" t="s">
        <v>105</v>
      </c>
      <c r="G33" s="298">
        <f>'S8 -Outil - Ventes '!E14</f>
        <v>0</v>
      </c>
      <c r="H33" s="299">
        <f>Données!G14</f>
        <v>0.5625</v>
      </c>
      <c r="I33" s="298">
        <f t="shared" si="0"/>
        <v>0</v>
      </c>
    </row>
    <row r="34" spans="1:11" x14ac:dyDescent="0.35">
      <c r="A34" s="19" t="s">
        <v>308</v>
      </c>
      <c r="B34" s="153">
        <f>B33*I4</f>
        <v>336.9375</v>
      </c>
      <c r="I34" s="34">
        <f>SUM(I31:I33)</f>
        <v>23112</v>
      </c>
      <c r="J34" s="41" t="s">
        <v>97</v>
      </c>
    </row>
    <row r="35" spans="1:11" x14ac:dyDescent="0.35">
      <c r="H35" t="s">
        <v>309</v>
      </c>
      <c r="I35" s="34">
        <f>ROUNDDOWN(I34/G38,0)</f>
        <v>154</v>
      </c>
      <c r="J35" s="41">
        <f>I35*G38</f>
        <v>23100</v>
      </c>
      <c r="K35" s="6"/>
    </row>
    <row r="36" spans="1:11" x14ac:dyDescent="0.35">
      <c r="A36" s="19" t="s">
        <v>310</v>
      </c>
      <c r="B36" s="302"/>
      <c r="C36" s="41"/>
      <c r="D36" s="303"/>
      <c r="H36" s="88" t="s">
        <v>311</v>
      </c>
      <c r="I36" s="80">
        <f>I34-(I35*G38)</f>
        <v>12</v>
      </c>
    </row>
    <row r="37" spans="1:11" x14ac:dyDescent="0.35">
      <c r="A37" s="304" t="s">
        <v>68</v>
      </c>
      <c r="B37" s="304"/>
      <c r="C37" s="304"/>
      <c r="D37" s="305">
        <v>18500</v>
      </c>
      <c r="I37" s="41" t="s">
        <v>312</v>
      </c>
    </row>
    <row r="38" spans="1:11" x14ac:dyDescent="0.35">
      <c r="A38" s="19" t="s">
        <v>308</v>
      </c>
      <c r="D38" s="306">
        <f>D37*I4</f>
        <v>2770.375</v>
      </c>
      <c r="F38" t="s">
        <v>313</v>
      </c>
      <c r="G38">
        <v>150</v>
      </c>
      <c r="H38" t="s">
        <v>97</v>
      </c>
      <c r="I38" s="295">
        <v>640</v>
      </c>
      <c r="J38" s="478">
        <f>I35*I38</f>
        <v>98560</v>
      </c>
      <c r="K38" s="479"/>
    </row>
    <row r="39" spans="1:11" x14ac:dyDescent="0.35">
      <c r="G39">
        <v>100</v>
      </c>
      <c r="H39" t="s">
        <v>97</v>
      </c>
      <c r="I39" s="295">
        <v>500</v>
      </c>
      <c r="J39" s="477">
        <f>I39*(I36/G39)</f>
        <v>60</v>
      </c>
    </row>
    <row r="40" spans="1:11" x14ac:dyDescent="0.35">
      <c r="F40" s="300" t="s">
        <v>314</v>
      </c>
      <c r="G40" s="300"/>
      <c r="H40" s="300"/>
      <c r="I40" s="300"/>
      <c r="J40" s="301">
        <f>J38+J39</f>
        <v>98620</v>
      </c>
    </row>
    <row r="41" spans="1:11" x14ac:dyDescent="0.35">
      <c r="A41" s="19" t="s">
        <v>315</v>
      </c>
      <c r="F41" s="19" t="s">
        <v>308</v>
      </c>
      <c r="G41" s="19"/>
      <c r="H41" s="19"/>
      <c r="I41" s="19"/>
      <c r="J41" s="307">
        <f>J40*I4</f>
        <v>14768.344999999999</v>
      </c>
    </row>
    <row r="42" spans="1:11" x14ac:dyDescent="0.35">
      <c r="B42" s="308" t="s">
        <v>316</v>
      </c>
      <c r="C42" s="41" t="s">
        <v>317</v>
      </c>
      <c r="D42" s="303" t="s">
        <v>318</v>
      </c>
    </row>
    <row r="43" spans="1:11" x14ac:dyDescent="0.35">
      <c r="A43" t="s">
        <v>319</v>
      </c>
      <c r="B43" s="309">
        <v>8</v>
      </c>
      <c r="C43" s="245" t="s">
        <v>320</v>
      </c>
      <c r="D43" s="310">
        <f>'S3 - IMMO'!E8*'S8-Outil - Charges '!B43</f>
        <v>186158.45776611142</v>
      </c>
    </row>
    <row r="44" spans="1:11" x14ac:dyDescent="0.35">
      <c r="A44" t="s">
        <v>321</v>
      </c>
      <c r="B44" s="311">
        <v>600</v>
      </c>
      <c r="C44" s="245" t="s">
        <v>322</v>
      </c>
      <c r="D44" s="310">
        <f>('S3 - IMMO'!N5*'S8-Outil - Charges '!B44)/4</f>
        <v>1050</v>
      </c>
    </row>
    <row r="45" spans="1:11" x14ac:dyDescent="0.35">
      <c r="A45" t="s">
        <v>323</v>
      </c>
      <c r="B45" s="26">
        <v>0.1</v>
      </c>
      <c r="C45" s="41" t="s">
        <v>324</v>
      </c>
      <c r="D45" s="310">
        <f>('S3 - IMMO'!C37*'S8-Outil - Charges '!B45)/4</f>
        <v>125</v>
      </c>
      <c r="F45" s="19" t="s">
        <v>172</v>
      </c>
      <c r="G45" s="187" t="s">
        <v>325</v>
      </c>
    </row>
    <row r="46" spans="1:11" x14ac:dyDescent="0.35">
      <c r="A46" t="s">
        <v>220</v>
      </c>
      <c r="B46" s="26">
        <v>0.1</v>
      </c>
      <c r="C46" s="130" t="s">
        <v>326</v>
      </c>
      <c r="D46" s="476">
        <f>(('S3 - IMMO'!C36*B46)*H17)/4</f>
        <v>1203.0049020833333</v>
      </c>
      <c r="F46" s="19" t="s">
        <v>327</v>
      </c>
      <c r="G46" s="312">
        <f>1.35*B6</f>
        <v>31414.239748031305</v>
      </c>
    </row>
    <row r="47" spans="1:11" x14ac:dyDescent="0.35">
      <c r="A47" t="s">
        <v>328</v>
      </c>
      <c r="B47" s="311">
        <v>0</v>
      </c>
      <c r="C47" s="245" t="s">
        <v>329</v>
      </c>
      <c r="D47" s="310"/>
      <c r="F47" s="300" t="s">
        <v>330</v>
      </c>
      <c r="G47" s="301">
        <f>I7*G46</f>
        <v>94242.719244093911</v>
      </c>
      <c r="H47" s="304"/>
      <c r="I47" s="304"/>
      <c r="J47" s="304"/>
    </row>
    <row r="48" spans="1:11" x14ac:dyDescent="0.35">
      <c r="A48" t="s">
        <v>217</v>
      </c>
      <c r="B48" s="26">
        <v>0.05</v>
      </c>
      <c r="C48" s="41" t="s">
        <v>324</v>
      </c>
      <c r="D48" s="310">
        <f>('S4 - Montage financier'!C8*'S8-Outil - Charges '!B48)/4</f>
        <v>1314.143182806353</v>
      </c>
      <c r="F48" s="19" t="s">
        <v>308</v>
      </c>
      <c r="G48" s="307">
        <f>G47*I4</f>
        <v>14112.847206803062</v>
      </c>
    </row>
    <row r="49" spans="1:10" x14ac:dyDescent="0.35">
      <c r="A49" t="s">
        <v>331</v>
      </c>
      <c r="B49" s="311">
        <v>500</v>
      </c>
      <c r="C49" s="245" t="s">
        <v>322</v>
      </c>
      <c r="D49" s="313">
        <f>(B49*(H13+H15+H16))/4</f>
        <v>770.85292022792021</v>
      </c>
    </row>
    <row r="50" spans="1:10" x14ac:dyDescent="0.35">
      <c r="A50" s="304" t="s">
        <v>68</v>
      </c>
      <c r="B50" s="304"/>
      <c r="C50" s="304"/>
      <c r="D50" s="314">
        <f>SUM(D43:D49)</f>
        <v>190621.45877122902</v>
      </c>
      <c r="F50" s="19" t="s">
        <v>332</v>
      </c>
    </row>
    <row r="51" spans="1:10" x14ac:dyDescent="0.35">
      <c r="A51" t="s">
        <v>308</v>
      </c>
      <c r="D51" s="306">
        <f>D50*I4</f>
        <v>28545.563450991544</v>
      </c>
    </row>
    <row r="52" spans="1:10" x14ac:dyDescent="0.35">
      <c r="F52" t="s">
        <v>333</v>
      </c>
      <c r="G52" s="51" t="s">
        <v>173</v>
      </c>
    </row>
    <row r="53" spans="1:10" x14ac:dyDescent="0.35">
      <c r="A53" s="19" t="s">
        <v>334</v>
      </c>
      <c r="F53" s="26">
        <v>0.12</v>
      </c>
      <c r="G53" s="311">
        <v>3000</v>
      </c>
    </row>
    <row r="54" spans="1:10" x14ac:dyDescent="0.35">
      <c r="B54" s="103" t="s">
        <v>316</v>
      </c>
      <c r="C54" s="41" t="s">
        <v>317</v>
      </c>
      <c r="D54" s="303" t="s">
        <v>318</v>
      </c>
      <c r="F54" s="480">
        <v>0</v>
      </c>
      <c r="G54" s="315">
        <f>G53*3</f>
        <v>9000</v>
      </c>
    </row>
    <row r="55" spans="1:10" x14ac:dyDescent="0.35">
      <c r="A55" t="s">
        <v>335</v>
      </c>
      <c r="B55" s="316">
        <v>1.4999999999999999E-2</v>
      </c>
      <c r="C55" s="41" t="s">
        <v>336</v>
      </c>
      <c r="D55" s="310">
        <f>('S4 - Montage financier'!C6*'S8-Outil - Charges '!B55)/4</f>
        <v>1308.75</v>
      </c>
      <c r="F55" s="300" t="s">
        <v>68</v>
      </c>
      <c r="G55" s="301">
        <f>G54+F54</f>
        <v>9000</v>
      </c>
      <c r="H55" s="304"/>
      <c r="I55" s="304"/>
      <c r="J55" s="304"/>
    </row>
    <row r="56" spans="1:10" x14ac:dyDescent="0.35">
      <c r="A56" t="s">
        <v>337</v>
      </c>
      <c r="B56" s="26">
        <v>0.03</v>
      </c>
      <c r="C56" s="41" t="s">
        <v>336</v>
      </c>
      <c r="D56" s="310">
        <f>(B56*('S4 - Montage financier'!C7+'S4 - Montage financier'!C9+'S4 - Montage financier'!C10+'S4 - Montage financier'!C11))/4</f>
        <v>834</v>
      </c>
      <c r="F56" s="19" t="s">
        <v>308</v>
      </c>
      <c r="G56" s="307">
        <f>G55*I4</f>
        <v>1347.75</v>
      </c>
    </row>
    <row r="57" spans="1:10" x14ac:dyDescent="0.35">
      <c r="A57" t="s">
        <v>338</v>
      </c>
      <c r="B57" s="316">
        <v>5.0000000000000001E-3</v>
      </c>
      <c r="C57" s="41" t="s">
        <v>336</v>
      </c>
      <c r="D57" s="313">
        <f>(B57*('S3 - IMMO'!C30+'S3 - IMMO'!C31+'S3 - IMMO'!C32+'S3 - IMMO'!C33+'S3 - IMMO'!C34))/4</f>
        <v>131.41431828063529</v>
      </c>
    </row>
    <row r="58" spans="1:10" ht="15" thickBot="1" x14ac:dyDescent="0.4">
      <c r="A58" t="s">
        <v>68</v>
      </c>
      <c r="D58" s="306">
        <f>SUM(D55:D57)</f>
        <v>2274.1643182806351</v>
      </c>
      <c r="E58" s="79"/>
    </row>
    <row r="59" spans="1:10" ht="15" thickBot="1" x14ac:dyDescent="0.4">
      <c r="A59" t="s">
        <v>339</v>
      </c>
      <c r="B59" s="317">
        <v>0.09</v>
      </c>
      <c r="D59" s="314">
        <f>D58*(1+B59)</f>
        <v>2478.8391069258923</v>
      </c>
      <c r="F59" s="19" t="s">
        <v>340</v>
      </c>
    </row>
    <row r="61" spans="1:10" x14ac:dyDescent="0.35">
      <c r="F61" t="s">
        <v>341</v>
      </c>
      <c r="G61" t="s">
        <v>342</v>
      </c>
    </row>
    <row r="62" spans="1:10" x14ac:dyDescent="0.35">
      <c r="A62" s="98" t="s">
        <v>343</v>
      </c>
      <c r="B62" s="269" t="s">
        <v>344</v>
      </c>
      <c r="F62" s="295">
        <v>700</v>
      </c>
      <c r="G62" s="285">
        <f>H13+H14+H15+H16</f>
        <v>9.9372079772079758</v>
      </c>
    </row>
    <row r="63" spans="1:10" x14ac:dyDescent="0.35">
      <c r="D63" s="303" t="s">
        <v>318</v>
      </c>
      <c r="F63" s="300" t="s">
        <v>68</v>
      </c>
      <c r="G63" s="301">
        <f>G62*F62/I5</f>
        <v>1739.0113960113958</v>
      </c>
      <c r="H63" s="304"/>
      <c r="I63" s="304"/>
      <c r="J63" s="304"/>
    </row>
    <row r="64" spans="1:10" x14ac:dyDescent="0.35">
      <c r="A64" t="s">
        <v>345</v>
      </c>
      <c r="B64" s="318">
        <v>2.5000000000000001E-2</v>
      </c>
      <c r="C64" s="51" t="s">
        <v>346</v>
      </c>
      <c r="D64" s="319">
        <f>(('S4 - Montage financier'!L6+'S4 - Montage financier'!L7)*'S8-Outil - Charges '!B64)/4</f>
        <v>10907.722134733091</v>
      </c>
      <c r="F64" s="19" t="s">
        <v>308</v>
      </c>
      <c r="G64" s="307">
        <f>G63*I4</f>
        <v>260.41695655270649</v>
      </c>
    </row>
    <row r="65" spans="1:10" x14ac:dyDescent="0.35">
      <c r="A65" t="s">
        <v>308</v>
      </c>
      <c r="D65" s="306">
        <f>D64*I4</f>
        <v>1633.4313896762803</v>
      </c>
    </row>
    <row r="69" spans="1:10" x14ac:dyDescent="0.35">
      <c r="B69" s="336"/>
      <c r="C69" s="6"/>
      <c r="D69" s="117"/>
    </row>
    <row r="70" spans="1:10" x14ac:dyDescent="0.35">
      <c r="B70" s="336"/>
      <c r="C70" s="79"/>
      <c r="D70" s="117"/>
    </row>
    <row r="71" spans="1:10" x14ac:dyDescent="0.35">
      <c r="A71" s="19"/>
      <c r="F71" s="19"/>
    </row>
    <row r="72" spans="1:10" ht="15" thickBot="1" x14ac:dyDescent="0.4">
      <c r="A72" s="19" t="s">
        <v>348</v>
      </c>
      <c r="F72" s="295">
        <v>15</v>
      </c>
      <c r="G72" s="59">
        <v>5000</v>
      </c>
      <c r="H72" t="s">
        <v>349</v>
      </c>
    </row>
    <row r="73" spans="1:10" ht="29" x14ac:dyDescent="0.35">
      <c r="A73" s="320" t="s">
        <v>350</v>
      </c>
      <c r="B73" s="246" t="s">
        <v>351</v>
      </c>
      <c r="C73" s="321" t="s">
        <v>70</v>
      </c>
      <c r="D73" s="247" t="s">
        <v>352</v>
      </c>
      <c r="F73" s="41" t="s">
        <v>353</v>
      </c>
      <c r="G73" s="322">
        <f>B3</f>
        <v>49015</v>
      </c>
      <c r="H73" t="s">
        <v>349</v>
      </c>
    </row>
    <row r="74" spans="1:10" x14ac:dyDescent="0.35">
      <c r="A74" s="323" t="s">
        <v>174</v>
      </c>
      <c r="B74" s="103" t="s">
        <v>354</v>
      </c>
      <c r="C74" s="491">
        <f>'S4 - Montage financier'!L6</f>
        <v>1483450.2103237002</v>
      </c>
      <c r="D74" s="324"/>
      <c r="F74" s="304" t="s">
        <v>355</v>
      </c>
      <c r="G74" s="325">
        <f>G73/G72*F72</f>
        <v>147.04500000000002</v>
      </c>
      <c r="H74" s="304"/>
      <c r="I74" s="304"/>
      <c r="J74" s="304"/>
    </row>
    <row r="75" spans="1:10" x14ac:dyDescent="0.35">
      <c r="A75" s="323" t="s">
        <v>161</v>
      </c>
      <c r="B75" s="26">
        <v>0.04</v>
      </c>
      <c r="C75" s="495"/>
      <c r="D75" s="482"/>
    </row>
    <row r="76" spans="1:10" x14ac:dyDescent="0.35">
      <c r="A76" s="326" t="s">
        <v>215</v>
      </c>
      <c r="B76" s="26">
        <v>0.2</v>
      </c>
      <c r="C76" s="492">
        <f>'S4 - Montage financier'!C6</f>
        <v>349000</v>
      </c>
      <c r="D76" s="482">
        <f t="shared" ref="D76:D82" si="1">(C76*B76)/4</f>
        <v>17450</v>
      </c>
    </row>
    <row r="77" spans="1:10" x14ac:dyDescent="0.35">
      <c r="A77" s="323" t="s">
        <v>356</v>
      </c>
      <c r="B77" s="26">
        <v>0.5</v>
      </c>
      <c r="C77" s="493"/>
      <c r="D77" s="482"/>
    </row>
    <row r="78" spans="1:10" x14ac:dyDescent="0.35">
      <c r="A78" s="326" t="s">
        <v>357</v>
      </c>
      <c r="B78" s="26">
        <v>0.2</v>
      </c>
      <c r="C78" s="492">
        <f>'S4 - Montage financier'!C7</f>
        <v>31500</v>
      </c>
      <c r="D78" s="482">
        <f t="shared" si="1"/>
        <v>1575</v>
      </c>
    </row>
    <row r="79" spans="1:10" x14ac:dyDescent="0.35">
      <c r="A79" s="326" t="s">
        <v>222</v>
      </c>
      <c r="B79" s="26">
        <v>0.2</v>
      </c>
      <c r="C79" s="492">
        <f>'S4 - Montage financier'!C11</f>
        <v>5000</v>
      </c>
      <c r="D79" s="482">
        <f t="shared" si="1"/>
        <v>250</v>
      </c>
      <c r="F79" s="19" t="s">
        <v>358</v>
      </c>
    </row>
    <row r="80" spans="1:10" x14ac:dyDescent="0.35">
      <c r="A80" s="326" t="s">
        <v>220</v>
      </c>
      <c r="B80" s="26">
        <v>0.2</v>
      </c>
      <c r="C80" s="492">
        <f>'S4 - Montage financier'!C10</f>
        <v>34700</v>
      </c>
      <c r="D80" s="482">
        <f t="shared" si="1"/>
        <v>1735</v>
      </c>
      <c r="F80" s="293">
        <v>3.5000000000000001E-3</v>
      </c>
      <c r="G80" t="s">
        <v>359</v>
      </c>
      <c r="I80" s="41"/>
    </row>
    <row r="81" spans="1:10" x14ac:dyDescent="0.35">
      <c r="A81" s="326" t="s">
        <v>218</v>
      </c>
      <c r="B81" s="26">
        <v>0.3</v>
      </c>
      <c r="C81" s="492">
        <f>'S4 - Montage financier'!C9</f>
        <v>40000</v>
      </c>
      <c r="D81" s="482">
        <f t="shared" si="1"/>
        <v>3000</v>
      </c>
      <c r="F81" s="304" t="s">
        <v>68</v>
      </c>
      <c r="G81" s="327">
        <f>F80*B5</f>
        <v>9270.4274425000003</v>
      </c>
      <c r="H81" s="304"/>
      <c r="I81" s="304"/>
      <c r="J81" s="304"/>
    </row>
    <row r="82" spans="1:10" ht="15" thickBot="1" x14ac:dyDescent="0.4">
      <c r="A82" s="328" t="s">
        <v>360</v>
      </c>
      <c r="B82" s="329">
        <v>0.2</v>
      </c>
      <c r="C82" s="494">
        <f>'S4 - Montage financier'!C8</f>
        <v>105131.45462450823</v>
      </c>
      <c r="D82" s="482">
        <f t="shared" si="1"/>
        <v>5256.5727312254121</v>
      </c>
      <c r="F82" t="s">
        <v>308</v>
      </c>
      <c r="G82" s="330">
        <f>G81*I4</f>
        <v>1388.246509514375</v>
      </c>
    </row>
    <row r="83" spans="1:10" ht="15" thickBot="1" x14ac:dyDescent="0.4"/>
    <row r="84" spans="1:10" x14ac:dyDescent="0.35">
      <c r="F84" s="331" t="s">
        <v>361</v>
      </c>
      <c r="G84" s="277"/>
      <c r="H84" s="277"/>
      <c r="I84" s="277"/>
      <c r="J84" s="27"/>
    </row>
    <row r="85" spans="1:10" x14ac:dyDescent="0.35">
      <c r="F85" s="29"/>
      <c r="J85" s="279"/>
    </row>
    <row r="86" spans="1:10" x14ac:dyDescent="0.35">
      <c r="F86" s="332" t="s">
        <v>362</v>
      </c>
      <c r="J86" s="279"/>
    </row>
    <row r="87" spans="1:10" x14ac:dyDescent="0.35">
      <c r="F87" s="29" t="s">
        <v>363</v>
      </c>
      <c r="G87" s="295">
        <v>750</v>
      </c>
      <c r="H87" s="51" t="s">
        <v>364</v>
      </c>
      <c r="J87" s="279"/>
    </row>
    <row r="88" spans="1:10" x14ac:dyDescent="0.35">
      <c r="F88" s="29" t="s">
        <v>68</v>
      </c>
      <c r="G88" s="85">
        <f>G87/I5</f>
        <v>187.5</v>
      </c>
      <c r="H88" s="51" t="s">
        <v>365</v>
      </c>
      <c r="J88" s="279"/>
    </row>
    <row r="89" spans="1:10" x14ac:dyDescent="0.35">
      <c r="F89" s="29" t="s">
        <v>366</v>
      </c>
      <c r="G89" s="295">
        <v>155</v>
      </c>
      <c r="H89" s="51" t="s">
        <v>173</v>
      </c>
      <c r="J89" s="279"/>
    </row>
    <row r="90" spans="1:10" x14ac:dyDescent="0.35">
      <c r="F90" s="29" t="s">
        <v>68</v>
      </c>
      <c r="G90" s="85">
        <f>G89*I7</f>
        <v>465</v>
      </c>
      <c r="J90" s="279"/>
    </row>
    <row r="91" spans="1:10" x14ac:dyDescent="0.35">
      <c r="F91" s="333" t="s">
        <v>367</v>
      </c>
      <c r="G91" s="325">
        <f>G90+G88</f>
        <v>652.5</v>
      </c>
      <c r="H91" s="300"/>
      <c r="I91" s="300"/>
      <c r="J91" s="334"/>
    </row>
    <row r="92" spans="1:10" x14ac:dyDescent="0.35">
      <c r="F92" s="335" t="s">
        <v>308</v>
      </c>
      <c r="G92" s="307">
        <f>G91*I4</f>
        <v>97.711874999999992</v>
      </c>
      <c r="J92" s="279"/>
    </row>
    <row r="93" spans="1:10" x14ac:dyDescent="0.35">
      <c r="C93" s="41"/>
      <c r="D93" s="133"/>
      <c r="F93" s="29"/>
      <c r="J93" s="279"/>
    </row>
    <row r="94" spans="1:10" x14ac:dyDescent="0.35">
      <c r="F94" s="335" t="s">
        <v>368</v>
      </c>
      <c r="J94" s="279"/>
    </row>
    <row r="95" spans="1:10" x14ac:dyDescent="0.35">
      <c r="F95" s="29" t="s">
        <v>369</v>
      </c>
      <c r="G95" s="336">
        <v>2.5000000000000001E-2</v>
      </c>
      <c r="J95" s="279"/>
    </row>
    <row r="96" spans="1:10" x14ac:dyDescent="0.35">
      <c r="F96" s="333" t="s">
        <v>370</v>
      </c>
      <c r="G96" s="300"/>
      <c r="H96" s="300"/>
      <c r="I96" s="300"/>
      <c r="J96" s="334"/>
    </row>
    <row r="97" spans="6:10" x14ac:dyDescent="0.35">
      <c r="F97" s="335" t="s">
        <v>308</v>
      </c>
      <c r="G97" s="307">
        <f>G96*I4</f>
        <v>0</v>
      </c>
      <c r="J97" s="279"/>
    </row>
    <row r="98" spans="6:10" ht="15" thickBot="1" x14ac:dyDescent="0.4">
      <c r="F98" s="255"/>
      <c r="G98" s="145"/>
      <c r="H98" s="145"/>
      <c r="I98" s="145"/>
      <c r="J98" s="147"/>
    </row>
  </sheetData>
  <sheetProtection sheet="1" objects="1" scenarios="1" formatCells="1" formatColumns="0" formatRows="0" insertColumns="1" insertRows="1" insertHyperlinks="1" deleteColumns="1" deleteRows="1" selectLockedCells="0" selectUnlockedCells="0" sort="0" autoFilter="0" pivotTables="0"/>
  <mergeCells count="2">
    <mergeCell ref="A9:C9"/>
    <mergeCell ref="D9:I9"/>
  </mergeCells>
  <pageMargins left="0.70866141732283472" right="0.70866141732283472" top="0.74803149606299213" bottom="0.74803149606299213" header="0.31496062992125984" footer="0.31496062992125984"/>
  <pageSetup scale="46" fitToHeight="2" orientation="landscape"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8D6A-B5D1-480B-8F07-24A3D216530A}">
  <dimension ref="B1:AE364"/>
  <sheetViews>
    <sheetView topLeftCell="B1" workbookViewId="0">
      <selection activeCell="C14" sqref="C14"/>
    </sheetView>
  </sheetViews>
  <sheetFormatPr baseColWidth="10" defaultRowHeight="12.5" x14ac:dyDescent="0.25"/>
  <cols>
    <col min="1" max="2" width="10.90625" style="213"/>
    <col min="3" max="3" width="11.453125" style="214" customWidth="1"/>
    <col min="4" max="4" width="15" style="338" bestFit="1" customWidth="1"/>
    <col min="5" max="5" width="12.36328125" style="213" bestFit="1" customWidth="1"/>
    <col min="6" max="7" width="15" style="213" bestFit="1" customWidth="1"/>
    <col min="8" max="10" width="10.90625" style="213"/>
    <col min="11" max="11" width="11.453125" style="214" customWidth="1"/>
    <col min="12" max="12" width="15" style="338" bestFit="1" customWidth="1"/>
    <col min="13" max="13" width="12.36328125" style="213" bestFit="1" customWidth="1"/>
    <col min="14" max="15" width="15" style="213" bestFit="1" customWidth="1"/>
    <col min="16" max="18" width="10.90625" style="213"/>
    <col min="19" max="19" width="11.453125" style="214" customWidth="1"/>
    <col min="20" max="20" width="15" style="338" bestFit="1" customWidth="1"/>
    <col min="21" max="21" width="12.36328125" style="213" bestFit="1" customWidth="1"/>
    <col min="22" max="23" width="15" style="213" bestFit="1" customWidth="1"/>
    <col min="24" max="26" width="10.90625" style="213"/>
    <col min="27" max="27" width="11.453125" style="214" customWidth="1"/>
    <col min="28" max="28" width="15" style="338" bestFit="1" customWidth="1"/>
    <col min="29" max="29" width="12.36328125" style="213" bestFit="1" customWidth="1"/>
    <col min="30" max="31" width="15" style="213" bestFit="1" customWidth="1"/>
    <col min="32" max="258" width="10.90625" style="213"/>
    <col min="259" max="259" width="11.453125" style="213" customWidth="1"/>
    <col min="260" max="260" width="15" style="213" bestFit="1" customWidth="1"/>
    <col min="261" max="261" width="12.36328125" style="213" bestFit="1" customWidth="1"/>
    <col min="262" max="263" width="15" style="213" bestFit="1" customWidth="1"/>
    <col min="264" max="266" width="10.90625" style="213"/>
    <col min="267" max="267" width="11.453125" style="213" customWidth="1"/>
    <col min="268" max="268" width="15" style="213" bestFit="1" customWidth="1"/>
    <col min="269" max="269" width="12.36328125" style="213" bestFit="1" customWidth="1"/>
    <col min="270" max="271" width="15" style="213" bestFit="1" customWidth="1"/>
    <col min="272" max="274" width="10.90625" style="213"/>
    <col min="275" max="275" width="11.453125" style="213" customWidth="1"/>
    <col min="276" max="276" width="15" style="213" bestFit="1" customWidth="1"/>
    <col min="277" max="277" width="12.36328125" style="213" bestFit="1" customWidth="1"/>
    <col min="278" max="279" width="15" style="213" bestFit="1" customWidth="1"/>
    <col min="280" max="282" width="10.90625" style="213"/>
    <col min="283" max="283" width="11.453125" style="213" customWidth="1"/>
    <col min="284" max="284" width="15" style="213" bestFit="1" customWidth="1"/>
    <col min="285" max="285" width="12.36328125" style="213" bestFit="1" customWidth="1"/>
    <col min="286" max="287" width="15" style="213" bestFit="1" customWidth="1"/>
    <col min="288" max="514" width="10.90625" style="213"/>
    <col min="515" max="515" width="11.453125" style="213" customWidth="1"/>
    <col min="516" max="516" width="15" style="213" bestFit="1" customWidth="1"/>
    <col min="517" max="517" width="12.36328125" style="213" bestFit="1" customWidth="1"/>
    <col min="518" max="519" width="15" style="213" bestFit="1" customWidth="1"/>
    <col min="520" max="522" width="10.90625" style="213"/>
    <col min="523" max="523" width="11.453125" style="213" customWidth="1"/>
    <col min="524" max="524" width="15" style="213" bestFit="1" customWidth="1"/>
    <col min="525" max="525" width="12.36328125" style="213" bestFit="1" customWidth="1"/>
    <col min="526" max="527" width="15" style="213" bestFit="1" customWidth="1"/>
    <col min="528" max="530" width="10.90625" style="213"/>
    <col min="531" max="531" width="11.453125" style="213" customWidth="1"/>
    <col min="532" max="532" width="15" style="213" bestFit="1" customWidth="1"/>
    <col min="533" max="533" width="12.36328125" style="213" bestFit="1" customWidth="1"/>
    <col min="534" max="535" width="15" style="213" bestFit="1" customWidth="1"/>
    <col min="536" max="538" width="10.90625" style="213"/>
    <col min="539" max="539" width="11.453125" style="213" customWidth="1"/>
    <col min="540" max="540" width="15" style="213" bestFit="1" customWidth="1"/>
    <col min="541" max="541" width="12.36328125" style="213" bestFit="1" customWidth="1"/>
    <col min="542" max="543" width="15" style="213" bestFit="1" customWidth="1"/>
    <col min="544" max="770" width="10.90625" style="213"/>
    <col min="771" max="771" width="11.453125" style="213" customWidth="1"/>
    <col min="772" max="772" width="15" style="213" bestFit="1" customWidth="1"/>
    <col min="773" max="773" width="12.36328125" style="213" bestFit="1" customWidth="1"/>
    <col min="774" max="775" width="15" style="213" bestFit="1" customWidth="1"/>
    <col min="776" max="778" width="10.90625" style="213"/>
    <col min="779" max="779" width="11.453125" style="213" customWidth="1"/>
    <col min="780" max="780" width="15" style="213" bestFit="1" customWidth="1"/>
    <col min="781" max="781" width="12.36328125" style="213" bestFit="1" customWidth="1"/>
    <col min="782" max="783" width="15" style="213" bestFit="1" customWidth="1"/>
    <col min="784" max="786" width="10.90625" style="213"/>
    <col min="787" max="787" width="11.453125" style="213" customWidth="1"/>
    <col min="788" max="788" width="15" style="213" bestFit="1" customWidth="1"/>
    <col min="789" max="789" width="12.36328125" style="213" bestFit="1" customWidth="1"/>
    <col min="790" max="791" width="15" style="213" bestFit="1" customWidth="1"/>
    <col min="792" max="794" width="10.90625" style="213"/>
    <col min="795" max="795" width="11.453125" style="213" customWidth="1"/>
    <col min="796" max="796" width="15" style="213" bestFit="1" customWidth="1"/>
    <col min="797" max="797" width="12.36328125" style="213" bestFit="1" customWidth="1"/>
    <col min="798" max="799" width="15" style="213" bestFit="1" customWidth="1"/>
    <col min="800" max="1026" width="10.90625" style="213"/>
    <col min="1027" max="1027" width="11.453125" style="213" customWidth="1"/>
    <col min="1028" max="1028" width="15" style="213" bestFit="1" customWidth="1"/>
    <col min="1029" max="1029" width="12.36328125" style="213" bestFit="1" customWidth="1"/>
    <col min="1030" max="1031" width="15" style="213" bestFit="1" customWidth="1"/>
    <col min="1032" max="1034" width="10.90625" style="213"/>
    <col min="1035" max="1035" width="11.453125" style="213" customWidth="1"/>
    <col min="1036" max="1036" width="15" style="213" bestFit="1" customWidth="1"/>
    <col min="1037" max="1037" width="12.36328125" style="213" bestFit="1" customWidth="1"/>
    <col min="1038" max="1039" width="15" style="213" bestFit="1" customWidth="1"/>
    <col min="1040" max="1042" width="10.90625" style="213"/>
    <col min="1043" max="1043" width="11.453125" style="213" customWidth="1"/>
    <col min="1044" max="1044" width="15" style="213" bestFit="1" customWidth="1"/>
    <col min="1045" max="1045" width="12.36328125" style="213" bestFit="1" customWidth="1"/>
    <col min="1046" max="1047" width="15" style="213" bestFit="1" customWidth="1"/>
    <col min="1048" max="1050" width="10.90625" style="213"/>
    <col min="1051" max="1051" width="11.453125" style="213" customWidth="1"/>
    <col min="1052" max="1052" width="15" style="213" bestFit="1" customWidth="1"/>
    <col min="1053" max="1053" width="12.36328125" style="213" bestFit="1" customWidth="1"/>
    <col min="1054" max="1055" width="15" style="213" bestFit="1" customWidth="1"/>
    <col min="1056" max="1282" width="10.90625" style="213"/>
    <col min="1283" max="1283" width="11.453125" style="213" customWidth="1"/>
    <col min="1284" max="1284" width="15" style="213" bestFit="1" customWidth="1"/>
    <col min="1285" max="1285" width="12.36328125" style="213" bestFit="1" customWidth="1"/>
    <col min="1286" max="1287" width="15" style="213" bestFit="1" customWidth="1"/>
    <col min="1288" max="1290" width="10.90625" style="213"/>
    <col min="1291" max="1291" width="11.453125" style="213" customWidth="1"/>
    <col min="1292" max="1292" width="15" style="213" bestFit="1" customWidth="1"/>
    <col min="1293" max="1293" width="12.36328125" style="213" bestFit="1" customWidth="1"/>
    <col min="1294" max="1295" width="15" style="213" bestFit="1" customWidth="1"/>
    <col min="1296" max="1298" width="10.90625" style="213"/>
    <col min="1299" max="1299" width="11.453125" style="213" customWidth="1"/>
    <col min="1300" max="1300" width="15" style="213" bestFit="1" customWidth="1"/>
    <col min="1301" max="1301" width="12.36328125" style="213" bestFit="1" customWidth="1"/>
    <col min="1302" max="1303" width="15" style="213" bestFit="1" customWidth="1"/>
    <col min="1304" max="1306" width="10.90625" style="213"/>
    <col min="1307" max="1307" width="11.453125" style="213" customWidth="1"/>
    <col min="1308" max="1308" width="15" style="213" bestFit="1" customWidth="1"/>
    <col min="1309" max="1309" width="12.36328125" style="213" bestFit="1" customWidth="1"/>
    <col min="1310" max="1311" width="15" style="213" bestFit="1" customWidth="1"/>
    <col min="1312" max="1538" width="10.90625" style="213"/>
    <col min="1539" max="1539" width="11.453125" style="213" customWidth="1"/>
    <col min="1540" max="1540" width="15" style="213" bestFit="1" customWidth="1"/>
    <col min="1541" max="1541" width="12.36328125" style="213" bestFit="1" customWidth="1"/>
    <col min="1542" max="1543" width="15" style="213" bestFit="1" customWidth="1"/>
    <col min="1544" max="1546" width="10.90625" style="213"/>
    <col min="1547" max="1547" width="11.453125" style="213" customWidth="1"/>
    <col min="1548" max="1548" width="15" style="213" bestFit="1" customWidth="1"/>
    <col min="1549" max="1549" width="12.36328125" style="213" bestFit="1" customWidth="1"/>
    <col min="1550" max="1551" width="15" style="213" bestFit="1" customWidth="1"/>
    <col min="1552" max="1554" width="10.90625" style="213"/>
    <col min="1555" max="1555" width="11.453125" style="213" customWidth="1"/>
    <col min="1556" max="1556" width="15" style="213" bestFit="1" customWidth="1"/>
    <col min="1557" max="1557" width="12.36328125" style="213" bestFit="1" customWidth="1"/>
    <col min="1558" max="1559" width="15" style="213" bestFit="1" customWidth="1"/>
    <col min="1560" max="1562" width="10.90625" style="213"/>
    <col min="1563" max="1563" width="11.453125" style="213" customWidth="1"/>
    <col min="1564" max="1564" width="15" style="213" bestFit="1" customWidth="1"/>
    <col min="1565" max="1565" width="12.36328125" style="213" bestFit="1" customWidth="1"/>
    <col min="1566" max="1567" width="15" style="213" bestFit="1" customWidth="1"/>
    <col min="1568" max="1794" width="10.90625" style="213"/>
    <col min="1795" max="1795" width="11.453125" style="213" customWidth="1"/>
    <col min="1796" max="1796" width="15" style="213" bestFit="1" customWidth="1"/>
    <col min="1797" max="1797" width="12.36328125" style="213" bestFit="1" customWidth="1"/>
    <col min="1798" max="1799" width="15" style="213" bestFit="1" customWidth="1"/>
    <col min="1800" max="1802" width="10.90625" style="213"/>
    <col min="1803" max="1803" width="11.453125" style="213" customWidth="1"/>
    <col min="1804" max="1804" width="15" style="213" bestFit="1" customWidth="1"/>
    <col min="1805" max="1805" width="12.36328125" style="213" bestFit="1" customWidth="1"/>
    <col min="1806" max="1807" width="15" style="213" bestFit="1" customWidth="1"/>
    <col min="1808" max="1810" width="10.90625" style="213"/>
    <col min="1811" max="1811" width="11.453125" style="213" customWidth="1"/>
    <col min="1812" max="1812" width="15" style="213" bestFit="1" customWidth="1"/>
    <col min="1813" max="1813" width="12.36328125" style="213" bestFit="1" customWidth="1"/>
    <col min="1814" max="1815" width="15" style="213" bestFit="1" customWidth="1"/>
    <col min="1816" max="1818" width="10.90625" style="213"/>
    <col min="1819" max="1819" width="11.453125" style="213" customWidth="1"/>
    <col min="1820" max="1820" width="15" style="213" bestFit="1" customWidth="1"/>
    <col min="1821" max="1821" width="12.36328125" style="213" bestFit="1" customWidth="1"/>
    <col min="1822" max="1823" width="15" style="213" bestFit="1" customWidth="1"/>
    <col min="1824" max="2050" width="10.90625" style="213"/>
    <col min="2051" max="2051" width="11.453125" style="213" customWidth="1"/>
    <col min="2052" max="2052" width="15" style="213" bestFit="1" customWidth="1"/>
    <col min="2053" max="2053" width="12.36328125" style="213" bestFit="1" customWidth="1"/>
    <col min="2054" max="2055" width="15" style="213" bestFit="1" customWidth="1"/>
    <col min="2056" max="2058" width="10.90625" style="213"/>
    <col min="2059" max="2059" width="11.453125" style="213" customWidth="1"/>
    <col min="2060" max="2060" width="15" style="213" bestFit="1" customWidth="1"/>
    <col min="2061" max="2061" width="12.36328125" style="213" bestFit="1" customWidth="1"/>
    <col min="2062" max="2063" width="15" style="213" bestFit="1" customWidth="1"/>
    <col min="2064" max="2066" width="10.90625" style="213"/>
    <col min="2067" max="2067" width="11.453125" style="213" customWidth="1"/>
    <col min="2068" max="2068" width="15" style="213" bestFit="1" customWidth="1"/>
    <col min="2069" max="2069" width="12.36328125" style="213" bestFit="1" customWidth="1"/>
    <col min="2070" max="2071" width="15" style="213" bestFit="1" customWidth="1"/>
    <col min="2072" max="2074" width="10.90625" style="213"/>
    <col min="2075" max="2075" width="11.453125" style="213" customWidth="1"/>
    <col min="2076" max="2076" width="15" style="213" bestFit="1" customWidth="1"/>
    <col min="2077" max="2077" width="12.36328125" style="213" bestFit="1" customWidth="1"/>
    <col min="2078" max="2079" width="15" style="213" bestFit="1" customWidth="1"/>
    <col min="2080" max="2306" width="10.90625" style="213"/>
    <col min="2307" max="2307" width="11.453125" style="213" customWidth="1"/>
    <col min="2308" max="2308" width="15" style="213" bestFit="1" customWidth="1"/>
    <col min="2309" max="2309" width="12.36328125" style="213" bestFit="1" customWidth="1"/>
    <col min="2310" max="2311" width="15" style="213" bestFit="1" customWidth="1"/>
    <col min="2312" max="2314" width="10.90625" style="213"/>
    <col min="2315" max="2315" width="11.453125" style="213" customWidth="1"/>
    <col min="2316" max="2316" width="15" style="213" bestFit="1" customWidth="1"/>
    <col min="2317" max="2317" width="12.36328125" style="213" bestFit="1" customWidth="1"/>
    <col min="2318" max="2319" width="15" style="213" bestFit="1" customWidth="1"/>
    <col min="2320" max="2322" width="10.90625" style="213"/>
    <col min="2323" max="2323" width="11.453125" style="213" customWidth="1"/>
    <col min="2324" max="2324" width="15" style="213" bestFit="1" customWidth="1"/>
    <col min="2325" max="2325" width="12.36328125" style="213" bestFit="1" customWidth="1"/>
    <col min="2326" max="2327" width="15" style="213" bestFit="1" customWidth="1"/>
    <col min="2328" max="2330" width="10.90625" style="213"/>
    <col min="2331" max="2331" width="11.453125" style="213" customWidth="1"/>
    <col min="2332" max="2332" width="15" style="213" bestFit="1" customWidth="1"/>
    <col min="2333" max="2333" width="12.36328125" style="213" bestFit="1" customWidth="1"/>
    <col min="2334" max="2335" width="15" style="213" bestFit="1" customWidth="1"/>
    <col min="2336" max="2562" width="10.90625" style="213"/>
    <col min="2563" max="2563" width="11.453125" style="213" customWidth="1"/>
    <col min="2564" max="2564" width="15" style="213" bestFit="1" customWidth="1"/>
    <col min="2565" max="2565" width="12.36328125" style="213" bestFit="1" customWidth="1"/>
    <col min="2566" max="2567" width="15" style="213" bestFit="1" customWidth="1"/>
    <col min="2568" max="2570" width="10.90625" style="213"/>
    <col min="2571" max="2571" width="11.453125" style="213" customWidth="1"/>
    <col min="2572" max="2572" width="15" style="213" bestFit="1" customWidth="1"/>
    <col min="2573" max="2573" width="12.36328125" style="213" bestFit="1" customWidth="1"/>
    <col min="2574" max="2575" width="15" style="213" bestFit="1" customWidth="1"/>
    <col min="2576" max="2578" width="10.90625" style="213"/>
    <col min="2579" max="2579" width="11.453125" style="213" customWidth="1"/>
    <col min="2580" max="2580" width="15" style="213" bestFit="1" customWidth="1"/>
    <col min="2581" max="2581" width="12.36328125" style="213" bestFit="1" customWidth="1"/>
    <col min="2582" max="2583" width="15" style="213" bestFit="1" customWidth="1"/>
    <col min="2584" max="2586" width="10.90625" style="213"/>
    <col min="2587" max="2587" width="11.453125" style="213" customWidth="1"/>
    <col min="2588" max="2588" width="15" style="213" bestFit="1" customWidth="1"/>
    <col min="2589" max="2589" width="12.36328125" style="213" bestFit="1" customWidth="1"/>
    <col min="2590" max="2591" width="15" style="213" bestFit="1" customWidth="1"/>
    <col min="2592" max="2818" width="10.90625" style="213"/>
    <col min="2819" max="2819" width="11.453125" style="213" customWidth="1"/>
    <col min="2820" max="2820" width="15" style="213" bestFit="1" customWidth="1"/>
    <col min="2821" max="2821" width="12.36328125" style="213" bestFit="1" customWidth="1"/>
    <col min="2822" max="2823" width="15" style="213" bestFit="1" customWidth="1"/>
    <col min="2824" max="2826" width="10.90625" style="213"/>
    <col min="2827" max="2827" width="11.453125" style="213" customWidth="1"/>
    <col min="2828" max="2828" width="15" style="213" bestFit="1" customWidth="1"/>
    <col min="2829" max="2829" width="12.36328125" style="213" bestFit="1" customWidth="1"/>
    <col min="2830" max="2831" width="15" style="213" bestFit="1" customWidth="1"/>
    <col min="2832" max="2834" width="10.90625" style="213"/>
    <col min="2835" max="2835" width="11.453125" style="213" customWidth="1"/>
    <col min="2836" max="2836" width="15" style="213" bestFit="1" customWidth="1"/>
    <col min="2837" max="2837" width="12.36328125" style="213" bestFit="1" customWidth="1"/>
    <col min="2838" max="2839" width="15" style="213" bestFit="1" customWidth="1"/>
    <col min="2840" max="2842" width="10.90625" style="213"/>
    <col min="2843" max="2843" width="11.453125" style="213" customWidth="1"/>
    <col min="2844" max="2844" width="15" style="213" bestFit="1" customWidth="1"/>
    <col min="2845" max="2845" width="12.36328125" style="213" bestFit="1" customWidth="1"/>
    <col min="2846" max="2847" width="15" style="213" bestFit="1" customWidth="1"/>
    <col min="2848" max="3074" width="10.90625" style="213"/>
    <col min="3075" max="3075" width="11.453125" style="213" customWidth="1"/>
    <col min="3076" max="3076" width="15" style="213" bestFit="1" customWidth="1"/>
    <col min="3077" max="3077" width="12.36328125" style="213" bestFit="1" customWidth="1"/>
    <col min="3078" max="3079" width="15" style="213" bestFit="1" customWidth="1"/>
    <col min="3080" max="3082" width="10.90625" style="213"/>
    <col min="3083" max="3083" width="11.453125" style="213" customWidth="1"/>
    <col min="3084" max="3084" width="15" style="213" bestFit="1" customWidth="1"/>
    <col min="3085" max="3085" width="12.36328125" style="213" bestFit="1" customWidth="1"/>
    <col min="3086" max="3087" width="15" style="213" bestFit="1" customWidth="1"/>
    <col min="3088" max="3090" width="10.90625" style="213"/>
    <col min="3091" max="3091" width="11.453125" style="213" customWidth="1"/>
    <col min="3092" max="3092" width="15" style="213" bestFit="1" customWidth="1"/>
    <col min="3093" max="3093" width="12.36328125" style="213" bestFit="1" customWidth="1"/>
    <col min="3094" max="3095" width="15" style="213" bestFit="1" customWidth="1"/>
    <col min="3096" max="3098" width="10.90625" style="213"/>
    <col min="3099" max="3099" width="11.453125" style="213" customWidth="1"/>
    <col min="3100" max="3100" width="15" style="213" bestFit="1" customWidth="1"/>
    <col min="3101" max="3101" width="12.36328125" style="213" bestFit="1" customWidth="1"/>
    <col min="3102" max="3103" width="15" style="213" bestFit="1" customWidth="1"/>
    <col min="3104" max="3330" width="10.90625" style="213"/>
    <col min="3331" max="3331" width="11.453125" style="213" customWidth="1"/>
    <col min="3332" max="3332" width="15" style="213" bestFit="1" customWidth="1"/>
    <col min="3333" max="3333" width="12.36328125" style="213" bestFit="1" customWidth="1"/>
    <col min="3334" max="3335" width="15" style="213" bestFit="1" customWidth="1"/>
    <col min="3336" max="3338" width="10.90625" style="213"/>
    <col min="3339" max="3339" width="11.453125" style="213" customWidth="1"/>
    <col min="3340" max="3340" width="15" style="213" bestFit="1" customWidth="1"/>
    <col min="3341" max="3341" width="12.36328125" style="213" bestFit="1" customWidth="1"/>
    <col min="3342" max="3343" width="15" style="213" bestFit="1" customWidth="1"/>
    <col min="3344" max="3346" width="10.90625" style="213"/>
    <col min="3347" max="3347" width="11.453125" style="213" customWidth="1"/>
    <col min="3348" max="3348" width="15" style="213" bestFit="1" customWidth="1"/>
    <col min="3349" max="3349" width="12.36328125" style="213" bestFit="1" customWidth="1"/>
    <col min="3350" max="3351" width="15" style="213" bestFit="1" customWidth="1"/>
    <col min="3352" max="3354" width="10.90625" style="213"/>
    <col min="3355" max="3355" width="11.453125" style="213" customWidth="1"/>
    <col min="3356" max="3356" width="15" style="213" bestFit="1" customWidth="1"/>
    <col min="3357" max="3357" width="12.36328125" style="213" bestFit="1" customWidth="1"/>
    <col min="3358" max="3359" width="15" style="213" bestFit="1" customWidth="1"/>
    <col min="3360" max="3586" width="10.90625" style="213"/>
    <col min="3587" max="3587" width="11.453125" style="213" customWidth="1"/>
    <col min="3588" max="3588" width="15" style="213" bestFit="1" customWidth="1"/>
    <col min="3589" max="3589" width="12.36328125" style="213" bestFit="1" customWidth="1"/>
    <col min="3590" max="3591" width="15" style="213" bestFit="1" customWidth="1"/>
    <col min="3592" max="3594" width="10.90625" style="213"/>
    <col min="3595" max="3595" width="11.453125" style="213" customWidth="1"/>
    <col min="3596" max="3596" width="15" style="213" bestFit="1" customWidth="1"/>
    <col min="3597" max="3597" width="12.36328125" style="213" bestFit="1" customWidth="1"/>
    <col min="3598" max="3599" width="15" style="213" bestFit="1" customWidth="1"/>
    <col min="3600" max="3602" width="10.90625" style="213"/>
    <col min="3603" max="3603" width="11.453125" style="213" customWidth="1"/>
    <col min="3604" max="3604" width="15" style="213" bestFit="1" customWidth="1"/>
    <col min="3605" max="3605" width="12.36328125" style="213" bestFit="1" customWidth="1"/>
    <col min="3606" max="3607" width="15" style="213" bestFit="1" customWidth="1"/>
    <col min="3608" max="3610" width="10.90625" style="213"/>
    <col min="3611" max="3611" width="11.453125" style="213" customWidth="1"/>
    <col min="3612" max="3612" width="15" style="213" bestFit="1" customWidth="1"/>
    <col min="3613" max="3613" width="12.36328125" style="213" bestFit="1" customWidth="1"/>
    <col min="3614" max="3615" width="15" style="213" bestFit="1" customWidth="1"/>
    <col min="3616" max="3842" width="10.90625" style="213"/>
    <col min="3843" max="3843" width="11.453125" style="213" customWidth="1"/>
    <col min="3844" max="3844" width="15" style="213" bestFit="1" customWidth="1"/>
    <col min="3845" max="3845" width="12.36328125" style="213" bestFit="1" customWidth="1"/>
    <col min="3846" max="3847" width="15" style="213" bestFit="1" customWidth="1"/>
    <col min="3848" max="3850" width="10.90625" style="213"/>
    <col min="3851" max="3851" width="11.453125" style="213" customWidth="1"/>
    <col min="3852" max="3852" width="15" style="213" bestFit="1" customWidth="1"/>
    <col min="3853" max="3853" width="12.36328125" style="213" bestFit="1" customWidth="1"/>
    <col min="3854" max="3855" width="15" style="213" bestFit="1" customWidth="1"/>
    <col min="3856" max="3858" width="10.90625" style="213"/>
    <col min="3859" max="3859" width="11.453125" style="213" customWidth="1"/>
    <col min="3860" max="3860" width="15" style="213" bestFit="1" customWidth="1"/>
    <col min="3861" max="3861" width="12.36328125" style="213" bestFit="1" customWidth="1"/>
    <col min="3862" max="3863" width="15" style="213" bestFit="1" customWidth="1"/>
    <col min="3864" max="3866" width="10.90625" style="213"/>
    <col min="3867" max="3867" width="11.453125" style="213" customWidth="1"/>
    <col min="3868" max="3868" width="15" style="213" bestFit="1" customWidth="1"/>
    <col min="3869" max="3869" width="12.36328125" style="213" bestFit="1" customWidth="1"/>
    <col min="3870" max="3871" width="15" style="213" bestFit="1" customWidth="1"/>
    <col min="3872" max="4098" width="10.90625" style="213"/>
    <col min="4099" max="4099" width="11.453125" style="213" customWidth="1"/>
    <col min="4100" max="4100" width="15" style="213" bestFit="1" customWidth="1"/>
    <col min="4101" max="4101" width="12.36328125" style="213" bestFit="1" customWidth="1"/>
    <col min="4102" max="4103" width="15" style="213" bestFit="1" customWidth="1"/>
    <col min="4104" max="4106" width="10.90625" style="213"/>
    <col min="4107" max="4107" width="11.453125" style="213" customWidth="1"/>
    <col min="4108" max="4108" width="15" style="213" bestFit="1" customWidth="1"/>
    <col min="4109" max="4109" width="12.36328125" style="213" bestFit="1" customWidth="1"/>
    <col min="4110" max="4111" width="15" style="213" bestFit="1" customWidth="1"/>
    <col min="4112" max="4114" width="10.90625" style="213"/>
    <col min="4115" max="4115" width="11.453125" style="213" customWidth="1"/>
    <col min="4116" max="4116" width="15" style="213" bestFit="1" customWidth="1"/>
    <col min="4117" max="4117" width="12.36328125" style="213" bestFit="1" customWidth="1"/>
    <col min="4118" max="4119" width="15" style="213" bestFit="1" customWidth="1"/>
    <col min="4120" max="4122" width="10.90625" style="213"/>
    <col min="4123" max="4123" width="11.453125" style="213" customWidth="1"/>
    <col min="4124" max="4124" width="15" style="213" bestFit="1" customWidth="1"/>
    <col min="4125" max="4125" width="12.36328125" style="213" bestFit="1" customWidth="1"/>
    <col min="4126" max="4127" width="15" style="213" bestFit="1" customWidth="1"/>
    <col min="4128" max="4354" width="10.90625" style="213"/>
    <col min="4355" max="4355" width="11.453125" style="213" customWidth="1"/>
    <col min="4356" max="4356" width="15" style="213" bestFit="1" customWidth="1"/>
    <col min="4357" max="4357" width="12.36328125" style="213" bestFit="1" customWidth="1"/>
    <col min="4358" max="4359" width="15" style="213" bestFit="1" customWidth="1"/>
    <col min="4360" max="4362" width="10.90625" style="213"/>
    <col min="4363" max="4363" width="11.453125" style="213" customWidth="1"/>
    <col min="4364" max="4364" width="15" style="213" bestFit="1" customWidth="1"/>
    <col min="4365" max="4365" width="12.36328125" style="213" bestFit="1" customWidth="1"/>
    <col min="4366" max="4367" width="15" style="213" bestFit="1" customWidth="1"/>
    <col min="4368" max="4370" width="10.90625" style="213"/>
    <col min="4371" max="4371" width="11.453125" style="213" customWidth="1"/>
    <col min="4372" max="4372" width="15" style="213" bestFit="1" customWidth="1"/>
    <col min="4373" max="4373" width="12.36328125" style="213" bestFit="1" customWidth="1"/>
    <col min="4374" max="4375" width="15" style="213" bestFit="1" customWidth="1"/>
    <col min="4376" max="4378" width="10.90625" style="213"/>
    <col min="4379" max="4379" width="11.453125" style="213" customWidth="1"/>
    <col min="4380" max="4380" width="15" style="213" bestFit="1" customWidth="1"/>
    <col min="4381" max="4381" width="12.36328125" style="213" bestFit="1" customWidth="1"/>
    <col min="4382" max="4383" width="15" style="213" bestFit="1" customWidth="1"/>
    <col min="4384" max="4610" width="10.90625" style="213"/>
    <col min="4611" max="4611" width="11.453125" style="213" customWidth="1"/>
    <col min="4612" max="4612" width="15" style="213" bestFit="1" customWidth="1"/>
    <col min="4613" max="4613" width="12.36328125" style="213" bestFit="1" customWidth="1"/>
    <col min="4614" max="4615" width="15" style="213" bestFit="1" customWidth="1"/>
    <col min="4616" max="4618" width="10.90625" style="213"/>
    <col min="4619" max="4619" width="11.453125" style="213" customWidth="1"/>
    <col min="4620" max="4620" width="15" style="213" bestFit="1" customWidth="1"/>
    <col min="4621" max="4621" width="12.36328125" style="213" bestFit="1" customWidth="1"/>
    <col min="4622" max="4623" width="15" style="213" bestFit="1" customWidth="1"/>
    <col min="4624" max="4626" width="10.90625" style="213"/>
    <col min="4627" max="4627" width="11.453125" style="213" customWidth="1"/>
    <col min="4628" max="4628" width="15" style="213" bestFit="1" customWidth="1"/>
    <col min="4629" max="4629" width="12.36328125" style="213" bestFit="1" customWidth="1"/>
    <col min="4630" max="4631" width="15" style="213" bestFit="1" customWidth="1"/>
    <col min="4632" max="4634" width="10.90625" style="213"/>
    <col min="4635" max="4635" width="11.453125" style="213" customWidth="1"/>
    <col min="4636" max="4636" width="15" style="213" bestFit="1" customWidth="1"/>
    <col min="4637" max="4637" width="12.36328125" style="213" bestFit="1" customWidth="1"/>
    <col min="4638" max="4639" width="15" style="213" bestFit="1" customWidth="1"/>
    <col min="4640" max="4866" width="10.90625" style="213"/>
    <col min="4867" max="4867" width="11.453125" style="213" customWidth="1"/>
    <col min="4868" max="4868" width="15" style="213" bestFit="1" customWidth="1"/>
    <col min="4869" max="4869" width="12.36328125" style="213" bestFit="1" customWidth="1"/>
    <col min="4870" max="4871" width="15" style="213" bestFit="1" customWidth="1"/>
    <col min="4872" max="4874" width="10.90625" style="213"/>
    <col min="4875" max="4875" width="11.453125" style="213" customWidth="1"/>
    <col min="4876" max="4876" width="15" style="213" bestFit="1" customWidth="1"/>
    <col min="4877" max="4877" width="12.36328125" style="213" bestFit="1" customWidth="1"/>
    <col min="4878" max="4879" width="15" style="213" bestFit="1" customWidth="1"/>
    <col min="4880" max="4882" width="10.90625" style="213"/>
    <col min="4883" max="4883" width="11.453125" style="213" customWidth="1"/>
    <col min="4884" max="4884" width="15" style="213" bestFit="1" customWidth="1"/>
    <col min="4885" max="4885" width="12.36328125" style="213" bestFit="1" customWidth="1"/>
    <col min="4886" max="4887" width="15" style="213" bestFit="1" customWidth="1"/>
    <col min="4888" max="4890" width="10.90625" style="213"/>
    <col min="4891" max="4891" width="11.453125" style="213" customWidth="1"/>
    <col min="4892" max="4892" width="15" style="213" bestFit="1" customWidth="1"/>
    <col min="4893" max="4893" width="12.36328125" style="213" bestFit="1" customWidth="1"/>
    <col min="4894" max="4895" width="15" style="213" bestFit="1" customWidth="1"/>
    <col min="4896" max="5122" width="10.90625" style="213"/>
    <col min="5123" max="5123" width="11.453125" style="213" customWidth="1"/>
    <col min="5124" max="5124" width="15" style="213" bestFit="1" customWidth="1"/>
    <col min="5125" max="5125" width="12.36328125" style="213" bestFit="1" customWidth="1"/>
    <col min="5126" max="5127" width="15" style="213" bestFit="1" customWidth="1"/>
    <col min="5128" max="5130" width="10.90625" style="213"/>
    <col min="5131" max="5131" width="11.453125" style="213" customWidth="1"/>
    <col min="5132" max="5132" width="15" style="213" bestFit="1" customWidth="1"/>
    <col min="5133" max="5133" width="12.36328125" style="213" bestFit="1" customWidth="1"/>
    <col min="5134" max="5135" width="15" style="213" bestFit="1" customWidth="1"/>
    <col min="5136" max="5138" width="10.90625" style="213"/>
    <col min="5139" max="5139" width="11.453125" style="213" customWidth="1"/>
    <col min="5140" max="5140" width="15" style="213" bestFit="1" customWidth="1"/>
    <col min="5141" max="5141" width="12.36328125" style="213" bestFit="1" customWidth="1"/>
    <col min="5142" max="5143" width="15" style="213" bestFit="1" customWidth="1"/>
    <col min="5144" max="5146" width="10.90625" style="213"/>
    <col min="5147" max="5147" width="11.453125" style="213" customWidth="1"/>
    <col min="5148" max="5148" width="15" style="213" bestFit="1" customWidth="1"/>
    <col min="5149" max="5149" width="12.36328125" style="213" bestFit="1" customWidth="1"/>
    <col min="5150" max="5151" width="15" style="213" bestFit="1" customWidth="1"/>
    <col min="5152" max="5378" width="10.90625" style="213"/>
    <col min="5379" max="5379" width="11.453125" style="213" customWidth="1"/>
    <col min="5380" max="5380" width="15" style="213" bestFit="1" customWidth="1"/>
    <col min="5381" max="5381" width="12.36328125" style="213" bestFit="1" customWidth="1"/>
    <col min="5382" max="5383" width="15" style="213" bestFit="1" customWidth="1"/>
    <col min="5384" max="5386" width="10.90625" style="213"/>
    <col min="5387" max="5387" width="11.453125" style="213" customWidth="1"/>
    <col min="5388" max="5388" width="15" style="213" bestFit="1" customWidth="1"/>
    <col min="5389" max="5389" width="12.36328125" style="213" bestFit="1" customWidth="1"/>
    <col min="5390" max="5391" width="15" style="213" bestFit="1" customWidth="1"/>
    <col min="5392" max="5394" width="10.90625" style="213"/>
    <col min="5395" max="5395" width="11.453125" style="213" customWidth="1"/>
    <col min="5396" max="5396" width="15" style="213" bestFit="1" customWidth="1"/>
    <col min="5397" max="5397" width="12.36328125" style="213" bestFit="1" customWidth="1"/>
    <col min="5398" max="5399" width="15" style="213" bestFit="1" customWidth="1"/>
    <col min="5400" max="5402" width="10.90625" style="213"/>
    <col min="5403" max="5403" width="11.453125" style="213" customWidth="1"/>
    <col min="5404" max="5404" width="15" style="213" bestFit="1" customWidth="1"/>
    <col min="5405" max="5405" width="12.36328125" style="213" bestFit="1" customWidth="1"/>
    <col min="5406" max="5407" width="15" style="213" bestFit="1" customWidth="1"/>
    <col min="5408" max="5634" width="10.90625" style="213"/>
    <col min="5635" max="5635" width="11.453125" style="213" customWidth="1"/>
    <col min="5636" max="5636" width="15" style="213" bestFit="1" customWidth="1"/>
    <col min="5637" max="5637" width="12.36328125" style="213" bestFit="1" customWidth="1"/>
    <col min="5638" max="5639" width="15" style="213" bestFit="1" customWidth="1"/>
    <col min="5640" max="5642" width="10.90625" style="213"/>
    <col min="5643" max="5643" width="11.453125" style="213" customWidth="1"/>
    <col min="5644" max="5644" width="15" style="213" bestFit="1" customWidth="1"/>
    <col min="5645" max="5645" width="12.36328125" style="213" bestFit="1" customWidth="1"/>
    <col min="5646" max="5647" width="15" style="213" bestFit="1" customWidth="1"/>
    <col min="5648" max="5650" width="10.90625" style="213"/>
    <col min="5651" max="5651" width="11.453125" style="213" customWidth="1"/>
    <col min="5652" max="5652" width="15" style="213" bestFit="1" customWidth="1"/>
    <col min="5653" max="5653" width="12.36328125" style="213" bestFit="1" customWidth="1"/>
    <col min="5654" max="5655" width="15" style="213" bestFit="1" customWidth="1"/>
    <col min="5656" max="5658" width="10.90625" style="213"/>
    <col min="5659" max="5659" width="11.453125" style="213" customWidth="1"/>
    <col min="5660" max="5660" width="15" style="213" bestFit="1" customWidth="1"/>
    <col min="5661" max="5661" width="12.36328125" style="213" bestFit="1" customWidth="1"/>
    <col min="5662" max="5663" width="15" style="213" bestFit="1" customWidth="1"/>
    <col min="5664" max="5890" width="10.90625" style="213"/>
    <col min="5891" max="5891" width="11.453125" style="213" customWidth="1"/>
    <col min="5892" max="5892" width="15" style="213" bestFit="1" customWidth="1"/>
    <col min="5893" max="5893" width="12.36328125" style="213" bestFit="1" customWidth="1"/>
    <col min="5894" max="5895" width="15" style="213" bestFit="1" customWidth="1"/>
    <col min="5896" max="5898" width="10.90625" style="213"/>
    <col min="5899" max="5899" width="11.453125" style="213" customWidth="1"/>
    <col min="5900" max="5900" width="15" style="213" bestFit="1" customWidth="1"/>
    <col min="5901" max="5901" width="12.36328125" style="213" bestFit="1" customWidth="1"/>
    <col min="5902" max="5903" width="15" style="213" bestFit="1" customWidth="1"/>
    <col min="5904" max="5906" width="10.90625" style="213"/>
    <col min="5907" max="5907" width="11.453125" style="213" customWidth="1"/>
    <col min="5908" max="5908" width="15" style="213" bestFit="1" customWidth="1"/>
    <col min="5909" max="5909" width="12.36328125" style="213" bestFit="1" customWidth="1"/>
    <col min="5910" max="5911" width="15" style="213" bestFit="1" customWidth="1"/>
    <col min="5912" max="5914" width="10.90625" style="213"/>
    <col min="5915" max="5915" width="11.453125" style="213" customWidth="1"/>
    <col min="5916" max="5916" width="15" style="213" bestFit="1" customWidth="1"/>
    <col min="5917" max="5917" width="12.36328125" style="213" bestFit="1" customWidth="1"/>
    <col min="5918" max="5919" width="15" style="213" bestFit="1" customWidth="1"/>
    <col min="5920" max="6146" width="10.90625" style="213"/>
    <col min="6147" max="6147" width="11.453125" style="213" customWidth="1"/>
    <col min="6148" max="6148" width="15" style="213" bestFit="1" customWidth="1"/>
    <col min="6149" max="6149" width="12.36328125" style="213" bestFit="1" customWidth="1"/>
    <col min="6150" max="6151" width="15" style="213" bestFit="1" customWidth="1"/>
    <col min="6152" max="6154" width="10.90625" style="213"/>
    <col min="6155" max="6155" width="11.453125" style="213" customWidth="1"/>
    <col min="6156" max="6156" width="15" style="213" bestFit="1" customWidth="1"/>
    <col min="6157" max="6157" width="12.36328125" style="213" bestFit="1" customWidth="1"/>
    <col min="6158" max="6159" width="15" style="213" bestFit="1" customWidth="1"/>
    <col min="6160" max="6162" width="10.90625" style="213"/>
    <col min="6163" max="6163" width="11.453125" style="213" customWidth="1"/>
    <col min="6164" max="6164" width="15" style="213" bestFit="1" customWidth="1"/>
    <col min="6165" max="6165" width="12.36328125" style="213" bestFit="1" customWidth="1"/>
    <col min="6166" max="6167" width="15" style="213" bestFit="1" customWidth="1"/>
    <col min="6168" max="6170" width="10.90625" style="213"/>
    <col min="6171" max="6171" width="11.453125" style="213" customWidth="1"/>
    <col min="6172" max="6172" width="15" style="213" bestFit="1" customWidth="1"/>
    <col min="6173" max="6173" width="12.36328125" style="213" bestFit="1" customWidth="1"/>
    <col min="6174" max="6175" width="15" style="213" bestFit="1" customWidth="1"/>
    <col min="6176" max="6402" width="10.90625" style="213"/>
    <col min="6403" max="6403" width="11.453125" style="213" customWidth="1"/>
    <col min="6404" max="6404" width="15" style="213" bestFit="1" customWidth="1"/>
    <col min="6405" max="6405" width="12.36328125" style="213" bestFit="1" customWidth="1"/>
    <col min="6406" max="6407" width="15" style="213" bestFit="1" customWidth="1"/>
    <col min="6408" max="6410" width="10.90625" style="213"/>
    <col min="6411" max="6411" width="11.453125" style="213" customWidth="1"/>
    <col min="6412" max="6412" width="15" style="213" bestFit="1" customWidth="1"/>
    <col min="6413" max="6413" width="12.36328125" style="213" bestFit="1" customWidth="1"/>
    <col min="6414" max="6415" width="15" style="213" bestFit="1" customWidth="1"/>
    <col min="6416" max="6418" width="10.90625" style="213"/>
    <col min="6419" max="6419" width="11.453125" style="213" customWidth="1"/>
    <col min="6420" max="6420" width="15" style="213" bestFit="1" customWidth="1"/>
    <col min="6421" max="6421" width="12.36328125" style="213" bestFit="1" customWidth="1"/>
    <col min="6422" max="6423" width="15" style="213" bestFit="1" customWidth="1"/>
    <col min="6424" max="6426" width="10.90625" style="213"/>
    <col min="6427" max="6427" width="11.453125" style="213" customWidth="1"/>
    <col min="6428" max="6428" width="15" style="213" bestFit="1" customWidth="1"/>
    <col min="6429" max="6429" width="12.36328125" style="213" bestFit="1" customWidth="1"/>
    <col min="6430" max="6431" width="15" style="213" bestFit="1" customWidth="1"/>
    <col min="6432" max="6658" width="10.90625" style="213"/>
    <col min="6659" max="6659" width="11.453125" style="213" customWidth="1"/>
    <col min="6660" max="6660" width="15" style="213" bestFit="1" customWidth="1"/>
    <col min="6661" max="6661" width="12.36328125" style="213" bestFit="1" customWidth="1"/>
    <col min="6662" max="6663" width="15" style="213" bestFit="1" customWidth="1"/>
    <col min="6664" max="6666" width="10.90625" style="213"/>
    <col min="6667" max="6667" width="11.453125" style="213" customWidth="1"/>
    <col min="6668" max="6668" width="15" style="213" bestFit="1" customWidth="1"/>
    <col min="6669" max="6669" width="12.36328125" style="213" bestFit="1" customWidth="1"/>
    <col min="6670" max="6671" width="15" style="213" bestFit="1" customWidth="1"/>
    <col min="6672" max="6674" width="10.90625" style="213"/>
    <col min="6675" max="6675" width="11.453125" style="213" customWidth="1"/>
    <col min="6676" max="6676" width="15" style="213" bestFit="1" customWidth="1"/>
    <col min="6677" max="6677" width="12.36328125" style="213" bestFit="1" customWidth="1"/>
    <col min="6678" max="6679" width="15" style="213" bestFit="1" customWidth="1"/>
    <col min="6680" max="6682" width="10.90625" style="213"/>
    <col min="6683" max="6683" width="11.453125" style="213" customWidth="1"/>
    <col min="6684" max="6684" width="15" style="213" bestFit="1" customWidth="1"/>
    <col min="6685" max="6685" width="12.36328125" style="213" bestFit="1" customWidth="1"/>
    <col min="6686" max="6687" width="15" style="213" bestFit="1" customWidth="1"/>
    <col min="6688" max="6914" width="10.90625" style="213"/>
    <col min="6915" max="6915" width="11.453125" style="213" customWidth="1"/>
    <col min="6916" max="6916" width="15" style="213" bestFit="1" customWidth="1"/>
    <col min="6917" max="6917" width="12.36328125" style="213" bestFit="1" customWidth="1"/>
    <col min="6918" max="6919" width="15" style="213" bestFit="1" customWidth="1"/>
    <col min="6920" max="6922" width="10.90625" style="213"/>
    <col min="6923" max="6923" width="11.453125" style="213" customWidth="1"/>
    <col min="6924" max="6924" width="15" style="213" bestFit="1" customWidth="1"/>
    <col min="6925" max="6925" width="12.36328125" style="213" bestFit="1" customWidth="1"/>
    <col min="6926" max="6927" width="15" style="213" bestFit="1" customWidth="1"/>
    <col min="6928" max="6930" width="10.90625" style="213"/>
    <col min="6931" max="6931" width="11.453125" style="213" customWidth="1"/>
    <col min="6932" max="6932" width="15" style="213" bestFit="1" customWidth="1"/>
    <col min="6933" max="6933" width="12.36328125" style="213" bestFit="1" customWidth="1"/>
    <col min="6934" max="6935" width="15" style="213" bestFit="1" customWidth="1"/>
    <col min="6936" max="6938" width="10.90625" style="213"/>
    <col min="6939" max="6939" width="11.453125" style="213" customWidth="1"/>
    <col min="6940" max="6940" width="15" style="213" bestFit="1" customWidth="1"/>
    <col min="6941" max="6941" width="12.36328125" style="213" bestFit="1" customWidth="1"/>
    <col min="6942" max="6943" width="15" style="213" bestFit="1" customWidth="1"/>
    <col min="6944" max="7170" width="10.90625" style="213"/>
    <col min="7171" max="7171" width="11.453125" style="213" customWidth="1"/>
    <col min="7172" max="7172" width="15" style="213" bestFit="1" customWidth="1"/>
    <col min="7173" max="7173" width="12.36328125" style="213" bestFit="1" customWidth="1"/>
    <col min="7174" max="7175" width="15" style="213" bestFit="1" customWidth="1"/>
    <col min="7176" max="7178" width="10.90625" style="213"/>
    <col min="7179" max="7179" width="11.453125" style="213" customWidth="1"/>
    <col min="7180" max="7180" width="15" style="213" bestFit="1" customWidth="1"/>
    <col min="7181" max="7181" width="12.36328125" style="213" bestFit="1" customWidth="1"/>
    <col min="7182" max="7183" width="15" style="213" bestFit="1" customWidth="1"/>
    <col min="7184" max="7186" width="10.90625" style="213"/>
    <col min="7187" max="7187" width="11.453125" style="213" customWidth="1"/>
    <col min="7188" max="7188" width="15" style="213" bestFit="1" customWidth="1"/>
    <col min="7189" max="7189" width="12.36328125" style="213" bestFit="1" customWidth="1"/>
    <col min="7190" max="7191" width="15" style="213" bestFit="1" customWidth="1"/>
    <col min="7192" max="7194" width="10.90625" style="213"/>
    <col min="7195" max="7195" width="11.453125" style="213" customWidth="1"/>
    <col min="7196" max="7196" width="15" style="213" bestFit="1" customWidth="1"/>
    <col min="7197" max="7197" width="12.36328125" style="213" bestFit="1" customWidth="1"/>
    <col min="7198" max="7199" width="15" style="213" bestFit="1" customWidth="1"/>
    <col min="7200" max="7426" width="10.90625" style="213"/>
    <col min="7427" max="7427" width="11.453125" style="213" customWidth="1"/>
    <col min="7428" max="7428" width="15" style="213" bestFit="1" customWidth="1"/>
    <col min="7429" max="7429" width="12.36328125" style="213" bestFit="1" customWidth="1"/>
    <col min="7430" max="7431" width="15" style="213" bestFit="1" customWidth="1"/>
    <col min="7432" max="7434" width="10.90625" style="213"/>
    <col min="7435" max="7435" width="11.453125" style="213" customWidth="1"/>
    <col min="7436" max="7436" width="15" style="213" bestFit="1" customWidth="1"/>
    <col min="7437" max="7437" width="12.36328125" style="213" bestFit="1" customWidth="1"/>
    <col min="7438" max="7439" width="15" style="213" bestFit="1" customWidth="1"/>
    <col min="7440" max="7442" width="10.90625" style="213"/>
    <col min="7443" max="7443" width="11.453125" style="213" customWidth="1"/>
    <col min="7444" max="7444" width="15" style="213" bestFit="1" customWidth="1"/>
    <col min="7445" max="7445" width="12.36328125" style="213" bestFit="1" customWidth="1"/>
    <col min="7446" max="7447" width="15" style="213" bestFit="1" customWidth="1"/>
    <col min="7448" max="7450" width="10.90625" style="213"/>
    <col min="7451" max="7451" width="11.453125" style="213" customWidth="1"/>
    <col min="7452" max="7452" width="15" style="213" bestFit="1" customWidth="1"/>
    <col min="7453" max="7453" width="12.36328125" style="213" bestFit="1" customWidth="1"/>
    <col min="7454" max="7455" width="15" style="213" bestFit="1" customWidth="1"/>
    <col min="7456" max="7682" width="10.90625" style="213"/>
    <col min="7683" max="7683" width="11.453125" style="213" customWidth="1"/>
    <col min="7684" max="7684" width="15" style="213" bestFit="1" customWidth="1"/>
    <col min="7685" max="7685" width="12.36328125" style="213" bestFit="1" customWidth="1"/>
    <col min="7686" max="7687" width="15" style="213" bestFit="1" customWidth="1"/>
    <col min="7688" max="7690" width="10.90625" style="213"/>
    <col min="7691" max="7691" width="11.453125" style="213" customWidth="1"/>
    <col min="7692" max="7692" width="15" style="213" bestFit="1" customWidth="1"/>
    <col min="7693" max="7693" width="12.36328125" style="213" bestFit="1" customWidth="1"/>
    <col min="7694" max="7695" width="15" style="213" bestFit="1" customWidth="1"/>
    <col min="7696" max="7698" width="10.90625" style="213"/>
    <col min="7699" max="7699" width="11.453125" style="213" customWidth="1"/>
    <col min="7700" max="7700" width="15" style="213" bestFit="1" customWidth="1"/>
    <col min="7701" max="7701" width="12.36328125" style="213" bestFit="1" customWidth="1"/>
    <col min="7702" max="7703" width="15" style="213" bestFit="1" customWidth="1"/>
    <col min="7704" max="7706" width="10.90625" style="213"/>
    <col min="7707" max="7707" width="11.453125" style="213" customWidth="1"/>
    <col min="7708" max="7708" width="15" style="213" bestFit="1" customWidth="1"/>
    <col min="7709" max="7709" width="12.36328125" style="213" bestFit="1" customWidth="1"/>
    <col min="7710" max="7711" width="15" style="213" bestFit="1" customWidth="1"/>
    <col min="7712" max="7938" width="10.90625" style="213"/>
    <col min="7939" max="7939" width="11.453125" style="213" customWidth="1"/>
    <col min="7940" max="7940" width="15" style="213" bestFit="1" customWidth="1"/>
    <col min="7941" max="7941" width="12.36328125" style="213" bestFit="1" customWidth="1"/>
    <col min="7942" max="7943" width="15" style="213" bestFit="1" customWidth="1"/>
    <col min="7944" max="7946" width="10.90625" style="213"/>
    <col min="7947" max="7947" width="11.453125" style="213" customWidth="1"/>
    <col min="7948" max="7948" width="15" style="213" bestFit="1" customWidth="1"/>
    <col min="7949" max="7949" width="12.36328125" style="213" bestFit="1" customWidth="1"/>
    <col min="7950" max="7951" width="15" style="213" bestFit="1" customWidth="1"/>
    <col min="7952" max="7954" width="10.90625" style="213"/>
    <col min="7955" max="7955" width="11.453125" style="213" customWidth="1"/>
    <col min="7956" max="7956" width="15" style="213" bestFit="1" customWidth="1"/>
    <col min="7957" max="7957" width="12.36328125" style="213" bestFit="1" customWidth="1"/>
    <col min="7958" max="7959" width="15" style="213" bestFit="1" customWidth="1"/>
    <col min="7960" max="7962" width="10.90625" style="213"/>
    <col min="7963" max="7963" width="11.453125" style="213" customWidth="1"/>
    <col min="7964" max="7964" width="15" style="213" bestFit="1" customWidth="1"/>
    <col min="7965" max="7965" width="12.36328125" style="213" bestFit="1" customWidth="1"/>
    <col min="7966" max="7967" width="15" style="213" bestFit="1" customWidth="1"/>
    <col min="7968" max="8194" width="10.90625" style="213"/>
    <col min="8195" max="8195" width="11.453125" style="213" customWidth="1"/>
    <col min="8196" max="8196" width="15" style="213" bestFit="1" customWidth="1"/>
    <col min="8197" max="8197" width="12.36328125" style="213" bestFit="1" customWidth="1"/>
    <col min="8198" max="8199" width="15" style="213" bestFit="1" customWidth="1"/>
    <col min="8200" max="8202" width="10.90625" style="213"/>
    <col min="8203" max="8203" width="11.453125" style="213" customWidth="1"/>
    <col min="8204" max="8204" width="15" style="213" bestFit="1" customWidth="1"/>
    <col min="8205" max="8205" width="12.36328125" style="213" bestFit="1" customWidth="1"/>
    <col min="8206" max="8207" width="15" style="213" bestFit="1" customWidth="1"/>
    <col min="8208" max="8210" width="10.90625" style="213"/>
    <col min="8211" max="8211" width="11.453125" style="213" customWidth="1"/>
    <col min="8212" max="8212" width="15" style="213" bestFit="1" customWidth="1"/>
    <col min="8213" max="8213" width="12.36328125" style="213" bestFit="1" customWidth="1"/>
    <col min="8214" max="8215" width="15" style="213" bestFit="1" customWidth="1"/>
    <col min="8216" max="8218" width="10.90625" style="213"/>
    <col min="8219" max="8219" width="11.453125" style="213" customWidth="1"/>
    <col min="8220" max="8220" width="15" style="213" bestFit="1" customWidth="1"/>
    <col min="8221" max="8221" width="12.36328125" style="213" bestFit="1" customWidth="1"/>
    <col min="8222" max="8223" width="15" style="213" bestFit="1" customWidth="1"/>
    <col min="8224" max="8450" width="10.90625" style="213"/>
    <col min="8451" max="8451" width="11.453125" style="213" customWidth="1"/>
    <col min="8452" max="8452" width="15" style="213" bestFit="1" customWidth="1"/>
    <col min="8453" max="8453" width="12.36328125" style="213" bestFit="1" customWidth="1"/>
    <col min="8454" max="8455" width="15" style="213" bestFit="1" customWidth="1"/>
    <col min="8456" max="8458" width="10.90625" style="213"/>
    <col min="8459" max="8459" width="11.453125" style="213" customWidth="1"/>
    <col min="8460" max="8460" width="15" style="213" bestFit="1" customWidth="1"/>
    <col min="8461" max="8461" width="12.36328125" style="213" bestFit="1" customWidth="1"/>
    <col min="8462" max="8463" width="15" style="213" bestFit="1" customWidth="1"/>
    <col min="8464" max="8466" width="10.90625" style="213"/>
    <col min="8467" max="8467" width="11.453125" style="213" customWidth="1"/>
    <col min="8468" max="8468" width="15" style="213" bestFit="1" customWidth="1"/>
    <col min="8469" max="8469" width="12.36328125" style="213" bestFit="1" customWidth="1"/>
    <col min="8470" max="8471" width="15" style="213" bestFit="1" customWidth="1"/>
    <col min="8472" max="8474" width="10.90625" style="213"/>
    <col min="8475" max="8475" width="11.453125" style="213" customWidth="1"/>
    <col min="8476" max="8476" width="15" style="213" bestFit="1" customWidth="1"/>
    <col min="8477" max="8477" width="12.36328125" style="213" bestFit="1" customWidth="1"/>
    <col min="8478" max="8479" width="15" style="213" bestFit="1" customWidth="1"/>
    <col min="8480" max="8706" width="10.90625" style="213"/>
    <col min="8707" max="8707" width="11.453125" style="213" customWidth="1"/>
    <col min="8708" max="8708" width="15" style="213" bestFit="1" customWidth="1"/>
    <col min="8709" max="8709" width="12.36328125" style="213" bestFit="1" customWidth="1"/>
    <col min="8710" max="8711" width="15" style="213" bestFit="1" customWidth="1"/>
    <col min="8712" max="8714" width="10.90625" style="213"/>
    <col min="8715" max="8715" width="11.453125" style="213" customWidth="1"/>
    <col min="8716" max="8716" width="15" style="213" bestFit="1" customWidth="1"/>
    <col min="8717" max="8717" width="12.36328125" style="213" bestFit="1" customWidth="1"/>
    <col min="8718" max="8719" width="15" style="213" bestFit="1" customWidth="1"/>
    <col min="8720" max="8722" width="10.90625" style="213"/>
    <col min="8723" max="8723" width="11.453125" style="213" customWidth="1"/>
    <col min="8724" max="8724" width="15" style="213" bestFit="1" customWidth="1"/>
    <col min="8725" max="8725" width="12.36328125" style="213" bestFit="1" customWidth="1"/>
    <col min="8726" max="8727" width="15" style="213" bestFit="1" customWidth="1"/>
    <col min="8728" max="8730" width="10.90625" style="213"/>
    <col min="8731" max="8731" width="11.453125" style="213" customWidth="1"/>
    <col min="8732" max="8732" width="15" style="213" bestFit="1" customWidth="1"/>
    <col min="8733" max="8733" width="12.36328125" style="213" bestFit="1" customWidth="1"/>
    <col min="8734" max="8735" width="15" style="213" bestFit="1" customWidth="1"/>
    <col min="8736" max="8962" width="10.90625" style="213"/>
    <col min="8963" max="8963" width="11.453125" style="213" customWidth="1"/>
    <col min="8964" max="8964" width="15" style="213" bestFit="1" customWidth="1"/>
    <col min="8965" max="8965" width="12.36328125" style="213" bestFit="1" customWidth="1"/>
    <col min="8966" max="8967" width="15" style="213" bestFit="1" customWidth="1"/>
    <col min="8968" max="8970" width="10.90625" style="213"/>
    <col min="8971" max="8971" width="11.453125" style="213" customWidth="1"/>
    <col min="8972" max="8972" width="15" style="213" bestFit="1" customWidth="1"/>
    <col min="8973" max="8973" width="12.36328125" style="213" bestFit="1" customWidth="1"/>
    <col min="8974" max="8975" width="15" style="213" bestFit="1" customWidth="1"/>
    <col min="8976" max="8978" width="10.90625" style="213"/>
    <col min="8979" max="8979" width="11.453125" style="213" customWidth="1"/>
    <col min="8980" max="8980" width="15" style="213" bestFit="1" customWidth="1"/>
    <col min="8981" max="8981" width="12.36328125" style="213" bestFit="1" customWidth="1"/>
    <col min="8982" max="8983" width="15" style="213" bestFit="1" customWidth="1"/>
    <col min="8984" max="8986" width="10.90625" style="213"/>
    <col min="8987" max="8987" width="11.453125" style="213" customWidth="1"/>
    <col min="8988" max="8988" width="15" style="213" bestFit="1" customWidth="1"/>
    <col min="8989" max="8989" width="12.36328125" style="213" bestFit="1" customWidth="1"/>
    <col min="8990" max="8991" width="15" style="213" bestFit="1" customWidth="1"/>
    <col min="8992" max="9218" width="10.90625" style="213"/>
    <col min="9219" max="9219" width="11.453125" style="213" customWidth="1"/>
    <col min="9220" max="9220" width="15" style="213" bestFit="1" customWidth="1"/>
    <col min="9221" max="9221" width="12.36328125" style="213" bestFit="1" customWidth="1"/>
    <col min="9222" max="9223" width="15" style="213" bestFit="1" customWidth="1"/>
    <col min="9224" max="9226" width="10.90625" style="213"/>
    <col min="9227" max="9227" width="11.453125" style="213" customWidth="1"/>
    <col min="9228" max="9228" width="15" style="213" bestFit="1" customWidth="1"/>
    <col min="9229" max="9229" width="12.36328125" style="213" bestFit="1" customWidth="1"/>
    <col min="9230" max="9231" width="15" style="213" bestFit="1" customWidth="1"/>
    <col min="9232" max="9234" width="10.90625" style="213"/>
    <col min="9235" max="9235" width="11.453125" style="213" customWidth="1"/>
    <col min="9236" max="9236" width="15" style="213" bestFit="1" customWidth="1"/>
    <col min="9237" max="9237" width="12.36328125" style="213" bestFit="1" customWidth="1"/>
    <col min="9238" max="9239" width="15" style="213" bestFit="1" customWidth="1"/>
    <col min="9240" max="9242" width="10.90625" style="213"/>
    <col min="9243" max="9243" width="11.453125" style="213" customWidth="1"/>
    <col min="9244" max="9244" width="15" style="213" bestFit="1" customWidth="1"/>
    <col min="9245" max="9245" width="12.36328125" style="213" bestFit="1" customWidth="1"/>
    <col min="9246" max="9247" width="15" style="213" bestFit="1" customWidth="1"/>
    <col min="9248" max="9474" width="10.90625" style="213"/>
    <col min="9475" max="9475" width="11.453125" style="213" customWidth="1"/>
    <col min="9476" max="9476" width="15" style="213" bestFit="1" customWidth="1"/>
    <col min="9477" max="9477" width="12.36328125" style="213" bestFit="1" customWidth="1"/>
    <col min="9478" max="9479" width="15" style="213" bestFit="1" customWidth="1"/>
    <col min="9480" max="9482" width="10.90625" style="213"/>
    <col min="9483" max="9483" width="11.453125" style="213" customWidth="1"/>
    <col min="9484" max="9484" width="15" style="213" bestFit="1" customWidth="1"/>
    <col min="9485" max="9485" width="12.36328125" style="213" bestFit="1" customWidth="1"/>
    <col min="9486" max="9487" width="15" style="213" bestFit="1" customWidth="1"/>
    <col min="9488" max="9490" width="10.90625" style="213"/>
    <col min="9491" max="9491" width="11.453125" style="213" customWidth="1"/>
    <col min="9492" max="9492" width="15" style="213" bestFit="1" customWidth="1"/>
    <col min="9493" max="9493" width="12.36328125" style="213" bestFit="1" customWidth="1"/>
    <col min="9494" max="9495" width="15" style="213" bestFit="1" customWidth="1"/>
    <col min="9496" max="9498" width="10.90625" style="213"/>
    <col min="9499" max="9499" width="11.453125" style="213" customWidth="1"/>
    <col min="9500" max="9500" width="15" style="213" bestFit="1" customWidth="1"/>
    <col min="9501" max="9501" width="12.36328125" style="213" bestFit="1" customWidth="1"/>
    <col min="9502" max="9503" width="15" style="213" bestFit="1" customWidth="1"/>
    <col min="9504" max="9730" width="10.90625" style="213"/>
    <col min="9731" max="9731" width="11.453125" style="213" customWidth="1"/>
    <col min="9732" max="9732" width="15" style="213" bestFit="1" customWidth="1"/>
    <col min="9733" max="9733" width="12.36328125" style="213" bestFit="1" customWidth="1"/>
    <col min="9734" max="9735" width="15" style="213" bestFit="1" customWidth="1"/>
    <col min="9736" max="9738" width="10.90625" style="213"/>
    <col min="9739" max="9739" width="11.453125" style="213" customWidth="1"/>
    <col min="9740" max="9740" width="15" style="213" bestFit="1" customWidth="1"/>
    <col min="9741" max="9741" width="12.36328125" style="213" bestFit="1" customWidth="1"/>
    <col min="9742" max="9743" width="15" style="213" bestFit="1" customWidth="1"/>
    <col min="9744" max="9746" width="10.90625" style="213"/>
    <col min="9747" max="9747" width="11.453125" style="213" customWidth="1"/>
    <col min="9748" max="9748" width="15" style="213" bestFit="1" customWidth="1"/>
    <col min="9749" max="9749" width="12.36328125" style="213" bestFit="1" customWidth="1"/>
    <col min="9750" max="9751" width="15" style="213" bestFit="1" customWidth="1"/>
    <col min="9752" max="9754" width="10.90625" style="213"/>
    <col min="9755" max="9755" width="11.453125" style="213" customWidth="1"/>
    <col min="9756" max="9756" width="15" style="213" bestFit="1" customWidth="1"/>
    <col min="9757" max="9757" width="12.36328125" style="213" bestFit="1" customWidth="1"/>
    <col min="9758" max="9759" width="15" style="213" bestFit="1" customWidth="1"/>
    <col min="9760" max="9986" width="10.90625" style="213"/>
    <col min="9987" max="9987" width="11.453125" style="213" customWidth="1"/>
    <col min="9988" max="9988" width="15" style="213" bestFit="1" customWidth="1"/>
    <col min="9989" max="9989" width="12.36328125" style="213" bestFit="1" customWidth="1"/>
    <col min="9990" max="9991" width="15" style="213" bestFit="1" customWidth="1"/>
    <col min="9992" max="9994" width="10.90625" style="213"/>
    <col min="9995" max="9995" width="11.453125" style="213" customWidth="1"/>
    <col min="9996" max="9996" width="15" style="213" bestFit="1" customWidth="1"/>
    <col min="9997" max="9997" width="12.36328125" style="213" bestFit="1" customWidth="1"/>
    <col min="9998" max="9999" width="15" style="213" bestFit="1" customWidth="1"/>
    <col min="10000" max="10002" width="10.90625" style="213"/>
    <col min="10003" max="10003" width="11.453125" style="213" customWidth="1"/>
    <col min="10004" max="10004" width="15" style="213" bestFit="1" customWidth="1"/>
    <col min="10005" max="10005" width="12.36328125" style="213" bestFit="1" customWidth="1"/>
    <col min="10006" max="10007" width="15" style="213" bestFit="1" customWidth="1"/>
    <col min="10008" max="10010" width="10.90625" style="213"/>
    <col min="10011" max="10011" width="11.453125" style="213" customWidth="1"/>
    <col min="10012" max="10012" width="15" style="213" bestFit="1" customWidth="1"/>
    <col min="10013" max="10013" width="12.36328125" style="213" bestFit="1" customWidth="1"/>
    <col min="10014" max="10015" width="15" style="213" bestFit="1" customWidth="1"/>
    <col min="10016" max="10242" width="10.90625" style="213"/>
    <col min="10243" max="10243" width="11.453125" style="213" customWidth="1"/>
    <col min="10244" max="10244" width="15" style="213" bestFit="1" customWidth="1"/>
    <col min="10245" max="10245" width="12.36328125" style="213" bestFit="1" customWidth="1"/>
    <col min="10246" max="10247" width="15" style="213" bestFit="1" customWidth="1"/>
    <col min="10248" max="10250" width="10.90625" style="213"/>
    <col min="10251" max="10251" width="11.453125" style="213" customWidth="1"/>
    <col min="10252" max="10252" width="15" style="213" bestFit="1" customWidth="1"/>
    <col min="10253" max="10253" width="12.36328125" style="213" bestFit="1" customWidth="1"/>
    <col min="10254" max="10255" width="15" style="213" bestFit="1" customWidth="1"/>
    <col min="10256" max="10258" width="10.90625" style="213"/>
    <col min="10259" max="10259" width="11.453125" style="213" customWidth="1"/>
    <col min="10260" max="10260" width="15" style="213" bestFit="1" customWidth="1"/>
    <col min="10261" max="10261" width="12.36328125" style="213" bestFit="1" customWidth="1"/>
    <col min="10262" max="10263" width="15" style="213" bestFit="1" customWidth="1"/>
    <col min="10264" max="10266" width="10.90625" style="213"/>
    <col min="10267" max="10267" width="11.453125" style="213" customWidth="1"/>
    <col min="10268" max="10268" width="15" style="213" bestFit="1" customWidth="1"/>
    <col min="10269" max="10269" width="12.36328125" style="213" bestFit="1" customWidth="1"/>
    <col min="10270" max="10271" width="15" style="213" bestFit="1" customWidth="1"/>
    <col min="10272" max="10498" width="10.90625" style="213"/>
    <col min="10499" max="10499" width="11.453125" style="213" customWidth="1"/>
    <col min="10500" max="10500" width="15" style="213" bestFit="1" customWidth="1"/>
    <col min="10501" max="10501" width="12.36328125" style="213" bestFit="1" customWidth="1"/>
    <col min="10502" max="10503" width="15" style="213" bestFit="1" customWidth="1"/>
    <col min="10504" max="10506" width="10.90625" style="213"/>
    <col min="10507" max="10507" width="11.453125" style="213" customWidth="1"/>
    <col min="10508" max="10508" width="15" style="213" bestFit="1" customWidth="1"/>
    <col min="10509" max="10509" width="12.36328125" style="213" bestFit="1" customWidth="1"/>
    <col min="10510" max="10511" width="15" style="213" bestFit="1" customWidth="1"/>
    <col min="10512" max="10514" width="10.90625" style="213"/>
    <col min="10515" max="10515" width="11.453125" style="213" customWidth="1"/>
    <col min="10516" max="10516" width="15" style="213" bestFit="1" customWidth="1"/>
    <col min="10517" max="10517" width="12.36328125" style="213" bestFit="1" customWidth="1"/>
    <col min="10518" max="10519" width="15" style="213" bestFit="1" customWidth="1"/>
    <col min="10520" max="10522" width="10.90625" style="213"/>
    <col min="10523" max="10523" width="11.453125" style="213" customWidth="1"/>
    <col min="10524" max="10524" width="15" style="213" bestFit="1" customWidth="1"/>
    <col min="10525" max="10525" width="12.36328125" style="213" bestFit="1" customWidth="1"/>
    <col min="10526" max="10527" width="15" style="213" bestFit="1" customWidth="1"/>
    <col min="10528" max="10754" width="10.90625" style="213"/>
    <col min="10755" max="10755" width="11.453125" style="213" customWidth="1"/>
    <col min="10756" max="10756" width="15" style="213" bestFit="1" customWidth="1"/>
    <col min="10757" max="10757" width="12.36328125" style="213" bestFit="1" customWidth="1"/>
    <col min="10758" max="10759" width="15" style="213" bestFit="1" customWidth="1"/>
    <col min="10760" max="10762" width="10.90625" style="213"/>
    <col min="10763" max="10763" width="11.453125" style="213" customWidth="1"/>
    <col min="10764" max="10764" width="15" style="213" bestFit="1" customWidth="1"/>
    <col min="10765" max="10765" width="12.36328125" style="213" bestFit="1" customWidth="1"/>
    <col min="10766" max="10767" width="15" style="213" bestFit="1" customWidth="1"/>
    <col min="10768" max="10770" width="10.90625" style="213"/>
    <col min="10771" max="10771" width="11.453125" style="213" customWidth="1"/>
    <col min="10772" max="10772" width="15" style="213" bestFit="1" customWidth="1"/>
    <col min="10773" max="10773" width="12.36328125" style="213" bestFit="1" customWidth="1"/>
    <col min="10774" max="10775" width="15" style="213" bestFit="1" customWidth="1"/>
    <col min="10776" max="10778" width="10.90625" style="213"/>
    <col min="10779" max="10779" width="11.453125" style="213" customWidth="1"/>
    <col min="10780" max="10780" width="15" style="213" bestFit="1" customWidth="1"/>
    <col min="10781" max="10781" width="12.36328125" style="213" bestFit="1" customWidth="1"/>
    <col min="10782" max="10783" width="15" style="213" bestFit="1" customWidth="1"/>
    <col min="10784" max="11010" width="10.90625" style="213"/>
    <col min="11011" max="11011" width="11.453125" style="213" customWidth="1"/>
    <col min="11012" max="11012" width="15" style="213" bestFit="1" customWidth="1"/>
    <col min="11013" max="11013" width="12.36328125" style="213" bestFit="1" customWidth="1"/>
    <col min="11014" max="11015" width="15" style="213" bestFit="1" customWidth="1"/>
    <col min="11016" max="11018" width="10.90625" style="213"/>
    <col min="11019" max="11019" width="11.453125" style="213" customWidth="1"/>
    <col min="11020" max="11020" width="15" style="213" bestFit="1" customWidth="1"/>
    <col min="11021" max="11021" width="12.36328125" style="213" bestFit="1" customWidth="1"/>
    <col min="11022" max="11023" width="15" style="213" bestFit="1" customWidth="1"/>
    <col min="11024" max="11026" width="10.90625" style="213"/>
    <col min="11027" max="11027" width="11.453125" style="213" customWidth="1"/>
    <col min="11028" max="11028" width="15" style="213" bestFit="1" customWidth="1"/>
    <col min="11029" max="11029" width="12.36328125" style="213" bestFit="1" customWidth="1"/>
    <col min="11030" max="11031" width="15" style="213" bestFit="1" customWidth="1"/>
    <col min="11032" max="11034" width="10.90625" style="213"/>
    <col min="11035" max="11035" width="11.453125" style="213" customWidth="1"/>
    <col min="11036" max="11036" width="15" style="213" bestFit="1" customWidth="1"/>
    <col min="11037" max="11037" width="12.36328125" style="213" bestFit="1" customWidth="1"/>
    <col min="11038" max="11039" width="15" style="213" bestFit="1" customWidth="1"/>
    <col min="11040" max="11266" width="10.90625" style="213"/>
    <col min="11267" max="11267" width="11.453125" style="213" customWidth="1"/>
    <col min="11268" max="11268" width="15" style="213" bestFit="1" customWidth="1"/>
    <col min="11269" max="11269" width="12.36328125" style="213" bestFit="1" customWidth="1"/>
    <col min="11270" max="11271" width="15" style="213" bestFit="1" customWidth="1"/>
    <col min="11272" max="11274" width="10.90625" style="213"/>
    <col min="11275" max="11275" width="11.453125" style="213" customWidth="1"/>
    <col min="11276" max="11276" width="15" style="213" bestFit="1" customWidth="1"/>
    <col min="11277" max="11277" width="12.36328125" style="213" bestFit="1" customWidth="1"/>
    <col min="11278" max="11279" width="15" style="213" bestFit="1" customWidth="1"/>
    <col min="11280" max="11282" width="10.90625" style="213"/>
    <col min="11283" max="11283" width="11.453125" style="213" customWidth="1"/>
    <col min="11284" max="11284" width="15" style="213" bestFit="1" customWidth="1"/>
    <col min="11285" max="11285" width="12.36328125" style="213" bestFit="1" customWidth="1"/>
    <col min="11286" max="11287" width="15" style="213" bestFit="1" customWidth="1"/>
    <col min="11288" max="11290" width="10.90625" style="213"/>
    <col min="11291" max="11291" width="11.453125" style="213" customWidth="1"/>
    <col min="11292" max="11292" width="15" style="213" bestFit="1" customWidth="1"/>
    <col min="11293" max="11293" width="12.36328125" style="213" bestFit="1" customWidth="1"/>
    <col min="11294" max="11295" width="15" style="213" bestFit="1" customWidth="1"/>
    <col min="11296" max="11522" width="10.90625" style="213"/>
    <col min="11523" max="11523" width="11.453125" style="213" customWidth="1"/>
    <col min="11524" max="11524" width="15" style="213" bestFit="1" customWidth="1"/>
    <col min="11525" max="11525" width="12.36328125" style="213" bestFit="1" customWidth="1"/>
    <col min="11526" max="11527" width="15" style="213" bestFit="1" customWidth="1"/>
    <col min="11528" max="11530" width="10.90625" style="213"/>
    <col min="11531" max="11531" width="11.453125" style="213" customWidth="1"/>
    <col min="11532" max="11532" width="15" style="213" bestFit="1" customWidth="1"/>
    <col min="11533" max="11533" width="12.36328125" style="213" bestFit="1" customWidth="1"/>
    <col min="11534" max="11535" width="15" style="213" bestFit="1" customWidth="1"/>
    <col min="11536" max="11538" width="10.90625" style="213"/>
    <col min="11539" max="11539" width="11.453125" style="213" customWidth="1"/>
    <col min="11540" max="11540" width="15" style="213" bestFit="1" customWidth="1"/>
    <col min="11541" max="11541" width="12.36328125" style="213" bestFit="1" customWidth="1"/>
    <col min="11542" max="11543" width="15" style="213" bestFit="1" customWidth="1"/>
    <col min="11544" max="11546" width="10.90625" style="213"/>
    <col min="11547" max="11547" width="11.453125" style="213" customWidth="1"/>
    <col min="11548" max="11548" width="15" style="213" bestFit="1" customWidth="1"/>
    <col min="11549" max="11549" width="12.36328125" style="213" bestFit="1" customWidth="1"/>
    <col min="11550" max="11551" width="15" style="213" bestFit="1" customWidth="1"/>
    <col min="11552" max="11778" width="10.90625" style="213"/>
    <col min="11779" max="11779" width="11.453125" style="213" customWidth="1"/>
    <col min="11780" max="11780" width="15" style="213" bestFit="1" customWidth="1"/>
    <col min="11781" max="11781" width="12.36328125" style="213" bestFit="1" customWidth="1"/>
    <col min="11782" max="11783" width="15" style="213" bestFit="1" customWidth="1"/>
    <col min="11784" max="11786" width="10.90625" style="213"/>
    <col min="11787" max="11787" width="11.453125" style="213" customWidth="1"/>
    <col min="11788" max="11788" width="15" style="213" bestFit="1" customWidth="1"/>
    <col min="11789" max="11789" width="12.36328125" style="213" bestFit="1" customWidth="1"/>
    <col min="11790" max="11791" width="15" style="213" bestFit="1" customWidth="1"/>
    <col min="11792" max="11794" width="10.90625" style="213"/>
    <col min="11795" max="11795" width="11.453125" style="213" customWidth="1"/>
    <col min="11796" max="11796" width="15" style="213" bestFit="1" customWidth="1"/>
    <col min="11797" max="11797" width="12.36328125" style="213" bestFit="1" customWidth="1"/>
    <col min="11798" max="11799" width="15" style="213" bestFit="1" customWidth="1"/>
    <col min="11800" max="11802" width="10.90625" style="213"/>
    <col min="11803" max="11803" width="11.453125" style="213" customWidth="1"/>
    <col min="11804" max="11804" width="15" style="213" bestFit="1" customWidth="1"/>
    <col min="11805" max="11805" width="12.36328125" style="213" bestFit="1" customWidth="1"/>
    <col min="11806" max="11807" width="15" style="213" bestFit="1" customWidth="1"/>
    <col min="11808" max="12034" width="10.90625" style="213"/>
    <col min="12035" max="12035" width="11.453125" style="213" customWidth="1"/>
    <col min="12036" max="12036" width="15" style="213" bestFit="1" customWidth="1"/>
    <col min="12037" max="12037" width="12.36328125" style="213" bestFit="1" customWidth="1"/>
    <col min="12038" max="12039" width="15" style="213" bestFit="1" customWidth="1"/>
    <col min="12040" max="12042" width="10.90625" style="213"/>
    <col min="12043" max="12043" width="11.453125" style="213" customWidth="1"/>
    <col min="12044" max="12044" width="15" style="213" bestFit="1" customWidth="1"/>
    <col min="12045" max="12045" width="12.36328125" style="213" bestFit="1" customWidth="1"/>
    <col min="12046" max="12047" width="15" style="213" bestFit="1" customWidth="1"/>
    <col min="12048" max="12050" width="10.90625" style="213"/>
    <col min="12051" max="12051" width="11.453125" style="213" customWidth="1"/>
    <col min="12052" max="12052" width="15" style="213" bestFit="1" customWidth="1"/>
    <col min="12053" max="12053" width="12.36328125" style="213" bestFit="1" customWidth="1"/>
    <col min="12054" max="12055" width="15" style="213" bestFit="1" customWidth="1"/>
    <col min="12056" max="12058" width="10.90625" style="213"/>
    <col min="12059" max="12059" width="11.453125" style="213" customWidth="1"/>
    <col min="12060" max="12060" width="15" style="213" bestFit="1" customWidth="1"/>
    <col min="12061" max="12061" width="12.36328125" style="213" bestFit="1" customWidth="1"/>
    <col min="12062" max="12063" width="15" style="213" bestFit="1" customWidth="1"/>
    <col min="12064" max="12290" width="10.90625" style="213"/>
    <col min="12291" max="12291" width="11.453125" style="213" customWidth="1"/>
    <col min="12292" max="12292" width="15" style="213" bestFit="1" customWidth="1"/>
    <col min="12293" max="12293" width="12.36328125" style="213" bestFit="1" customWidth="1"/>
    <col min="12294" max="12295" width="15" style="213" bestFit="1" customWidth="1"/>
    <col min="12296" max="12298" width="10.90625" style="213"/>
    <col min="12299" max="12299" width="11.453125" style="213" customWidth="1"/>
    <col min="12300" max="12300" width="15" style="213" bestFit="1" customWidth="1"/>
    <col min="12301" max="12301" width="12.36328125" style="213" bestFit="1" customWidth="1"/>
    <col min="12302" max="12303" width="15" style="213" bestFit="1" customWidth="1"/>
    <col min="12304" max="12306" width="10.90625" style="213"/>
    <col min="12307" max="12307" width="11.453125" style="213" customWidth="1"/>
    <col min="12308" max="12308" width="15" style="213" bestFit="1" customWidth="1"/>
    <col min="12309" max="12309" width="12.36328125" style="213" bestFit="1" customWidth="1"/>
    <col min="12310" max="12311" width="15" style="213" bestFit="1" customWidth="1"/>
    <col min="12312" max="12314" width="10.90625" style="213"/>
    <col min="12315" max="12315" width="11.453125" style="213" customWidth="1"/>
    <col min="12316" max="12316" width="15" style="213" bestFit="1" customWidth="1"/>
    <col min="12317" max="12317" width="12.36328125" style="213" bestFit="1" customWidth="1"/>
    <col min="12318" max="12319" width="15" style="213" bestFit="1" customWidth="1"/>
    <col min="12320" max="12546" width="10.90625" style="213"/>
    <col min="12547" max="12547" width="11.453125" style="213" customWidth="1"/>
    <col min="12548" max="12548" width="15" style="213" bestFit="1" customWidth="1"/>
    <col min="12549" max="12549" width="12.36328125" style="213" bestFit="1" customWidth="1"/>
    <col min="12550" max="12551" width="15" style="213" bestFit="1" customWidth="1"/>
    <col min="12552" max="12554" width="10.90625" style="213"/>
    <col min="12555" max="12555" width="11.453125" style="213" customWidth="1"/>
    <col min="12556" max="12556" width="15" style="213" bestFit="1" customWidth="1"/>
    <col min="12557" max="12557" width="12.36328125" style="213" bestFit="1" customWidth="1"/>
    <col min="12558" max="12559" width="15" style="213" bestFit="1" customWidth="1"/>
    <col min="12560" max="12562" width="10.90625" style="213"/>
    <col min="12563" max="12563" width="11.453125" style="213" customWidth="1"/>
    <col min="12564" max="12564" width="15" style="213" bestFit="1" customWidth="1"/>
    <col min="12565" max="12565" width="12.36328125" style="213" bestFit="1" customWidth="1"/>
    <col min="12566" max="12567" width="15" style="213" bestFit="1" customWidth="1"/>
    <col min="12568" max="12570" width="10.90625" style="213"/>
    <col min="12571" max="12571" width="11.453125" style="213" customWidth="1"/>
    <col min="12572" max="12572" width="15" style="213" bestFit="1" customWidth="1"/>
    <col min="12573" max="12573" width="12.36328125" style="213" bestFit="1" customWidth="1"/>
    <col min="12574" max="12575" width="15" style="213" bestFit="1" customWidth="1"/>
    <col min="12576" max="12802" width="10.90625" style="213"/>
    <col min="12803" max="12803" width="11.453125" style="213" customWidth="1"/>
    <col min="12804" max="12804" width="15" style="213" bestFit="1" customWidth="1"/>
    <col min="12805" max="12805" width="12.36328125" style="213" bestFit="1" customWidth="1"/>
    <col min="12806" max="12807" width="15" style="213" bestFit="1" customWidth="1"/>
    <col min="12808" max="12810" width="10.90625" style="213"/>
    <col min="12811" max="12811" width="11.453125" style="213" customWidth="1"/>
    <col min="12812" max="12812" width="15" style="213" bestFit="1" customWidth="1"/>
    <col min="12813" max="12813" width="12.36328125" style="213" bestFit="1" customWidth="1"/>
    <col min="12814" max="12815" width="15" style="213" bestFit="1" customWidth="1"/>
    <col min="12816" max="12818" width="10.90625" style="213"/>
    <col min="12819" max="12819" width="11.453125" style="213" customWidth="1"/>
    <col min="12820" max="12820" width="15" style="213" bestFit="1" customWidth="1"/>
    <col min="12821" max="12821" width="12.36328125" style="213" bestFit="1" customWidth="1"/>
    <col min="12822" max="12823" width="15" style="213" bestFit="1" customWidth="1"/>
    <col min="12824" max="12826" width="10.90625" style="213"/>
    <col min="12827" max="12827" width="11.453125" style="213" customWidth="1"/>
    <col min="12828" max="12828" width="15" style="213" bestFit="1" customWidth="1"/>
    <col min="12829" max="12829" width="12.36328125" style="213" bestFit="1" customWidth="1"/>
    <col min="12830" max="12831" width="15" style="213" bestFit="1" customWidth="1"/>
    <col min="12832" max="13058" width="10.90625" style="213"/>
    <col min="13059" max="13059" width="11.453125" style="213" customWidth="1"/>
    <col min="13060" max="13060" width="15" style="213" bestFit="1" customWidth="1"/>
    <col min="13061" max="13061" width="12.36328125" style="213" bestFit="1" customWidth="1"/>
    <col min="13062" max="13063" width="15" style="213" bestFit="1" customWidth="1"/>
    <col min="13064" max="13066" width="10.90625" style="213"/>
    <col min="13067" max="13067" width="11.453125" style="213" customWidth="1"/>
    <col min="13068" max="13068" width="15" style="213" bestFit="1" customWidth="1"/>
    <col min="13069" max="13069" width="12.36328125" style="213" bestFit="1" customWidth="1"/>
    <col min="13070" max="13071" width="15" style="213" bestFit="1" customWidth="1"/>
    <col min="13072" max="13074" width="10.90625" style="213"/>
    <col min="13075" max="13075" width="11.453125" style="213" customWidth="1"/>
    <col min="13076" max="13076" width="15" style="213" bestFit="1" customWidth="1"/>
    <col min="13077" max="13077" width="12.36328125" style="213" bestFit="1" customWidth="1"/>
    <col min="13078" max="13079" width="15" style="213" bestFit="1" customWidth="1"/>
    <col min="13080" max="13082" width="10.90625" style="213"/>
    <col min="13083" max="13083" width="11.453125" style="213" customWidth="1"/>
    <col min="13084" max="13084" width="15" style="213" bestFit="1" customWidth="1"/>
    <col min="13085" max="13085" width="12.36328125" style="213" bestFit="1" customWidth="1"/>
    <col min="13086" max="13087" width="15" style="213" bestFit="1" customWidth="1"/>
    <col min="13088" max="13314" width="10.90625" style="213"/>
    <col min="13315" max="13315" width="11.453125" style="213" customWidth="1"/>
    <col min="13316" max="13316" width="15" style="213" bestFit="1" customWidth="1"/>
    <col min="13317" max="13317" width="12.36328125" style="213" bestFit="1" customWidth="1"/>
    <col min="13318" max="13319" width="15" style="213" bestFit="1" customWidth="1"/>
    <col min="13320" max="13322" width="10.90625" style="213"/>
    <col min="13323" max="13323" width="11.453125" style="213" customWidth="1"/>
    <col min="13324" max="13324" width="15" style="213" bestFit="1" customWidth="1"/>
    <col min="13325" max="13325" width="12.36328125" style="213" bestFit="1" customWidth="1"/>
    <col min="13326" max="13327" width="15" style="213" bestFit="1" customWidth="1"/>
    <col min="13328" max="13330" width="10.90625" style="213"/>
    <col min="13331" max="13331" width="11.453125" style="213" customWidth="1"/>
    <col min="13332" max="13332" width="15" style="213" bestFit="1" customWidth="1"/>
    <col min="13333" max="13333" width="12.36328125" style="213" bestFit="1" customWidth="1"/>
    <col min="13334" max="13335" width="15" style="213" bestFit="1" customWidth="1"/>
    <col min="13336" max="13338" width="10.90625" style="213"/>
    <col min="13339" max="13339" width="11.453125" style="213" customWidth="1"/>
    <col min="13340" max="13340" width="15" style="213" bestFit="1" customWidth="1"/>
    <col min="13341" max="13341" width="12.36328125" style="213" bestFit="1" customWidth="1"/>
    <col min="13342" max="13343" width="15" style="213" bestFit="1" customWidth="1"/>
    <col min="13344" max="13570" width="10.90625" style="213"/>
    <col min="13571" max="13571" width="11.453125" style="213" customWidth="1"/>
    <col min="13572" max="13572" width="15" style="213" bestFit="1" customWidth="1"/>
    <col min="13573" max="13573" width="12.36328125" style="213" bestFit="1" customWidth="1"/>
    <col min="13574" max="13575" width="15" style="213" bestFit="1" customWidth="1"/>
    <col min="13576" max="13578" width="10.90625" style="213"/>
    <col min="13579" max="13579" width="11.453125" style="213" customWidth="1"/>
    <col min="13580" max="13580" width="15" style="213" bestFit="1" customWidth="1"/>
    <col min="13581" max="13581" width="12.36328125" style="213" bestFit="1" customWidth="1"/>
    <col min="13582" max="13583" width="15" style="213" bestFit="1" customWidth="1"/>
    <col min="13584" max="13586" width="10.90625" style="213"/>
    <col min="13587" max="13587" width="11.453125" style="213" customWidth="1"/>
    <col min="13588" max="13588" width="15" style="213" bestFit="1" customWidth="1"/>
    <col min="13589" max="13589" width="12.36328125" style="213" bestFit="1" customWidth="1"/>
    <col min="13590" max="13591" width="15" style="213" bestFit="1" customWidth="1"/>
    <col min="13592" max="13594" width="10.90625" style="213"/>
    <col min="13595" max="13595" width="11.453125" style="213" customWidth="1"/>
    <col min="13596" max="13596" width="15" style="213" bestFit="1" customWidth="1"/>
    <col min="13597" max="13597" width="12.36328125" style="213" bestFit="1" customWidth="1"/>
    <col min="13598" max="13599" width="15" style="213" bestFit="1" customWidth="1"/>
    <col min="13600" max="13826" width="10.90625" style="213"/>
    <col min="13827" max="13827" width="11.453125" style="213" customWidth="1"/>
    <col min="13828" max="13828" width="15" style="213" bestFit="1" customWidth="1"/>
    <col min="13829" max="13829" width="12.36328125" style="213" bestFit="1" customWidth="1"/>
    <col min="13830" max="13831" width="15" style="213" bestFit="1" customWidth="1"/>
    <col min="13832" max="13834" width="10.90625" style="213"/>
    <col min="13835" max="13835" width="11.453125" style="213" customWidth="1"/>
    <col min="13836" max="13836" width="15" style="213" bestFit="1" customWidth="1"/>
    <col min="13837" max="13837" width="12.36328125" style="213" bestFit="1" customWidth="1"/>
    <col min="13838" max="13839" width="15" style="213" bestFit="1" customWidth="1"/>
    <col min="13840" max="13842" width="10.90625" style="213"/>
    <col min="13843" max="13843" width="11.453125" style="213" customWidth="1"/>
    <col min="13844" max="13844" width="15" style="213" bestFit="1" customWidth="1"/>
    <col min="13845" max="13845" width="12.36328125" style="213" bestFit="1" customWidth="1"/>
    <col min="13846" max="13847" width="15" style="213" bestFit="1" customWidth="1"/>
    <col min="13848" max="13850" width="10.90625" style="213"/>
    <col min="13851" max="13851" width="11.453125" style="213" customWidth="1"/>
    <col min="13852" max="13852" width="15" style="213" bestFit="1" customWidth="1"/>
    <col min="13853" max="13853" width="12.36328125" style="213" bestFit="1" customWidth="1"/>
    <col min="13854" max="13855" width="15" style="213" bestFit="1" customWidth="1"/>
    <col min="13856" max="14082" width="10.90625" style="213"/>
    <col min="14083" max="14083" width="11.453125" style="213" customWidth="1"/>
    <col min="14084" max="14084" width="15" style="213" bestFit="1" customWidth="1"/>
    <col min="14085" max="14085" width="12.36328125" style="213" bestFit="1" customWidth="1"/>
    <col min="14086" max="14087" width="15" style="213" bestFit="1" customWidth="1"/>
    <col min="14088" max="14090" width="10.90625" style="213"/>
    <col min="14091" max="14091" width="11.453125" style="213" customWidth="1"/>
    <col min="14092" max="14092" width="15" style="213" bestFit="1" customWidth="1"/>
    <col min="14093" max="14093" width="12.36328125" style="213" bestFit="1" customWidth="1"/>
    <col min="14094" max="14095" width="15" style="213" bestFit="1" customWidth="1"/>
    <col min="14096" max="14098" width="10.90625" style="213"/>
    <col min="14099" max="14099" width="11.453125" style="213" customWidth="1"/>
    <col min="14100" max="14100" width="15" style="213" bestFit="1" customWidth="1"/>
    <col min="14101" max="14101" width="12.36328125" style="213" bestFit="1" customWidth="1"/>
    <col min="14102" max="14103" width="15" style="213" bestFit="1" customWidth="1"/>
    <col min="14104" max="14106" width="10.90625" style="213"/>
    <col min="14107" max="14107" width="11.453125" style="213" customWidth="1"/>
    <col min="14108" max="14108" width="15" style="213" bestFit="1" customWidth="1"/>
    <col min="14109" max="14109" width="12.36328125" style="213" bestFit="1" customWidth="1"/>
    <col min="14110" max="14111" width="15" style="213" bestFit="1" customWidth="1"/>
    <col min="14112" max="14338" width="10.90625" style="213"/>
    <col min="14339" max="14339" width="11.453125" style="213" customWidth="1"/>
    <col min="14340" max="14340" width="15" style="213" bestFit="1" customWidth="1"/>
    <col min="14341" max="14341" width="12.36328125" style="213" bestFit="1" customWidth="1"/>
    <col min="14342" max="14343" width="15" style="213" bestFit="1" customWidth="1"/>
    <col min="14344" max="14346" width="10.90625" style="213"/>
    <col min="14347" max="14347" width="11.453125" style="213" customWidth="1"/>
    <col min="14348" max="14348" width="15" style="213" bestFit="1" customWidth="1"/>
    <col min="14349" max="14349" width="12.36328125" style="213" bestFit="1" customWidth="1"/>
    <col min="14350" max="14351" width="15" style="213" bestFit="1" customWidth="1"/>
    <col min="14352" max="14354" width="10.90625" style="213"/>
    <col min="14355" max="14355" width="11.453125" style="213" customWidth="1"/>
    <col min="14356" max="14356" width="15" style="213" bestFit="1" customWidth="1"/>
    <col min="14357" max="14357" width="12.36328125" style="213" bestFit="1" customWidth="1"/>
    <col min="14358" max="14359" width="15" style="213" bestFit="1" customWidth="1"/>
    <col min="14360" max="14362" width="10.90625" style="213"/>
    <col min="14363" max="14363" width="11.453125" style="213" customWidth="1"/>
    <col min="14364" max="14364" width="15" style="213" bestFit="1" customWidth="1"/>
    <col min="14365" max="14365" width="12.36328125" style="213" bestFit="1" customWidth="1"/>
    <col min="14366" max="14367" width="15" style="213" bestFit="1" customWidth="1"/>
    <col min="14368" max="14594" width="10.90625" style="213"/>
    <col min="14595" max="14595" width="11.453125" style="213" customWidth="1"/>
    <col min="14596" max="14596" width="15" style="213" bestFit="1" customWidth="1"/>
    <col min="14597" max="14597" width="12.36328125" style="213" bestFit="1" customWidth="1"/>
    <col min="14598" max="14599" width="15" style="213" bestFit="1" customWidth="1"/>
    <col min="14600" max="14602" width="10.90625" style="213"/>
    <col min="14603" max="14603" width="11.453125" style="213" customWidth="1"/>
    <col min="14604" max="14604" width="15" style="213" bestFit="1" customWidth="1"/>
    <col min="14605" max="14605" width="12.36328125" style="213" bestFit="1" customWidth="1"/>
    <col min="14606" max="14607" width="15" style="213" bestFit="1" customWidth="1"/>
    <col min="14608" max="14610" width="10.90625" style="213"/>
    <col min="14611" max="14611" width="11.453125" style="213" customWidth="1"/>
    <col min="14612" max="14612" width="15" style="213" bestFit="1" customWidth="1"/>
    <col min="14613" max="14613" width="12.36328125" style="213" bestFit="1" customWidth="1"/>
    <col min="14614" max="14615" width="15" style="213" bestFit="1" customWidth="1"/>
    <col min="14616" max="14618" width="10.90625" style="213"/>
    <col min="14619" max="14619" width="11.453125" style="213" customWidth="1"/>
    <col min="14620" max="14620" width="15" style="213" bestFit="1" customWidth="1"/>
    <col min="14621" max="14621" width="12.36328125" style="213" bestFit="1" customWidth="1"/>
    <col min="14622" max="14623" width="15" style="213" bestFit="1" customWidth="1"/>
    <col min="14624" max="14850" width="10.90625" style="213"/>
    <col min="14851" max="14851" width="11.453125" style="213" customWidth="1"/>
    <col min="14852" max="14852" width="15" style="213" bestFit="1" customWidth="1"/>
    <col min="14853" max="14853" width="12.36328125" style="213" bestFit="1" customWidth="1"/>
    <col min="14854" max="14855" width="15" style="213" bestFit="1" customWidth="1"/>
    <col min="14856" max="14858" width="10.90625" style="213"/>
    <col min="14859" max="14859" width="11.453125" style="213" customWidth="1"/>
    <col min="14860" max="14860" width="15" style="213" bestFit="1" customWidth="1"/>
    <col min="14861" max="14861" width="12.36328125" style="213" bestFit="1" customWidth="1"/>
    <col min="14862" max="14863" width="15" style="213" bestFit="1" customWidth="1"/>
    <col min="14864" max="14866" width="10.90625" style="213"/>
    <col min="14867" max="14867" width="11.453125" style="213" customWidth="1"/>
    <col min="14868" max="14868" width="15" style="213" bestFit="1" customWidth="1"/>
    <col min="14869" max="14869" width="12.36328125" style="213" bestFit="1" customWidth="1"/>
    <col min="14870" max="14871" width="15" style="213" bestFit="1" customWidth="1"/>
    <col min="14872" max="14874" width="10.90625" style="213"/>
    <col min="14875" max="14875" width="11.453125" style="213" customWidth="1"/>
    <col min="14876" max="14876" width="15" style="213" bestFit="1" customWidth="1"/>
    <col min="14877" max="14877" width="12.36328125" style="213" bestFit="1" customWidth="1"/>
    <col min="14878" max="14879" width="15" style="213" bestFit="1" customWidth="1"/>
    <col min="14880" max="15106" width="10.90625" style="213"/>
    <col min="15107" max="15107" width="11.453125" style="213" customWidth="1"/>
    <col min="15108" max="15108" width="15" style="213" bestFit="1" customWidth="1"/>
    <col min="15109" max="15109" width="12.36328125" style="213" bestFit="1" customWidth="1"/>
    <col min="15110" max="15111" width="15" style="213" bestFit="1" customWidth="1"/>
    <col min="15112" max="15114" width="10.90625" style="213"/>
    <col min="15115" max="15115" width="11.453125" style="213" customWidth="1"/>
    <col min="15116" max="15116" width="15" style="213" bestFit="1" customWidth="1"/>
    <col min="15117" max="15117" width="12.36328125" style="213" bestFit="1" customWidth="1"/>
    <col min="15118" max="15119" width="15" style="213" bestFit="1" customWidth="1"/>
    <col min="15120" max="15122" width="10.90625" style="213"/>
    <col min="15123" max="15123" width="11.453125" style="213" customWidth="1"/>
    <col min="15124" max="15124" width="15" style="213" bestFit="1" customWidth="1"/>
    <col min="15125" max="15125" width="12.36328125" style="213" bestFit="1" customWidth="1"/>
    <col min="15126" max="15127" width="15" style="213" bestFit="1" customWidth="1"/>
    <col min="15128" max="15130" width="10.90625" style="213"/>
    <col min="15131" max="15131" width="11.453125" style="213" customWidth="1"/>
    <col min="15132" max="15132" width="15" style="213" bestFit="1" customWidth="1"/>
    <col min="15133" max="15133" width="12.36328125" style="213" bestFit="1" customWidth="1"/>
    <col min="15134" max="15135" width="15" style="213" bestFit="1" customWidth="1"/>
    <col min="15136" max="15362" width="10.90625" style="213"/>
    <col min="15363" max="15363" width="11.453125" style="213" customWidth="1"/>
    <col min="15364" max="15364" width="15" style="213" bestFit="1" customWidth="1"/>
    <col min="15365" max="15365" width="12.36328125" style="213" bestFit="1" customWidth="1"/>
    <col min="15366" max="15367" width="15" style="213" bestFit="1" customWidth="1"/>
    <col min="15368" max="15370" width="10.90625" style="213"/>
    <col min="15371" max="15371" width="11.453125" style="213" customWidth="1"/>
    <col min="15372" max="15372" width="15" style="213" bestFit="1" customWidth="1"/>
    <col min="15373" max="15373" width="12.36328125" style="213" bestFit="1" customWidth="1"/>
    <col min="15374" max="15375" width="15" style="213" bestFit="1" customWidth="1"/>
    <col min="15376" max="15378" width="10.90625" style="213"/>
    <col min="15379" max="15379" width="11.453125" style="213" customWidth="1"/>
    <col min="15380" max="15380" width="15" style="213" bestFit="1" customWidth="1"/>
    <col min="15381" max="15381" width="12.36328125" style="213" bestFit="1" customWidth="1"/>
    <col min="15382" max="15383" width="15" style="213" bestFit="1" customWidth="1"/>
    <col min="15384" max="15386" width="10.90625" style="213"/>
    <col min="15387" max="15387" width="11.453125" style="213" customWidth="1"/>
    <col min="15388" max="15388" width="15" style="213" bestFit="1" customWidth="1"/>
    <col min="15389" max="15389" width="12.36328125" style="213" bestFit="1" customWidth="1"/>
    <col min="15390" max="15391" width="15" style="213" bestFit="1" customWidth="1"/>
    <col min="15392" max="15618" width="10.90625" style="213"/>
    <col min="15619" max="15619" width="11.453125" style="213" customWidth="1"/>
    <col min="15620" max="15620" width="15" style="213" bestFit="1" customWidth="1"/>
    <col min="15621" max="15621" width="12.36328125" style="213" bestFit="1" customWidth="1"/>
    <col min="15622" max="15623" width="15" style="213" bestFit="1" customWidth="1"/>
    <col min="15624" max="15626" width="10.90625" style="213"/>
    <col min="15627" max="15627" width="11.453125" style="213" customWidth="1"/>
    <col min="15628" max="15628" width="15" style="213" bestFit="1" customWidth="1"/>
    <col min="15629" max="15629" width="12.36328125" style="213" bestFit="1" customWidth="1"/>
    <col min="15630" max="15631" width="15" style="213" bestFit="1" customWidth="1"/>
    <col min="15632" max="15634" width="10.90625" style="213"/>
    <col min="15635" max="15635" width="11.453125" style="213" customWidth="1"/>
    <col min="15636" max="15636" width="15" style="213" bestFit="1" customWidth="1"/>
    <col min="15637" max="15637" width="12.36328125" style="213" bestFit="1" customWidth="1"/>
    <col min="15638" max="15639" width="15" style="213" bestFit="1" customWidth="1"/>
    <col min="15640" max="15642" width="10.90625" style="213"/>
    <col min="15643" max="15643" width="11.453125" style="213" customWidth="1"/>
    <col min="15644" max="15644" width="15" style="213" bestFit="1" customWidth="1"/>
    <col min="15645" max="15645" width="12.36328125" style="213" bestFit="1" customWidth="1"/>
    <col min="15646" max="15647" width="15" style="213" bestFit="1" customWidth="1"/>
    <col min="15648" max="15874" width="10.90625" style="213"/>
    <col min="15875" max="15875" width="11.453125" style="213" customWidth="1"/>
    <col min="15876" max="15876" width="15" style="213" bestFit="1" customWidth="1"/>
    <col min="15877" max="15877" width="12.36328125" style="213" bestFit="1" customWidth="1"/>
    <col min="15878" max="15879" width="15" style="213" bestFit="1" customWidth="1"/>
    <col min="15880" max="15882" width="10.90625" style="213"/>
    <col min="15883" max="15883" width="11.453125" style="213" customWidth="1"/>
    <col min="15884" max="15884" width="15" style="213" bestFit="1" customWidth="1"/>
    <col min="15885" max="15885" width="12.36328125" style="213" bestFit="1" customWidth="1"/>
    <col min="15886" max="15887" width="15" style="213" bestFit="1" customWidth="1"/>
    <col min="15888" max="15890" width="10.90625" style="213"/>
    <col min="15891" max="15891" width="11.453125" style="213" customWidth="1"/>
    <col min="15892" max="15892" width="15" style="213" bestFit="1" customWidth="1"/>
    <col min="15893" max="15893" width="12.36328125" style="213" bestFit="1" customWidth="1"/>
    <col min="15894" max="15895" width="15" style="213" bestFit="1" customWidth="1"/>
    <col min="15896" max="15898" width="10.90625" style="213"/>
    <col min="15899" max="15899" width="11.453125" style="213" customWidth="1"/>
    <col min="15900" max="15900" width="15" style="213" bestFit="1" customWidth="1"/>
    <col min="15901" max="15901" width="12.36328125" style="213" bestFit="1" customWidth="1"/>
    <col min="15902" max="15903" width="15" style="213" bestFit="1" customWidth="1"/>
    <col min="15904" max="16130" width="10.90625" style="213"/>
    <col min="16131" max="16131" width="11.453125" style="213" customWidth="1"/>
    <col min="16132" max="16132" width="15" style="213" bestFit="1" customWidth="1"/>
    <col min="16133" max="16133" width="12.36328125" style="213" bestFit="1" customWidth="1"/>
    <col min="16134" max="16135" width="15" style="213" bestFit="1" customWidth="1"/>
    <col min="16136" max="16138" width="10.90625" style="213"/>
    <col min="16139" max="16139" width="11.453125" style="213" customWidth="1"/>
    <col min="16140" max="16140" width="15" style="213" bestFit="1" customWidth="1"/>
    <col min="16141" max="16141" width="12.36328125" style="213" bestFit="1" customWidth="1"/>
    <col min="16142" max="16143" width="15" style="213" bestFit="1" customWidth="1"/>
    <col min="16144" max="16146" width="10.90625" style="213"/>
    <col min="16147" max="16147" width="11.453125" style="213" customWidth="1"/>
    <col min="16148" max="16148" width="15" style="213" bestFit="1" customWidth="1"/>
    <col min="16149" max="16149" width="12.36328125" style="213" bestFit="1" customWidth="1"/>
    <col min="16150" max="16151" width="15" style="213" bestFit="1" customWidth="1"/>
    <col min="16152" max="16154" width="10.90625" style="213"/>
    <col min="16155" max="16155" width="11.453125" style="213" customWidth="1"/>
    <col min="16156" max="16156" width="15" style="213" bestFit="1" customWidth="1"/>
    <col min="16157" max="16157" width="12.36328125" style="213" bestFit="1" customWidth="1"/>
    <col min="16158" max="16159" width="15" style="213" bestFit="1" customWidth="1"/>
    <col min="16160" max="16384" width="10.90625" style="213"/>
  </cols>
  <sheetData>
    <row r="1" spans="2:31" ht="13" x14ac:dyDescent="0.3">
      <c r="B1" s="337" t="s">
        <v>212</v>
      </c>
      <c r="J1" s="337" t="s">
        <v>214</v>
      </c>
      <c r="R1" s="220" t="s">
        <v>727</v>
      </c>
      <c r="S1" s="211"/>
    </row>
    <row r="2" spans="2:31" ht="13" thickBot="1" x14ac:dyDescent="0.3"/>
    <row r="3" spans="2:31" ht="15" thickBot="1" x14ac:dyDescent="0.4">
      <c r="B3" s="339"/>
      <c r="C3" s="340" t="s">
        <v>371</v>
      </c>
      <c r="D3" s="341">
        <f>'S4 - Montage financier'!D4</f>
        <v>59289.999999999993</v>
      </c>
      <c r="J3" s="339"/>
      <c r="K3" s="340" t="s">
        <v>371</v>
      </c>
      <c r="L3" s="342">
        <f>'S4 - Montage financier'!D5</f>
        <v>152007</v>
      </c>
      <c r="R3" s="339"/>
      <c r="S3" s="340" t="s">
        <v>371</v>
      </c>
      <c r="T3" s="342">
        <f>'S4 - Montage financier'!D2</f>
        <v>670000</v>
      </c>
      <c r="Z3" s="339"/>
      <c r="AA3" s="340" t="s">
        <v>371</v>
      </c>
      <c r="AB3" s="342">
        <v>0</v>
      </c>
    </row>
    <row r="4" spans="2:31" ht="15" thickBot="1" x14ac:dyDescent="0.4">
      <c r="B4" s="343"/>
      <c r="C4" s="344" t="s">
        <v>372</v>
      </c>
      <c r="D4" s="345">
        <v>0.06</v>
      </c>
      <c r="J4" s="343"/>
      <c r="K4" s="344" t="s">
        <v>372</v>
      </c>
      <c r="L4" s="345">
        <v>0.1</v>
      </c>
      <c r="R4" s="343"/>
      <c r="S4" s="344" t="s">
        <v>372</v>
      </c>
      <c r="T4" s="345">
        <v>0.06</v>
      </c>
      <c r="Z4" s="343"/>
      <c r="AA4" s="344" t="s">
        <v>372</v>
      </c>
      <c r="AB4" s="345">
        <v>0</v>
      </c>
    </row>
    <row r="5" spans="2:31" ht="13" thickBot="1" x14ac:dyDescent="0.3">
      <c r="B5" s="339"/>
      <c r="C5" s="344" t="s">
        <v>373</v>
      </c>
      <c r="D5" s="346">
        <v>10</v>
      </c>
      <c r="E5" s="347" t="s">
        <v>374</v>
      </c>
      <c r="J5" s="339"/>
      <c r="K5" s="344" t="s">
        <v>373</v>
      </c>
      <c r="L5" s="346">
        <v>10</v>
      </c>
      <c r="M5" s="347" t="s">
        <v>374</v>
      </c>
      <c r="R5" s="339"/>
      <c r="S5" s="344" t="s">
        <v>373</v>
      </c>
      <c r="T5" s="346">
        <v>10</v>
      </c>
      <c r="U5" s="347" t="s">
        <v>374</v>
      </c>
      <c r="Z5" s="339"/>
      <c r="AA5" s="344" t="s">
        <v>373</v>
      </c>
      <c r="AB5" s="346">
        <v>0</v>
      </c>
      <c r="AC5" s="347" t="s">
        <v>374</v>
      </c>
    </row>
    <row r="6" spans="2:31" ht="13" thickBot="1" x14ac:dyDescent="0.3">
      <c r="C6" s="348" t="s">
        <v>375</v>
      </c>
      <c r="D6" s="349">
        <f>-PMT(D4/12,D5*12,D3)</f>
        <v>658.24055601203952</v>
      </c>
      <c r="E6" s="350" t="s">
        <v>376</v>
      </c>
      <c r="K6" s="348" t="s">
        <v>375</v>
      </c>
      <c r="L6" s="349">
        <f>-PMT(L4/12,L5*12,L3)</f>
        <v>2008.7837061185944</v>
      </c>
      <c r="M6" s="350" t="s">
        <v>376</v>
      </c>
      <c r="S6" s="348" t="s">
        <v>375</v>
      </c>
      <c r="T6" s="349">
        <f>-PMT(T4/12,T5*12,T3)</f>
        <v>7438.373630090513</v>
      </c>
      <c r="U6" s="350" t="s">
        <v>376</v>
      </c>
      <c r="AA6" s="348" t="s">
        <v>375</v>
      </c>
      <c r="AB6" s="349" t="e">
        <f>-PMT(AB4/12,AB5*12,AB3)</f>
        <v>#NUM!</v>
      </c>
      <c r="AC6" s="350" t="s">
        <v>376</v>
      </c>
    </row>
    <row r="8" spans="2:31" ht="13" thickBot="1" x14ac:dyDescent="0.3"/>
    <row r="9" spans="2:31" ht="25.5" thickBot="1" x14ac:dyDescent="0.3">
      <c r="B9" s="351" t="s">
        <v>377</v>
      </c>
      <c r="C9" s="351" t="s">
        <v>378</v>
      </c>
      <c r="D9" s="352" t="s">
        <v>379</v>
      </c>
      <c r="E9" s="351" t="s">
        <v>380</v>
      </c>
      <c r="F9" s="352" t="s">
        <v>381</v>
      </c>
      <c r="G9" s="353" t="s">
        <v>382</v>
      </c>
      <c r="J9" s="351" t="s">
        <v>377</v>
      </c>
      <c r="K9" s="351" t="s">
        <v>378</v>
      </c>
      <c r="L9" s="352" t="s">
        <v>379</v>
      </c>
      <c r="M9" s="351" t="s">
        <v>380</v>
      </c>
      <c r="N9" s="352" t="s">
        <v>381</v>
      </c>
      <c r="O9" s="353" t="s">
        <v>382</v>
      </c>
      <c r="R9" s="351" t="s">
        <v>377</v>
      </c>
      <c r="S9" s="351" t="s">
        <v>378</v>
      </c>
      <c r="T9" s="352" t="s">
        <v>379</v>
      </c>
      <c r="U9" s="351" t="s">
        <v>380</v>
      </c>
      <c r="V9" s="352" t="s">
        <v>381</v>
      </c>
      <c r="W9" s="353" t="s">
        <v>382</v>
      </c>
      <c r="Z9" s="351" t="s">
        <v>377</v>
      </c>
      <c r="AA9" s="351" t="s">
        <v>378</v>
      </c>
      <c r="AB9" s="352" t="s">
        <v>379</v>
      </c>
      <c r="AC9" s="351" t="s">
        <v>380</v>
      </c>
      <c r="AD9" s="352" t="s">
        <v>381</v>
      </c>
      <c r="AE9" s="353" t="s">
        <v>382</v>
      </c>
    </row>
    <row r="10" spans="2:31" x14ac:dyDescent="0.25">
      <c r="B10" s="354" t="s">
        <v>383</v>
      </c>
      <c r="C10" s="355">
        <f>D6-D10</f>
        <v>361.79055601203953</v>
      </c>
      <c r="D10" s="481">
        <f>D4/12*D3</f>
        <v>296.45</v>
      </c>
      <c r="E10" s="357">
        <f>C10</f>
        <v>361.79055601203953</v>
      </c>
      <c r="F10" s="358">
        <f>D10</f>
        <v>296.45</v>
      </c>
      <c r="G10" s="359">
        <f>D3-C10</f>
        <v>58928.209443987951</v>
      </c>
      <c r="J10" s="354" t="str">
        <f t="shared" ref="J10:J73" si="0">B10</f>
        <v>M1</v>
      </c>
      <c r="K10" s="355">
        <f>L6-L10</f>
        <v>742.0587061185945</v>
      </c>
      <c r="L10" s="481">
        <f>L4/12*L3</f>
        <v>1266.7249999999999</v>
      </c>
      <c r="M10" s="357">
        <f>K10</f>
        <v>742.0587061185945</v>
      </c>
      <c r="N10" s="358">
        <f>L10</f>
        <v>1266.7249999999999</v>
      </c>
      <c r="O10" s="359">
        <f>L3-K10</f>
        <v>151264.94129388139</v>
      </c>
      <c r="R10" s="354"/>
      <c r="S10" s="355">
        <f>T6-T10</f>
        <v>4088.373630090513</v>
      </c>
      <c r="T10" s="356">
        <f>T4/12*T3</f>
        <v>3350</v>
      </c>
      <c r="U10" s="357">
        <f>S10</f>
        <v>4088.373630090513</v>
      </c>
      <c r="V10" s="358">
        <f>T10</f>
        <v>3350</v>
      </c>
      <c r="W10" s="359">
        <f>T3-S10</f>
        <v>665911.6263699095</v>
      </c>
      <c r="Z10" s="354"/>
      <c r="AA10" s="355" t="e">
        <f>AB6-AB10</f>
        <v>#NUM!</v>
      </c>
      <c r="AB10" s="356">
        <f>AB4/12*AB3</f>
        <v>0</v>
      </c>
      <c r="AC10" s="357" t="e">
        <f>AA10</f>
        <v>#NUM!</v>
      </c>
      <c r="AD10" s="358">
        <f>AB10</f>
        <v>0</v>
      </c>
      <c r="AE10" s="359" t="e">
        <f>AB3-AA10</f>
        <v>#NUM!</v>
      </c>
    </row>
    <row r="11" spans="2:31" x14ac:dyDescent="0.25">
      <c r="B11" s="354" t="s">
        <v>384</v>
      </c>
      <c r="C11" s="355">
        <f>$D$6-D11</f>
        <v>363.59950879209975</v>
      </c>
      <c r="D11" s="481">
        <f>$D$4/12*G10</f>
        <v>294.64104721993976</v>
      </c>
      <c r="E11" s="357">
        <f>E10+C11</f>
        <v>725.39006480413923</v>
      </c>
      <c r="F11" s="358">
        <f>F10+D11</f>
        <v>591.09104721993981</v>
      </c>
      <c r="G11" s="359">
        <f>G10-C11</f>
        <v>58564.609935195855</v>
      </c>
      <c r="J11" s="354" t="str">
        <f t="shared" si="0"/>
        <v>M2</v>
      </c>
      <c r="K11" s="355">
        <f>$L$6-L11</f>
        <v>748.24252866958273</v>
      </c>
      <c r="L11" s="481">
        <f>$L$4/12*O10</f>
        <v>1260.5411774490117</v>
      </c>
      <c r="M11" s="357">
        <f>M10+K11</f>
        <v>1490.3012347881772</v>
      </c>
      <c r="N11" s="358">
        <f>N10+L11</f>
        <v>2527.2661774490116</v>
      </c>
      <c r="O11" s="359">
        <f>O10-K11</f>
        <v>150516.6987652118</v>
      </c>
      <c r="R11" s="354"/>
      <c r="S11" s="355">
        <f>$T$6-T11</f>
        <v>4108.8154982409651</v>
      </c>
      <c r="T11" s="356">
        <f>$T$4/12*W10</f>
        <v>3329.5581318495474</v>
      </c>
      <c r="U11" s="357">
        <f t="shared" ref="U11:V26" si="1">U10+S11</f>
        <v>8197.1891283314781</v>
      </c>
      <c r="V11" s="358">
        <f t="shared" si="1"/>
        <v>6679.5581318495479</v>
      </c>
      <c r="W11" s="359">
        <f>W10-S11</f>
        <v>661802.81087166851</v>
      </c>
      <c r="Z11" s="354"/>
      <c r="AA11" s="355" t="e">
        <f>$AB$6-AB11</f>
        <v>#NUM!</v>
      </c>
      <c r="AB11" s="356" t="e">
        <f>$AB$4/12*AE10</f>
        <v>#NUM!</v>
      </c>
      <c r="AC11" s="357" t="e">
        <f t="shared" ref="AC11:AD26" si="2">AC10+AA11</f>
        <v>#NUM!</v>
      </c>
      <c r="AD11" s="358" t="e">
        <f t="shared" si="2"/>
        <v>#NUM!</v>
      </c>
      <c r="AE11" s="359" t="e">
        <f>AE10-AA11</f>
        <v>#NUM!</v>
      </c>
    </row>
    <row r="12" spans="2:31" x14ac:dyDescent="0.25">
      <c r="B12" s="354" t="s">
        <v>86</v>
      </c>
      <c r="C12" s="355">
        <f t="shared" ref="C12:C75" si="3">$D$6-D12</f>
        <v>365.41750633606023</v>
      </c>
      <c r="D12" s="481">
        <f t="shared" ref="D12:D75" si="4">$D$4/12*G11</f>
        <v>292.82304967597929</v>
      </c>
      <c r="E12" s="357">
        <f t="shared" ref="E12:F27" si="5">E11+C12</f>
        <v>1090.8075711401993</v>
      </c>
      <c r="F12" s="358">
        <f t="shared" si="5"/>
        <v>883.9140968959191</v>
      </c>
      <c r="G12" s="359">
        <f t="shared" ref="G12:G75" si="6">G11-C12</f>
        <v>58199.192428859795</v>
      </c>
      <c r="J12" s="354" t="str">
        <f t="shared" si="0"/>
        <v>M3</v>
      </c>
      <c r="K12" s="355">
        <f t="shared" ref="K12:K75" si="7">$L$6-L12</f>
        <v>754.47788307516271</v>
      </c>
      <c r="L12" s="481">
        <f>$L$4/12*O11</f>
        <v>1254.3058230434317</v>
      </c>
      <c r="M12" s="357">
        <f t="shared" ref="M12:N27" si="8">M11+K12</f>
        <v>2244.7791178633397</v>
      </c>
      <c r="N12" s="358">
        <f t="shared" si="8"/>
        <v>3781.5720004924433</v>
      </c>
      <c r="O12" s="359">
        <f t="shared" ref="O12:O75" si="9">O11-K12</f>
        <v>149762.22088213664</v>
      </c>
      <c r="R12" s="354"/>
      <c r="S12" s="355">
        <f t="shared" ref="S12:S75" si="10">$T$6-T12</f>
        <v>1923.350206159942</v>
      </c>
      <c r="T12" s="356">
        <f>$L$4/12*W11</f>
        <v>5515.023423930571</v>
      </c>
      <c r="U12" s="357">
        <f t="shared" si="1"/>
        <v>10120.539334491419</v>
      </c>
      <c r="V12" s="358">
        <f t="shared" si="1"/>
        <v>12194.581555780118</v>
      </c>
      <c r="W12" s="359">
        <f t="shared" ref="W12:W75" si="11">W11-S12</f>
        <v>659879.46066550852</v>
      </c>
      <c r="Z12" s="354"/>
      <c r="AA12" s="355" t="e">
        <f t="shared" ref="AA12:AA75" si="12">$T$6-AB12</f>
        <v>#NUM!</v>
      </c>
      <c r="AB12" s="356" t="e">
        <f t="shared" ref="AB12:AB75" si="13">$AB$4/12*AE11</f>
        <v>#NUM!</v>
      </c>
      <c r="AC12" s="357" t="e">
        <f t="shared" si="2"/>
        <v>#NUM!</v>
      </c>
      <c r="AD12" s="358" t="e">
        <f t="shared" si="2"/>
        <v>#NUM!</v>
      </c>
      <c r="AE12" s="359" t="e">
        <f t="shared" ref="AE12:AE75" si="14">AE11-AA12</f>
        <v>#NUM!</v>
      </c>
    </row>
    <row r="13" spans="2:31" x14ac:dyDescent="0.25">
      <c r="B13" s="354" t="s">
        <v>385</v>
      </c>
      <c r="C13" s="355">
        <f t="shared" si="3"/>
        <v>367.24459386774055</v>
      </c>
      <c r="D13" s="554">
        <f t="shared" si="4"/>
        <v>290.99596214429897</v>
      </c>
      <c r="E13" s="357">
        <f t="shared" si="5"/>
        <v>1458.0521650079399</v>
      </c>
      <c r="F13" s="358">
        <f t="shared" si="5"/>
        <v>1174.9100590402181</v>
      </c>
      <c r="G13" s="359">
        <f t="shared" si="6"/>
        <v>57831.947834992054</v>
      </c>
      <c r="J13" s="354" t="str">
        <f t="shared" si="0"/>
        <v>M4</v>
      </c>
      <c r="K13" s="355">
        <f t="shared" si="7"/>
        <v>760.76519876745579</v>
      </c>
      <c r="L13" s="554">
        <f t="shared" ref="L13:L76" si="15">$L$4/12*O12</f>
        <v>1248.0185073511386</v>
      </c>
      <c r="M13" s="357">
        <f t="shared" si="8"/>
        <v>3005.5443166307955</v>
      </c>
      <c r="N13" s="358">
        <f t="shared" si="8"/>
        <v>5029.5905078435817</v>
      </c>
      <c r="O13" s="359">
        <f t="shared" si="9"/>
        <v>149001.45568336919</v>
      </c>
      <c r="R13" s="354"/>
      <c r="S13" s="355">
        <f t="shared" si="10"/>
        <v>1939.3781245446089</v>
      </c>
      <c r="T13" s="356">
        <f t="shared" ref="T13:T76" si="16">$L$4/12*W12</f>
        <v>5498.9955055459041</v>
      </c>
      <c r="U13" s="357">
        <f t="shared" si="1"/>
        <v>12059.917459036027</v>
      </c>
      <c r="V13" s="358">
        <f t="shared" si="1"/>
        <v>17693.577061326021</v>
      </c>
      <c r="W13" s="359">
        <f t="shared" si="11"/>
        <v>657940.08254096389</v>
      </c>
      <c r="Z13" s="354"/>
      <c r="AA13" s="355" t="e">
        <f t="shared" si="12"/>
        <v>#NUM!</v>
      </c>
      <c r="AB13" s="356" t="e">
        <f t="shared" si="13"/>
        <v>#NUM!</v>
      </c>
      <c r="AC13" s="357" t="e">
        <f t="shared" si="2"/>
        <v>#NUM!</v>
      </c>
      <c r="AD13" s="358" t="e">
        <f t="shared" si="2"/>
        <v>#NUM!</v>
      </c>
      <c r="AE13" s="359" t="e">
        <f t="shared" si="14"/>
        <v>#NUM!</v>
      </c>
    </row>
    <row r="14" spans="2:31" x14ac:dyDescent="0.25">
      <c r="B14" s="354" t="s">
        <v>386</v>
      </c>
      <c r="C14" s="355">
        <f t="shared" si="3"/>
        <v>369.08081683707923</v>
      </c>
      <c r="D14" s="554">
        <f t="shared" si="4"/>
        <v>289.15973917496029</v>
      </c>
      <c r="E14" s="357">
        <f t="shared" si="5"/>
        <v>1827.1329818450192</v>
      </c>
      <c r="F14" s="358">
        <f t="shared" si="5"/>
        <v>1464.0697982151785</v>
      </c>
      <c r="G14" s="359">
        <f t="shared" si="6"/>
        <v>57462.867018154975</v>
      </c>
      <c r="J14" s="354" t="str">
        <f t="shared" si="0"/>
        <v>M5</v>
      </c>
      <c r="K14" s="355">
        <f t="shared" si="7"/>
        <v>767.1049087571846</v>
      </c>
      <c r="L14" s="554">
        <f t="shared" si="15"/>
        <v>1241.6787973614098</v>
      </c>
      <c r="M14" s="357">
        <f t="shared" si="8"/>
        <v>3772.6492253879801</v>
      </c>
      <c r="N14" s="358">
        <f>N13+L14</f>
        <v>6271.2693052049917</v>
      </c>
      <c r="O14" s="359">
        <f t="shared" si="9"/>
        <v>148234.35077461202</v>
      </c>
      <c r="R14" s="354"/>
      <c r="S14" s="355">
        <f t="shared" si="10"/>
        <v>1955.5396089158139</v>
      </c>
      <c r="T14" s="356">
        <f t="shared" si="16"/>
        <v>5482.834021174699</v>
      </c>
      <c r="U14" s="357">
        <f t="shared" si="1"/>
        <v>14015.45706795184</v>
      </c>
      <c r="V14" s="358">
        <f t="shared" si="1"/>
        <v>23176.411082500719</v>
      </c>
      <c r="W14" s="359">
        <f t="shared" si="11"/>
        <v>655984.54293204809</v>
      </c>
      <c r="Z14" s="354"/>
      <c r="AA14" s="355" t="e">
        <f t="shared" si="12"/>
        <v>#NUM!</v>
      </c>
      <c r="AB14" s="356" t="e">
        <f t="shared" si="13"/>
        <v>#NUM!</v>
      </c>
      <c r="AC14" s="357" t="e">
        <f t="shared" si="2"/>
        <v>#NUM!</v>
      </c>
      <c r="AD14" s="358" t="e">
        <f t="shared" si="2"/>
        <v>#NUM!</v>
      </c>
      <c r="AE14" s="359" t="e">
        <f t="shared" si="14"/>
        <v>#NUM!</v>
      </c>
    </row>
    <row r="15" spans="2:31" x14ac:dyDescent="0.25">
      <c r="B15" s="354" t="s">
        <v>387</v>
      </c>
      <c r="C15" s="355">
        <f t="shared" si="3"/>
        <v>370.92622092126464</v>
      </c>
      <c r="D15" s="554">
        <f t="shared" si="4"/>
        <v>287.31433509077488</v>
      </c>
      <c r="E15" s="357">
        <f t="shared" si="5"/>
        <v>2198.0592027662838</v>
      </c>
      <c r="F15" s="358">
        <f t="shared" si="5"/>
        <v>1751.3841333059534</v>
      </c>
      <c r="G15" s="359">
        <f t="shared" si="6"/>
        <v>57091.940797233714</v>
      </c>
      <c r="J15" s="354" t="str">
        <f t="shared" si="0"/>
        <v>M6</v>
      </c>
      <c r="K15" s="355">
        <f t="shared" si="7"/>
        <v>773.49744966349431</v>
      </c>
      <c r="L15" s="554">
        <f t="shared" si="15"/>
        <v>1235.2862564551001</v>
      </c>
      <c r="M15" s="357">
        <f>M14+K15</f>
        <v>4546.1466750514746</v>
      </c>
      <c r="N15" s="358">
        <f t="shared" si="8"/>
        <v>7506.5555616600923</v>
      </c>
      <c r="O15" s="359">
        <f t="shared" si="9"/>
        <v>147460.85332494852</v>
      </c>
      <c r="R15" s="354"/>
      <c r="S15" s="355">
        <f t="shared" si="10"/>
        <v>1971.8357723234458</v>
      </c>
      <c r="T15" s="356">
        <f t="shared" si="16"/>
        <v>5466.5378577670672</v>
      </c>
      <c r="U15" s="357">
        <f>U14+S15</f>
        <v>15987.292840275286</v>
      </c>
      <c r="V15" s="358">
        <f t="shared" si="1"/>
        <v>28642.948940267786</v>
      </c>
      <c r="W15" s="359">
        <f t="shared" si="11"/>
        <v>654012.70715972467</v>
      </c>
      <c r="Z15" s="354"/>
      <c r="AA15" s="355" t="e">
        <f t="shared" si="12"/>
        <v>#NUM!</v>
      </c>
      <c r="AB15" s="356" t="e">
        <f t="shared" si="13"/>
        <v>#NUM!</v>
      </c>
      <c r="AC15" s="357" t="e">
        <f>AC14+AA15</f>
        <v>#NUM!</v>
      </c>
      <c r="AD15" s="358" t="e">
        <f t="shared" si="2"/>
        <v>#NUM!</v>
      </c>
      <c r="AE15" s="359" t="e">
        <f t="shared" si="14"/>
        <v>#NUM!</v>
      </c>
    </row>
    <row r="16" spans="2:31" x14ac:dyDescent="0.25">
      <c r="B16" s="354" t="s">
        <v>388</v>
      </c>
      <c r="C16" s="355">
        <f t="shared" si="3"/>
        <v>372.78085202587096</v>
      </c>
      <c r="D16" s="356">
        <f t="shared" si="4"/>
        <v>285.45970398616856</v>
      </c>
      <c r="E16" s="357">
        <f t="shared" si="5"/>
        <v>2570.8400547921547</v>
      </c>
      <c r="F16" s="358">
        <f t="shared" si="5"/>
        <v>2036.8438372921219</v>
      </c>
      <c r="G16" s="359">
        <f t="shared" si="6"/>
        <v>56719.159945207844</v>
      </c>
      <c r="J16" s="354" t="str">
        <f t="shared" si="0"/>
        <v>M7</v>
      </c>
      <c r="K16" s="355">
        <f t="shared" si="7"/>
        <v>779.9432617440234</v>
      </c>
      <c r="L16" s="356">
        <f t="shared" si="15"/>
        <v>1228.840444374571</v>
      </c>
      <c r="M16" s="357">
        <f t="shared" si="8"/>
        <v>5326.089936795498</v>
      </c>
      <c r="N16" s="358">
        <f t="shared" si="8"/>
        <v>8735.3960060346635</v>
      </c>
      <c r="O16" s="359">
        <f t="shared" si="9"/>
        <v>146680.9100632045</v>
      </c>
      <c r="R16" s="354"/>
      <c r="S16" s="355">
        <f t="shared" si="10"/>
        <v>1988.2677370928077</v>
      </c>
      <c r="T16" s="356">
        <f t="shared" si="16"/>
        <v>5450.1058929977053</v>
      </c>
      <c r="U16" s="357">
        <f t="shared" ref="U16:V31" si="17">U15+S16</f>
        <v>17975.560577368095</v>
      </c>
      <c r="V16" s="358">
        <f t="shared" si="1"/>
        <v>34093.054833265494</v>
      </c>
      <c r="W16" s="359">
        <f t="shared" si="11"/>
        <v>652024.43942263187</v>
      </c>
      <c r="Z16" s="354"/>
      <c r="AA16" s="355" t="e">
        <f t="shared" si="12"/>
        <v>#NUM!</v>
      </c>
      <c r="AB16" s="356" t="e">
        <f t="shared" si="13"/>
        <v>#NUM!</v>
      </c>
      <c r="AC16" s="357" t="e">
        <f t="shared" ref="AC16:AD31" si="18">AC15+AA16</f>
        <v>#NUM!</v>
      </c>
      <c r="AD16" s="358" t="e">
        <f t="shared" si="2"/>
        <v>#NUM!</v>
      </c>
      <c r="AE16" s="359" t="e">
        <f t="shared" si="14"/>
        <v>#NUM!</v>
      </c>
    </row>
    <row r="17" spans="2:31" x14ac:dyDescent="0.25">
      <c r="B17" s="354" t="s">
        <v>389</v>
      </c>
      <c r="C17" s="355">
        <f t="shared" si="3"/>
        <v>374.6447562860003</v>
      </c>
      <c r="D17" s="356">
        <f t="shared" si="4"/>
        <v>283.59579972603922</v>
      </c>
      <c r="E17" s="357">
        <f t="shared" si="5"/>
        <v>2945.484811078155</v>
      </c>
      <c r="F17" s="358">
        <f t="shared" si="5"/>
        <v>2320.4396370181612</v>
      </c>
      <c r="G17" s="359">
        <f t="shared" si="6"/>
        <v>56344.515188921847</v>
      </c>
      <c r="J17" s="354" t="str">
        <f t="shared" si="0"/>
        <v>M8</v>
      </c>
      <c r="K17" s="355">
        <f t="shared" si="7"/>
        <v>786.44278892522357</v>
      </c>
      <c r="L17" s="356">
        <f t="shared" si="15"/>
        <v>1222.3409171933708</v>
      </c>
      <c r="M17" s="357">
        <f t="shared" si="8"/>
        <v>6112.5327257207218</v>
      </c>
      <c r="N17" s="358">
        <f t="shared" si="8"/>
        <v>9957.7369232280344</v>
      </c>
      <c r="O17" s="359">
        <f t="shared" si="9"/>
        <v>145894.46727427928</v>
      </c>
      <c r="R17" s="354"/>
      <c r="S17" s="355">
        <f t="shared" si="10"/>
        <v>2004.8366349019143</v>
      </c>
      <c r="T17" s="356">
        <f t="shared" si="16"/>
        <v>5433.5369951885987</v>
      </c>
      <c r="U17" s="357">
        <f t="shared" si="17"/>
        <v>19980.397212270007</v>
      </c>
      <c r="V17" s="358">
        <f t="shared" si="1"/>
        <v>39526.591828454097</v>
      </c>
      <c r="W17" s="359">
        <f t="shared" si="11"/>
        <v>650019.60278772993</v>
      </c>
      <c r="Z17" s="354"/>
      <c r="AA17" s="355" t="e">
        <f t="shared" si="12"/>
        <v>#NUM!</v>
      </c>
      <c r="AB17" s="356" t="e">
        <f t="shared" si="13"/>
        <v>#NUM!</v>
      </c>
      <c r="AC17" s="357" t="e">
        <f t="shared" si="18"/>
        <v>#NUM!</v>
      </c>
      <c r="AD17" s="358" t="e">
        <f t="shared" si="2"/>
        <v>#NUM!</v>
      </c>
      <c r="AE17" s="359" t="e">
        <f t="shared" si="14"/>
        <v>#NUM!</v>
      </c>
    </row>
    <row r="18" spans="2:31" x14ac:dyDescent="0.25">
      <c r="B18" s="354" t="s">
        <v>390</v>
      </c>
      <c r="C18" s="355">
        <f t="shared" si="3"/>
        <v>376.5179800674303</v>
      </c>
      <c r="D18" s="356">
        <f t="shared" si="4"/>
        <v>281.72257594460922</v>
      </c>
      <c r="E18" s="357">
        <f t="shared" si="5"/>
        <v>3322.0027911455854</v>
      </c>
      <c r="F18" s="358">
        <f t="shared" si="5"/>
        <v>2602.1622129627704</v>
      </c>
      <c r="G18" s="359">
        <f t="shared" si="6"/>
        <v>55967.997208854416</v>
      </c>
      <c r="J18" s="354" t="str">
        <f t="shared" si="0"/>
        <v>M9</v>
      </c>
      <c r="K18" s="355">
        <f t="shared" si="7"/>
        <v>792.99647883293369</v>
      </c>
      <c r="L18" s="356">
        <f t="shared" si="15"/>
        <v>1215.7872272856607</v>
      </c>
      <c r="M18" s="357">
        <f t="shared" si="8"/>
        <v>6905.5292045536553</v>
      </c>
      <c r="N18" s="358">
        <f t="shared" si="8"/>
        <v>11173.524150513695</v>
      </c>
      <c r="O18" s="359">
        <f t="shared" si="9"/>
        <v>145101.47079544634</v>
      </c>
      <c r="R18" s="354"/>
      <c r="S18" s="355">
        <f t="shared" si="10"/>
        <v>2021.5436068594299</v>
      </c>
      <c r="T18" s="356">
        <f t="shared" si="16"/>
        <v>5416.830023231083</v>
      </c>
      <c r="U18" s="357">
        <f t="shared" si="17"/>
        <v>22001.940819129435</v>
      </c>
      <c r="V18" s="358">
        <f t="shared" si="1"/>
        <v>44943.421851685183</v>
      </c>
      <c r="W18" s="359">
        <f t="shared" si="11"/>
        <v>647998.05918087054</v>
      </c>
      <c r="Z18" s="354"/>
      <c r="AA18" s="355" t="e">
        <f t="shared" si="12"/>
        <v>#NUM!</v>
      </c>
      <c r="AB18" s="356" t="e">
        <f t="shared" si="13"/>
        <v>#NUM!</v>
      </c>
      <c r="AC18" s="357" t="e">
        <f t="shared" si="18"/>
        <v>#NUM!</v>
      </c>
      <c r="AD18" s="358" t="e">
        <f t="shared" si="2"/>
        <v>#NUM!</v>
      </c>
      <c r="AE18" s="359" t="e">
        <f t="shared" si="14"/>
        <v>#NUM!</v>
      </c>
    </row>
    <row r="19" spans="2:31" x14ac:dyDescent="0.25">
      <c r="B19" s="354" t="s">
        <v>391</v>
      </c>
      <c r="C19" s="355">
        <f t="shared" si="3"/>
        <v>378.40056996776741</v>
      </c>
      <c r="D19" s="356">
        <f t="shared" si="4"/>
        <v>279.83998604427211</v>
      </c>
      <c r="E19" s="357">
        <f t="shared" si="5"/>
        <v>3700.4033611133527</v>
      </c>
      <c r="F19" s="358">
        <f t="shared" si="5"/>
        <v>2882.0021990070427</v>
      </c>
      <c r="G19" s="359">
        <f t="shared" si="6"/>
        <v>55589.596638886651</v>
      </c>
      <c r="J19" s="354" t="str">
        <f t="shared" si="0"/>
        <v>M10</v>
      </c>
      <c r="K19" s="355">
        <f t="shared" si="7"/>
        <v>799.60478282320832</v>
      </c>
      <c r="L19" s="356">
        <f t="shared" si="15"/>
        <v>1209.1789232953861</v>
      </c>
      <c r="M19" s="357">
        <f t="shared" si="8"/>
        <v>7705.1339873768638</v>
      </c>
      <c r="N19" s="358">
        <f t="shared" si="8"/>
        <v>12382.70307380908</v>
      </c>
      <c r="O19" s="359">
        <f t="shared" si="9"/>
        <v>144301.86601262313</v>
      </c>
      <c r="R19" s="354"/>
      <c r="S19" s="355">
        <f t="shared" si="10"/>
        <v>2038.389803583259</v>
      </c>
      <c r="T19" s="356">
        <f t="shared" si="16"/>
        <v>5399.983826507254</v>
      </c>
      <c r="U19" s="357">
        <f t="shared" si="17"/>
        <v>24040.330622712696</v>
      </c>
      <c r="V19" s="358">
        <f t="shared" si="1"/>
        <v>50343.405678192437</v>
      </c>
      <c r="W19" s="359">
        <f t="shared" si="11"/>
        <v>645959.66937728727</v>
      </c>
      <c r="Z19" s="354"/>
      <c r="AA19" s="355" t="e">
        <f t="shared" si="12"/>
        <v>#NUM!</v>
      </c>
      <c r="AB19" s="356" t="e">
        <f t="shared" si="13"/>
        <v>#NUM!</v>
      </c>
      <c r="AC19" s="357" t="e">
        <f t="shared" si="18"/>
        <v>#NUM!</v>
      </c>
      <c r="AD19" s="358" t="e">
        <f t="shared" si="2"/>
        <v>#NUM!</v>
      </c>
      <c r="AE19" s="359" t="e">
        <f t="shared" si="14"/>
        <v>#NUM!</v>
      </c>
    </row>
    <row r="20" spans="2:31" x14ac:dyDescent="0.25">
      <c r="B20" s="354" t="s">
        <v>392</v>
      </c>
      <c r="C20" s="355">
        <f t="shared" si="3"/>
        <v>380.29257281760624</v>
      </c>
      <c r="D20" s="356">
        <f t="shared" si="4"/>
        <v>277.94798319443328</v>
      </c>
      <c r="E20" s="357">
        <f t="shared" si="5"/>
        <v>4080.6959339309587</v>
      </c>
      <c r="F20" s="358">
        <f t="shared" si="5"/>
        <v>3159.9501822014759</v>
      </c>
      <c r="G20" s="359">
        <f t="shared" si="6"/>
        <v>55209.304066069046</v>
      </c>
      <c r="J20" s="354" t="str">
        <f t="shared" si="0"/>
        <v>M11</v>
      </c>
      <c r="K20" s="355">
        <f t="shared" si="7"/>
        <v>806.26815601340172</v>
      </c>
      <c r="L20" s="356">
        <f t="shared" si="15"/>
        <v>1202.5155501051927</v>
      </c>
      <c r="M20" s="357">
        <f t="shared" si="8"/>
        <v>8511.4021433902653</v>
      </c>
      <c r="N20" s="358">
        <f t="shared" si="8"/>
        <v>13585.218623914272</v>
      </c>
      <c r="O20" s="359">
        <f t="shared" si="9"/>
        <v>143495.59785660973</v>
      </c>
      <c r="R20" s="354"/>
      <c r="S20" s="355">
        <f t="shared" si="10"/>
        <v>2055.3763852797856</v>
      </c>
      <c r="T20" s="356">
        <f t="shared" si="16"/>
        <v>5382.9972448107274</v>
      </c>
      <c r="U20" s="357">
        <f t="shared" si="17"/>
        <v>26095.707007992482</v>
      </c>
      <c r="V20" s="358">
        <f t="shared" si="1"/>
        <v>55726.402923003167</v>
      </c>
      <c r="W20" s="359">
        <f t="shared" si="11"/>
        <v>643904.29299200745</v>
      </c>
      <c r="Z20" s="354"/>
      <c r="AA20" s="355" t="e">
        <f t="shared" si="12"/>
        <v>#NUM!</v>
      </c>
      <c r="AB20" s="356" t="e">
        <f t="shared" si="13"/>
        <v>#NUM!</v>
      </c>
      <c r="AC20" s="357" t="e">
        <f t="shared" si="18"/>
        <v>#NUM!</v>
      </c>
      <c r="AD20" s="358" t="e">
        <f t="shared" si="2"/>
        <v>#NUM!</v>
      </c>
      <c r="AE20" s="359" t="e">
        <f t="shared" si="14"/>
        <v>#NUM!</v>
      </c>
    </row>
    <row r="21" spans="2:31" x14ac:dyDescent="0.25">
      <c r="B21" s="354" t="s">
        <v>393</v>
      </c>
      <c r="C21" s="355">
        <f t="shared" si="3"/>
        <v>382.19403568169429</v>
      </c>
      <c r="D21" s="356">
        <f t="shared" si="4"/>
        <v>276.04652033034523</v>
      </c>
      <c r="E21" s="357">
        <f t="shared" si="5"/>
        <v>4462.8899696126527</v>
      </c>
      <c r="F21" s="358">
        <f t="shared" si="5"/>
        <v>3435.996702531821</v>
      </c>
      <c r="G21" s="359">
        <f t="shared" si="6"/>
        <v>54827.110030387354</v>
      </c>
      <c r="J21" s="354" t="str">
        <f t="shared" si="0"/>
        <v>M12</v>
      </c>
      <c r="K21" s="355">
        <f t="shared" si="7"/>
        <v>812.98705731351333</v>
      </c>
      <c r="L21" s="356">
        <f t="shared" si="15"/>
        <v>1195.7966488050811</v>
      </c>
      <c r="M21" s="357">
        <f t="shared" si="8"/>
        <v>9324.3892007037794</v>
      </c>
      <c r="N21" s="358">
        <f t="shared" si="8"/>
        <v>14781.015272719353</v>
      </c>
      <c r="O21" s="359">
        <f t="shared" si="9"/>
        <v>142682.61079929621</v>
      </c>
      <c r="R21" s="354"/>
      <c r="S21" s="355">
        <f t="shared" si="10"/>
        <v>2072.5045218237847</v>
      </c>
      <c r="T21" s="356">
        <f t="shared" si="16"/>
        <v>5365.8691082667283</v>
      </c>
      <c r="U21" s="357">
        <f t="shared" si="17"/>
        <v>28168.211529816268</v>
      </c>
      <c r="V21" s="358">
        <f t="shared" si="1"/>
        <v>61092.272031269895</v>
      </c>
      <c r="W21" s="359">
        <f t="shared" si="11"/>
        <v>641831.78847018362</v>
      </c>
      <c r="Z21" s="354"/>
      <c r="AA21" s="355" t="e">
        <f t="shared" si="12"/>
        <v>#NUM!</v>
      </c>
      <c r="AB21" s="356" t="e">
        <f t="shared" si="13"/>
        <v>#NUM!</v>
      </c>
      <c r="AC21" s="357" t="e">
        <f t="shared" si="18"/>
        <v>#NUM!</v>
      </c>
      <c r="AD21" s="358" t="e">
        <f t="shared" si="2"/>
        <v>#NUM!</v>
      </c>
      <c r="AE21" s="359" t="e">
        <f t="shared" si="14"/>
        <v>#NUM!</v>
      </c>
    </row>
    <row r="22" spans="2:31" x14ac:dyDescent="0.25">
      <c r="B22" s="354" t="s">
        <v>394</v>
      </c>
      <c r="C22" s="355">
        <f t="shared" si="3"/>
        <v>384.10500586010272</v>
      </c>
      <c r="D22" s="356">
        <f t="shared" si="4"/>
        <v>274.1355501519368</v>
      </c>
      <c r="E22" s="357">
        <f t="shared" si="5"/>
        <v>4846.9949754727559</v>
      </c>
      <c r="F22" s="358">
        <f t="shared" si="5"/>
        <v>3710.132252683758</v>
      </c>
      <c r="G22" s="359">
        <f t="shared" si="6"/>
        <v>54443.00502452725</v>
      </c>
      <c r="J22" s="354" t="str">
        <f t="shared" si="0"/>
        <v>M13</v>
      </c>
      <c r="K22" s="355">
        <f t="shared" si="7"/>
        <v>819.76194945779275</v>
      </c>
      <c r="L22" s="356">
        <f t="shared" si="15"/>
        <v>1189.0217566608017</v>
      </c>
      <c r="M22" s="357">
        <f t="shared" si="8"/>
        <v>10144.151150161571</v>
      </c>
      <c r="N22" s="358">
        <f t="shared" si="8"/>
        <v>15970.037029380153</v>
      </c>
      <c r="O22" s="359">
        <f t="shared" si="9"/>
        <v>141862.84884983842</v>
      </c>
      <c r="R22" s="354"/>
      <c r="S22" s="355">
        <f t="shared" si="10"/>
        <v>2089.775392838983</v>
      </c>
      <c r="T22" s="356">
        <f t="shared" si="16"/>
        <v>5348.59823725153</v>
      </c>
      <c r="U22" s="357">
        <f t="shared" si="17"/>
        <v>30257.986922655251</v>
      </c>
      <c r="V22" s="358">
        <f t="shared" si="1"/>
        <v>66440.870268521423</v>
      </c>
      <c r="W22" s="359">
        <f t="shared" si="11"/>
        <v>639742.01307734463</v>
      </c>
      <c r="Z22" s="354"/>
      <c r="AA22" s="355" t="e">
        <f t="shared" si="12"/>
        <v>#NUM!</v>
      </c>
      <c r="AB22" s="356" t="e">
        <f t="shared" si="13"/>
        <v>#NUM!</v>
      </c>
      <c r="AC22" s="357" t="e">
        <f t="shared" si="18"/>
        <v>#NUM!</v>
      </c>
      <c r="AD22" s="358" t="e">
        <f t="shared" si="2"/>
        <v>#NUM!</v>
      </c>
      <c r="AE22" s="359" t="e">
        <f t="shared" si="14"/>
        <v>#NUM!</v>
      </c>
    </row>
    <row r="23" spans="2:31" x14ac:dyDescent="0.25">
      <c r="B23" s="354" t="s">
        <v>395</v>
      </c>
      <c r="C23" s="355">
        <f t="shared" si="3"/>
        <v>386.02553088940329</v>
      </c>
      <c r="D23" s="356">
        <f t="shared" si="4"/>
        <v>272.21502512263623</v>
      </c>
      <c r="E23" s="357">
        <f t="shared" si="5"/>
        <v>5233.0205063621588</v>
      </c>
      <c r="F23" s="358">
        <f t="shared" si="5"/>
        <v>3982.3472778063942</v>
      </c>
      <c r="G23" s="359">
        <f t="shared" si="6"/>
        <v>54056.979493637846</v>
      </c>
      <c r="J23" s="354" t="str">
        <f t="shared" si="0"/>
        <v>M14</v>
      </c>
      <c r="K23" s="355">
        <f t="shared" si="7"/>
        <v>826.5932990366075</v>
      </c>
      <c r="L23" s="356">
        <f t="shared" si="15"/>
        <v>1182.1904070819869</v>
      </c>
      <c r="M23" s="357">
        <f t="shared" si="8"/>
        <v>10970.744449198179</v>
      </c>
      <c r="N23" s="358">
        <f t="shared" si="8"/>
        <v>17152.227436462141</v>
      </c>
      <c r="O23" s="359">
        <f t="shared" si="9"/>
        <v>141036.25555080181</v>
      </c>
      <c r="R23" s="354"/>
      <c r="S23" s="355">
        <f t="shared" si="10"/>
        <v>2107.190187779308</v>
      </c>
      <c r="T23" s="356">
        <f t="shared" si="16"/>
        <v>5331.183442311205</v>
      </c>
      <c r="U23" s="357">
        <f t="shared" si="17"/>
        <v>32365.177110434561</v>
      </c>
      <c r="V23" s="358">
        <f t="shared" si="1"/>
        <v>71772.053710832624</v>
      </c>
      <c r="W23" s="359">
        <f t="shared" si="11"/>
        <v>637634.82288956537</v>
      </c>
      <c r="Z23" s="354"/>
      <c r="AA23" s="355" t="e">
        <f t="shared" si="12"/>
        <v>#NUM!</v>
      </c>
      <c r="AB23" s="356" t="e">
        <f t="shared" si="13"/>
        <v>#NUM!</v>
      </c>
      <c r="AC23" s="357" t="e">
        <f t="shared" si="18"/>
        <v>#NUM!</v>
      </c>
      <c r="AD23" s="358" t="e">
        <f t="shared" si="2"/>
        <v>#NUM!</v>
      </c>
      <c r="AE23" s="359" t="e">
        <f t="shared" si="14"/>
        <v>#NUM!</v>
      </c>
    </row>
    <row r="24" spans="2:31" x14ac:dyDescent="0.25">
      <c r="B24" s="354" t="s">
        <v>396</v>
      </c>
      <c r="C24" s="355">
        <f t="shared" si="3"/>
        <v>387.95565854385029</v>
      </c>
      <c r="D24" s="356">
        <f t="shared" si="4"/>
        <v>270.28489746818923</v>
      </c>
      <c r="E24" s="357">
        <f t="shared" si="5"/>
        <v>5620.9761649060092</v>
      </c>
      <c r="F24" s="358">
        <f t="shared" si="5"/>
        <v>4252.6321752745835</v>
      </c>
      <c r="G24" s="359">
        <f t="shared" si="6"/>
        <v>53669.023835093998</v>
      </c>
      <c r="J24" s="354" t="str">
        <f t="shared" si="0"/>
        <v>M15</v>
      </c>
      <c r="K24" s="355">
        <f t="shared" si="7"/>
        <v>833.48157652857935</v>
      </c>
      <c r="L24" s="356">
        <f t="shared" si="15"/>
        <v>1175.3021295900151</v>
      </c>
      <c r="M24" s="357">
        <f t="shared" si="8"/>
        <v>11804.226025726759</v>
      </c>
      <c r="N24" s="358">
        <f t="shared" si="8"/>
        <v>18327.529566052155</v>
      </c>
      <c r="O24" s="359">
        <f t="shared" si="9"/>
        <v>140202.77397427324</v>
      </c>
      <c r="R24" s="354"/>
      <c r="S24" s="355">
        <f t="shared" si="10"/>
        <v>2124.7501060108016</v>
      </c>
      <c r="T24" s="356">
        <f t="shared" si="16"/>
        <v>5313.6235240797114</v>
      </c>
      <c r="U24" s="357">
        <f t="shared" si="17"/>
        <v>34489.927216445365</v>
      </c>
      <c r="V24" s="358">
        <f t="shared" si="1"/>
        <v>77085.677234912335</v>
      </c>
      <c r="W24" s="359">
        <f t="shared" si="11"/>
        <v>635510.07278355455</v>
      </c>
      <c r="Z24" s="354"/>
      <c r="AA24" s="355" t="e">
        <f t="shared" si="12"/>
        <v>#NUM!</v>
      </c>
      <c r="AB24" s="356" t="e">
        <f t="shared" si="13"/>
        <v>#NUM!</v>
      </c>
      <c r="AC24" s="357" t="e">
        <f t="shared" si="18"/>
        <v>#NUM!</v>
      </c>
      <c r="AD24" s="358" t="e">
        <f t="shared" si="2"/>
        <v>#NUM!</v>
      </c>
      <c r="AE24" s="359" t="e">
        <f t="shared" si="14"/>
        <v>#NUM!</v>
      </c>
    </row>
    <row r="25" spans="2:31" x14ac:dyDescent="0.25">
      <c r="B25" s="354" t="s">
        <v>397</v>
      </c>
      <c r="C25" s="355">
        <f t="shared" si="3"/>
        <v>389.8954368365695</v>
      </c>
      <c r="D25" s="356">
        <f t="shared" si="4"/>
        <v>268.34511917547002</v>
      </c>
      <c r="E25" s="357">
        <f t="shared" si="5"/>
        <v>6010.8716017425786</v>
      </c>
      <c r="F25" s="358">
        <f t="shared" si="5"/>
        <v>4520.9772944500537</v>
      </c>
      <c r="G25" s="359">
        <f t="shared" si="6"/>
        <v>53279.128398257431</v>
      </c>
      <c r="J25" s="354" t="str">
        <f t="shared" si="0"/>
        <v>M16</v>
      </c>
      <c r="K25" s="355">
        <f t="shared" si="7"/>
        <v>840.42725633298414</v>
      </c>
      <c r="L25" s="356">
        <f t="shared" si="15"/>
        <v>1168.3564497856103</v>
      </c>
      <c r="M25" s="357">
        <f t="shared" si="8"/>
        <v>12644.653282059742</v>
      </c>
      <c r="N25" s="358">
        <f t="shared" si="8"/>
        <v>19495.886015837765</v>
      </c>
      <c r="O25" s="359">
        <f t="shared" si="9"/>
        <v>139362.34671794027</v>
      </c>
      <c r="R25" s="354"/>
      <c r="S25" s="355">
        <f t="shared" si="10"/>
        <v>2142.4563568942249</v>
      </c>
      <c r="T25" s="356">
        <f t="shared" si="16"/>
        <v>5295.9172731962881</v>
      </c>
      <c r="U25" s="357">
        <f t="shared" si="17"/>
        <v>36632.38357333959</v>
      </c>
      <c r="V25" s="358">
        <f t="shared" si="1"/>
        <v>82381.594508108625</v>
      </c>
      <c r="W25" s="359">
        <f t="shared" si="11"/>
        <v>633367.61642666033</v>
      </c>
      <c r="Z25" s="354"/>
      <c r="AA25" s="355" t="e">
        <f t="shared" si="12"/>
        <v>#NUM!</v>
      </c>
      <c r="AB25" s="356" t="e">
        <f t="shared" si="13"/>
        <v>#NUM!</v>
      </c>
      <c r="AC25" s="357" t="e">
        <f t="shared" si="18"/>
        <v>#NUM!</v>
      </c>
      <c r="AD25" s="358" t="e">
        <f t="shared" si="2"/>
        <v>#NUM!</v>
      </c>
      <c r="AE25" s="359" t="e">
        <f t="shared" si="14"/>
        <v>#NUM!</v>
      </c>
    </row>
    <row r="26" spans="2:31" x14ac:dyDescent="0.25">
      <c r="B26" s="354" t="s">
        <v>398</v>
      </c>
      <c r="C26" s="355">
        <f t="shared" si="3"/>
        <v>391.84491402075236</v>
      </c>
      <c r="D26" s="356">
        <f t="shared" si="4"/>
        <v>266.39564199128716</v>
      </c>
      <c r="E26" s="357">
        <f t="shared" si="5"/>
        <v>6402.7165157633308</v>
      </c>
      <c r="F26" s="358">
        <f t="shared" si="5"/>
        <v>4787.3729364413412</v>
      </c>
      <c r="G26" s="359">
        <f t="shared" si="6"/>
        <v>52887.283484236679</v>
      </c>
      <c r="J26" s="354" t="str">
        <f t="shared" si="0"/>
        <v>M17</v>
      </c>
      <c r="K26" s="355">
        <f t="shared" si="7"/>
        <v>847.43081680242562</v>
      </c>
      <c r="L26" s="356">
        <f t="shared" si="15"/>
        <v>1161.3528893161688</v>
      </c>
      <c r="M26" s="357">
        <f t="shared" si="8"/>
        <v>13492.084098862168</v>
      </c>
      <c r="N26" s="358">
        <f t="shared" si="8"/>
        <v>20657.238905153932</v>
      </c>
      <c r="O26" s="359">
        <f t="shared" si="9"/>
        <v>138514.91590113784</v>
      </c>
      <c r="R26" s="354"/>
      <c r="S26" s="355">
        <f t="shared" si="10"/>
        <v>2160.3101598683434</v>
      </c>
      <c r="T26" s="356">
        <f t="shared" si="16"/>
        <v>5278.0634702221696</v>
      </c>
      <c r="U26" s="357">
        <f t="shared" si="17"/>
        <v>38792.693733207932</v>
      </c>
      <c r="V26" s="358">
        <f t="shared" si="1"/>
        <v>87659.657978330797</v>
      </c>
      <c r="W26" s="359">
        <f t="shared" si="11"/>
        <v>631207.306266792</v>
      </c>
      <c r="Z26" s="354"/>
      <c r="AA26" s="355" t="e">
        <f t="shared" si="12"/>
        <v>#NUM!</v>
      </c>
      <c r="AB26" s="356" t="e">
        <f t="shared" si="13"/>
        <v>#NUM!</v>
      </c>
      <c r="AC26" s="357" t="e">
        <f t="shared" si="18"/>
        <v>#NUM!</v>
      </c>
      <c r="AD26" s="358" t="e">
        <f t="shared" si="2"/>
        <v>#NUM!</v>
      </c>
      <c r="AE26" s="359" t="e">
        <f t="shared" si="14"/>
        <v>#NUM!</v>
      </c>
    </row>
    <row r="27" spans="2:31" x14ac:dyDescent="0.25">
      <c r="B27" s="354" t="s">
        <v>399</v>
      </c>
      <c r="C27" s="355">
        <f t="shared" si="3"/>
        <v>393.8041385908561</v>
      </c>
      <c r="D27" s="356">
        <f t="shared" si="4"/>
        <v>264.43641742118342</v>
      </c>
      <c r="E27" s="357">
        <f t="shared" si="5"/>
        <v>6796.5206543541872</v>
      </c>
      <c r="F27" s="358">
        <f t="shared" si="5"/>
        <v>5051.8093538625244</v>
      </c>
      <c r="G27" s="359">
        <f t="shared" si="6"/>
        <v>52493.479345645821</v>
      </c>
      <c r="J27" s="354" t="str">
        <f t="shared" si="0"/>
        <v>M18</v>
      </c>
      <c r="K27" s="355">
        <f t="shared" si="7"/>
        <v>854.49274027577917</v>
      </c>
      <c r="L27" s="356">
        <f t="shared" si="15"/>
        <v>1154.2909658428152</v>
      </c>
      <c r="M27" s="357">
        <f t="shared" si="8"/>
        <v>14346.576839137946</v>
      </c>
      <c r="N27" s="358">
        <f t="shared" si="8"/>
        <v>21811.529870996746</v>
      </c>
      <c r="O27" s="359">
        <f t="shared" si="9"/>
        <v>137660.42316086206</v>
      </c>
      <c r="R27" s="354"/>
      <c r="S27" s="355">
        <f t="shared" si="10"/>
        <v>2178.3127445339132</v>
      </c>
      <c r="T27" s="356">
        <f t="shared" si="16"/>
        <v>5260.0608855565997</v>
      </c>
      <c r="U27" s="357">
        <f t="shared" si="17"/>
        <v>40971.006477741845</v>
      </c>
      <c r="V27" s="358">
        <f t="shared" si="17"/>
        <v>92919.718863887392</v>
      </c>
      <c r="W27" s="359">
        <f t="shared" si="11"/>
        <v>629028.99352225813</v>
      </c>
      <c r="Z27" s="354"/>
      <c r="AA27" s="355" t="e">
        <f t="shared" si="12"/>
        <v>#NUM!</v>
      </c>
      <c r="AB27" s="356" t="e">
        <f t="shared" si="13"/>
        <v>#NUM!</v>
      </c>
      <c r="AC27" s="357" t="e">
        <f t="shared" si="18"/>
        <v>#NUM!</v>
      </c>
      <c r="AD27" s="358" t="e">
        <f t="shared" si="18"/>
        <v>#NUM!</v>
      </c>
      <c r="AE27" s="359" t="e">
        <f t="shared" si="14"/>
        <v>#NUM!</v>
      </c>
    </row>
    <row r="28" spans="2:31" x14ac:dyDescent="0.25">
      <c r="B28" s="354" t="s">
        <v>400</v>
      </c>
      <c r="C28" s="355">
        <f t="shared" si="3"/>
        <v>395.7731592838104</v>
      </c>
      <c r="D28" s="356">
        <f t="shared" si="4"/>
        <v>262.46739672822912</v>
      </c>
      <c r="E28" s="357">
        <f t="shared" ref="E28:F43" si="19">E27+C28</f>
        <v>7192.293813637998</v>
      </c>
      <c r="F28" s="358">
        <f t="shared" si="19"/>
        <v>5314.2767505907532</v>
      </c>
      <c r="G28" s="359">
        <f t="shared" si="6"/>
        <v>52097.706186362011</v>
      </c>
      <c r="J28" s="354" t="str">
        <f t="shared" si="0"/>
        <v>M19</v>
      </c>
      <c r="K28" s="355">
        <f t="shared" si="7"/>
        <v>861.61351311141061</v>
      </c>
      <c r="L28" s="356">
        <f t="shared" si="15"/>
        <v>1147.1701930071838</v>
      </c>
      <c r="M28" s="357">
        <f t="shared" ref="M28:N43" si="20">M27+K28</f>
        <v>15208.190352249356</v>
      </c>
      <c r="N28" s="358">
        <f t="shared" si="20"/>
        <v>22958.70006400393</v>
      </c>
      <c r="O28" s="359">
        <f t="shared" si="9"/>
        <v>136798.80964775066</v>
      </c>
      <c r="R28" s="354"/>
      <c r="S28" s="355">
        <f t="shared" si="10"/>
        <v>2196.4653507383618</v>
      </c>
      <c r="T28" s="356">
        <f t="shared" si="16"/>
        <v>5241.9082793521511</v>
      </c>
      <c r="U28" s="357">
        <f t="shared" si="17"/>
        <v>43167.471828480207</v>
      </c>
      <c r="V28" s="358">
        <f t="shared" si="17"/>
        <v>98161.627143239544</v>
      </c>
      <c r="W28" s="359">
        <f t="shared" si="11"/>
        <v>626832.52817151975</v>
      </c>
      <c r="Z28" s="354"/>
      <c r="AA28" s="355" t="e">
        <f t="shared" si="12"/>
        <v>#NUM!</v>
      </c>
      <c r="AB28" s="356" t="e">
        <f t="shared" si="13"/>
        <v>#NUM!</v>
      </c>
      <c r="AC28" s="357" t="e">
        <f t="shared" si="18"/>
        <v>#NUM!</v>
      </c>
      <c r="AD28" s="358" t="e">
        <f t="shared" si="18"/>
        <v>#NUM!</v>
      </c>
      <c r="AE28" s="359" t="e">
        <f t="shared" si="14"/>
        <v>#NUM!</v>
      </c>
    </row>
    <row r="29" spans="2:31" x14ac:dyDescent="0.25">
      <c r="B29" s="354" t="s">
        <v>401</v>
      </c>
      <c r="C29" s="355">
        <f t="shared" si="3"/>
        <v>397.75202508022949</v>
      </c>
      <c r="D29" s="356">
        <f t="shared" si="4"/>
        <v>260.48853093181003</v>
      </c>
      <c r="E29" s="357">
        <f t="shared" si="19"/>
        <v>7590.045838718228</v>
      </c>
      <c r="F29" s="358">
        <f t="shared" si="19"/>
        <v>5574.7652815225629</v>
      </c>
      <c r="G29" s="359">
        <f t="shared" si="6"/>
        <v>51699.954161281785</v>
      </c>
      <c r="J29" s="354" t="str">
        <f t="shared" si="0"/>
        <v>M20</v>
      </c>
      <c r="K29" s="355">
        <f t="shared" si="7"/>
        <v>868.79362572067225</v>
      </c>
      <c r="L29" s="356">
        <f t="shared" si="15"/>
        <v>1139.9900803979222</v>
      </c>
      <c r="M29" s="357">
        <f t="shared" si="20"/>
        <v>16076.983977970029</v>
      </c>
      <c r="N29" s="358">
        <f t="shared" si="20"/>
        <v>24098.690144401851</v>
      </c>
      <c r="O29" s="359">
        <f t="shared" si="9"/>
        <v>135930.01602203</v>
      </c>
      <c r="R29" s="354"/>
      <c r="S29" s="355">
        <f t="shared" si="10"/>
        <v>2214.7692286611818</v>
      </c>
      <c r="T29" s="356">
        <f t="shared" si="16"/>
        <v>5223.6044014293311</v>
      </c>
      <c r="U29" s="357">
        <f t="shared" si="17"/>
        <v>45382.241057141393</v>
      </c>
      <c r="V29" s="358">
        <f t="shared" si="17"/>
        <v>103385.23154466887</v>
      </c>
      <c r="W29" s="359">
        <f t="shared" si="11"/>
        <v>624617.75894285855</v>
      </c>
      <c r="Z29" s="354"/>
      <c r="AA29" s="355" t="e">
        <f t="shared" si="12"/>
        <v>#NUM!</v>
      </c>
      <c r="AB29" s="356" t="e">
        <f t="shared" si="13"/>
        <v>#NUM!</v>
      </c>
      <c r="AC29" s="357" t="e">
        <f t="shared" si="18"/>
        <v>#NUM!</v>
      </c>
      <c r="AD29" s="358" t="e">
        <f t="shared" si="18"/>
        <v>#NUM!</v>
      </c>
      <c r="AE29" s="359" t="e">
        <f t="shared" si="14"/>
        <v>#NUM!</v>
      </c>
    </row>
    <row r="30" spans="2:31" x14ac:dyDescent="0.25">
      <c r="B30" s="354" t="s">
        <v>402</v>
      </c>
      <c r="C30" s="355">
        <f t="shared" si="3"/>
        <v>399.74078520563057</v>
      </c>
      <c r="D30" s="356">
        <f t="shared" si="4"/>
        <v>258.49977080640895</v>
      </c>
      <c r="E30" s="357">
        <f t="shared" si="19"/>
        <v>7989.7866239238583</v>
      </c>
      <c r="F30" s="358">
        <f t="shared" si="19"/>
        <v>5833.2650523289722</v>
      </c>
      <c r="G30" s="359">
        <f t="shared" si="6"/>
        <v>51300.213376076157</v>
      </c>
      <c r="J30" s="354" t="str">
        <f t="shared" si="0"/>
        <v>M21</v>
      </c>
      <c r="K30" s="355">
        <f t="shared" si="7"/>
        <v>876.03357260167763</v>
      </c>
      <c r="L30" s="356">
        <f t="shared" si="15"/>
        <v>1132.7501335169168</v>
      </c>
      <c r="M30" s="357">
        <f t="shared" si="20"/>
        <v>16953.017550571705</v>
      </c>
      <c r="N30" s="358">
        <f t="shared" si="20"/>
        <v>25231.440277918769</v>
      </c>
      <c r="O30" s="359">
        <f t="shared" si="9"/>
        <v>135053.98244942832</v>
      </c>
      <c r="R30" s="354"/>
      <c r="S30" s="355">
        <f t="shared" si="10"/>
        <v>2233.2256389000249</v>
      </c>
      <c r="T30" s="356">
        <f t="shared" si="16"/>
        <v>5205.147991190488</v>
      </c>
      <c r="U30" s="357">
        <f t="shared" si="17"/>
        <v>47615.466696041418</v>
      </c>
      <c r="V30" s="358">
        <f t="shared" si="17"/>
        <v>108590.37953585936</v>
      </c>
      <c r="W30" s="359">
        <f t="shared" si="11"/>
        <v>622384.53330395848</v>
      </c>
      <c r="Z30" s="354"/>
      <c r="AA30" s="355" t="e">
        <f t="shared" si="12"/>
        <v>#NUM!</v>
      </c>
      <c r="AB30" s="356" t="e">
        <f t="shared" si="13"/>
        <v>#NUM!</v>
      </c>
      <c r="AC30" s="357" t="e">
        <f t="shared" si="18"/>
        <v>#NUM!</v>
      </c>
      <c r="AD30" s="358" t="e">
        <f t="shared" si="18"/>
        <v>#NUM!</v>
      </c>
      <c r="AE30" s="359" t="e">
        <f t="shared" si="14"/>
        <v>#NUM!</v>
      </c>
    </row>
    <row r="31" spans="2:31" x14ac:dyDescent="0.25">
      <c r="B31" s="354" t="s">
        <v>403</v>
      </c>
      <c r="C31" s="355">
        <f t="shared" si="3"/>
        <v>401.73948913165873</v>
      </c>
      <c r="D31" s="356">
        <f t="shared" si="4"/>
        <v>256.50106688038079</v>
      </c>
      <c r="E31" s="357">
        <f t="shared" si="19"/>
        <v>8391.5261130555173</v>
      </c>
      <c r="F31" s="358">
        <f t="shared" si="19"/>
        <v>6089.7661192093528</v>
      </c>
      <c r="G31" s="359">
        <f t="shared" si="6"/>
        <v>50898.473886944499</v>
      </c>
      <c r="J31" s="354" t="str">
        <f t="shared" si="0"/>
        <v>M22</v>
      </c>
      <c r="K31" s="355">
        <f t="shared" si="7"/>
        <v>883.33385237335847</v>
      </c>
      <c r="L31" s="356">
        <f t="shared" si="15"/>
        <v>1125.4498537452359</v>
      </c>
      <c r="M31" s="357">
        <f t="shared" si="20"/>
        <v>17836.351402945063</v>
      </c>
      <c r="N31" s="358">
        <f t="shared" si="20"/>
        <v>26356.890131664004</v>
      </c>
      <c r="O31" s="359">
        <f t="shared" si="9"/>
        <v>134170.64859705497</v>
      </c>
      <c r="R31" s="354"/>
      <c r="S31" s="355">
        <f t="shared" si="10"/>
        <v>2251.8358525575259</v>
      </c>
      <c r="T31" s="356">
        <f t="shared" si="16"/>
        <v>5186.5377775329871</v>
      </c>
      <c r="U31" s="357">
        <f t="shared" si="17"/>
        <v>49867.302548598942</v>
      </c>
      <c r="V31" s="358">
        <f t="shared" si="17"/>
        <v>113776.91731339235</v>
      </c>
      <c r="W31" s="359">
        <f t="shared" si="11"/>
        <v>620132.69745140092</v>
      </c>
      <c r="Z31" s="354"/>
      <c r="AA31" s="355" t="e">
        <f t="shared" si="12"/>
        <v>#NUM!</v>
      </c>
      <c r="AB31" s="356" t="e">
        <f t="shared" si="13"/>
        <v>#NUM!</v>
      </c>
      <c r="AC31" s="357" t="e">
        <f t="shared" si="18"/>
        <v>#NUM!</v>
      </c>
      <c r="AD31" s="358" t="e">
        <f t="shared" si="18"/>
        <v>#NUM!</v>
      </c>
      <c r="AE31" s="359" t="e">
        <f t="shared" si="14"/>
        <v>#NUM!</v>
      </c>
    </row>
    <row r="32" spans="2:31" x14ac:dyDescent="0.25">
      <c r="B32" s="354" t="s">
        <v>404</v>
      </c>
      <c r="C32" s="355">
        <f t="shared" si="3"/>
        <v>403.74818657731703</v>
      </c>
      <c r="D32" s="356">
        <f t="shared" si="4"/>
        <v>254.49236943472249</v>
      </c>
      <c r="E32" s="357">
        <f t="shared" si="19"/>
        <v>8795.2742996328343</v>
      </c>
      <c r="F32" s="358">
        <f t="shared" si="19"/>
        <v>6344.2584886440754</v>
      </c>
      <c r="G32" s="359">
        <f t="shared" si="6"/>
        <v>50494.725700367184</v>
      </c>
      <c r="J32" s="354" t="str">
        <f t="shared" si="0"/>
        <v>M23</v>
      </c>
      <c r="K32" s="355">
        <f t="shared" si="7"/>
        <v>890.69496780980307</v>
      </c>
      <c r="L32" s="356">
        <f t="shared" si="15"/>
        <v>1118.0887383087913</v>
      </c>
      <c r="M32" s="357">
        <f t="shared" si="20"/>
        <v>18727.046370754866</v>
      </c>
      <c r="N32" s="358">
        <f t="shared" si="20"/>
        <v>27474.978869972794</v>
      </c>
      <c r="O32" s="359">
        <f t="shared" si="9"/>
        <v>133279.95362924517</v>
      </c>
      <c r="R32" s="354"/>
      <c r="S32" s="355">
        <f t="shared" si="10"/>
        <v>2270.6011513288386</v>
      </c>
      <c r="T32" s="356">
        <f t="shared" si="16"/>
        <v>5167.7724787616744</v>
      </c>
      <c r="U32" s="357">
        <f t="shared" ref="U32:V47" si="21">U31+S32</f>
        <v>52137.903699927781</v>
      </c>
      <c r="V32" s="358">
        <f t="shared" si="21"/>
        <v>118944.68979215402</v>
      </c>
      <c r="W32" s="359">
        <f t="shared" si="11"/>
        <v>617862.09630007204</v>
      </c>
      <c r="Z32" s="354"/>
      <c r="AA32" s="355" t="e">
        <f t="shared" si="12"/>
        <v>#NUM!</v>
      </c>
      <c r="AB32" s="356" t="e">
        <f t="shared" si="13"/>
        <v>#NUM!</v>
      </c>
      <c r="AC32" s="357" t="e">
        <f t="shared" ref="AC32:AD47" si="22">AC31+AA32</f>
        <v>#NUM!</v>
      </c>
      <c r="AD32" s="358" t="e">
        <f t="shared" si="22"/>
        <v>#NUM!</v>
      </c>
      <c r="AE32" s="359" t="e">
        <f t="shared" si="14"/>
        <v>#NUM!</v>
      </c>
    </row>
    <row r="33" spans="2:31" x14ac:dyDescent="0.25">
      <c r="B33" s="354" t="s">
        <v>405</v>
      </c>
      <c r="C33" s="355">
        <f t="shared" si="3"/>
        <v>405.76692751020357</v>
      </c>
      <c r="D33" s="356">
        <f t="shared" si="4"/>
        <v>252.47362850183592</v>
      </c>
      <c r="E33" s="357">
        <f t="shared" si="19"/>
        <v>9201.0412271430378</v>
      </c>
      <c r="F33" s="358">
        <f t="shared" si="19"/>
        <v>6596.7321171459116</v>
      </c>
      <c r="G33" s="359">
        <f t="shared" si="6"/>
        <v>50088.958772856982</v>
      </c>
      <c r="J33" s="354" t="str">
        <f t="shared" si="0"/>
        <v>M24</v>
      </c>
      <c r="K33" s="355">
        <f t="shared" si="7"/>
        <v>898.1174258748847</v>
      </c>
      <c r="L33" s="356">
        <f t="shared" si="15"/>
        <v>1110.6662802437097</v>
      </c>
      <c r="M33" s="357">
        <f t="shared" si="20"/>
        <v>19625.163796629749</v>
      </c>
      <c r="N33" s="358">
        <f t="shared" si="20"/>
        <v>28585.645150216504</v>
      </c>
      <c r="O33" s="359">
        <f t="shared" si="9"/>
        <v>132381.83620337027</v>
      </c>
      <c r="R33" s="354"/>
      <c r="S33" s="355">
        <f t="shared" si="10"/>
        <v>2289.5228275899126</v>
      </c>
      <c r="T33" s="356">
        <f t="shared" si="16"/>
        <v>5148.8508025006004</v>
      </c>
      <c r="U33" s="357">
        <f t="shared" si="21"/>
        <v>54427.426527517695</v>
      </c>
      <c r="V33" s="358">
        <f t="shared" si="21"/>
        <v>124093.54059465462</v>
      </c>
      <c r="W33" s="359">
        <f t="shared" si="11"/>
        <v>615572.57347248215</v>
      </c>
      <c r="Z33" s="354"/>
      <c r="AA33" s="355" t="e">
        <f t="shared" si="12"/>
        <v>#NUM!</v>
      </c>
      <c r="AB33" s="356" t="e">
        <f t="shared" si="13"/>
        <v>#NUM!</v>
      </c>
      <c r="AC33" s="357" t="e">
        <f t="shared" si="22"/>
        <v>#NUM!</v>
      </c>
      <c r="AD33" s="358" t="e">
        <f t="shared" si="22"/>
        <v>#NUM!</v>
      </c>
      <c r="AE33" s="359" t="e">
        <f t="shared" si="14"/>
        <v>#NUM!</v>
      </c>
    </row>
    <row r="34" spans="2:31" x14ac:dyDescent="0.25">
      <c r="B34" s="354" t="s">
        <v>406</v>
      </c>
      <c r="C34" s="355">
        <f t="shared" si="3"/>
        <v>407.7957621477546</v>
      </c>
      <c r="D34" s="356">
        <f t="shared" si="4"/>
        <v>250.44479386428492</v>
      </c>
      <c r="E34" s="357">
        <f t="shared" si="19"/>
        <v>9608.8369892907922</v>
      </c>
      <c r="F34" s="358">
        <f t="shared" si="19"/>
        <v>6847.1769110101968</v>
      </c>
      <c r="G34" s="359">
        <f t="shared" si="6"/>
        <v>49681.163010709228</v>
      </c>
      <c r="J34" s="354" t="str">
        <f t="shared" si="0"/>
        <v>M25</v>
      </c>
      <c r="K34" s="355">
        <f t="shared" si="7"/>
        <v>905.60173775717544</v>
      </c>
      <c r="L34" s="356">
        <f t="shared" si="15"/>
        <v>1103.181968361419</v>
      </c>
      <c r="M34" s="357">
        <f t="shared" si="20"/>
        <v>20530.765534386926</v>
      </c>
      <c r="N34" s="358">
        <f t="shared" si="20"/>
        <v>29688.827118577923</v>
      </c>
      <c r="O34" s="359">
        <f t="shared" si="9"/>
        <v>131476.23446561309</v>
      </c>
      <c r="R34" s="354"/>
      <c r="S34" s="355">
        <f t="shared" si="10"/>
        <v>2308.6021844864954</v>
      </c>
      <c r="T34" s="356">
        <f t="shared" si="16"/>
        <v>5129.7714456040176</v>
      </c>
      <c r="U34" s="357">
        <f t="shared" si="21"/>
        <v>56736.02871200419</v>
      </c>
      <c r="V34" s="358">
        <f t="shared" si="21"/>
        <v>129223.31204025864</v>
      </c>
      <c r="W34" s="359">
        <f t="shared" si="11"/>
        <v>613263.97128799569</v>
      </c>
      <c r="Z34" s="354"/>
      <c r="AA34" s="355" t="e">
        <f t="shared" si="12"/>
        <v>#NUM!</v>
      </c>
      <c r="AB34" s="356" t="e">
        <f t="shared" si="13"/>
        <v>#NUM!</v>
      </c>
      <c r="AC34" s="357" t="e">
        <f t="shared" si="22"/>
        <v>#NUM!</v>
      </c>
      <c r="AD34" s="358" t="e">
        <f t="shared" si="22"/>
        <v>#NUM!</v>
      </c>
      <c r="AE34" s="359" t="e">
        <f t="shared" si="14"/>
        <v>#NUM!</v>
      </c>
    </row>
    <row r="35" spans="2:31" x14ac:dyDescent="0.25">
      <c r="B35" s="354" t="s">
        <v>407</v>
      </c>
      <c r="C35" s="355">
        <f t="shared" si="3"/>
        <v>409.8347409584934</v>
      </c>
      <c r="D35" s="356">
        <f t="shared" si="4"/>
        <v>248.40581505354615</v>
      </c>
      <c r="E35" s="357">
        <f t="shared" si="19"/>
        <v>10018.671730249285</v>
      </c>
      <c r="F35" s="358">
        <f t="shared" si="19"/>
        <v>7095.5827260637434</v>
      </c>
      <c r="G35" s="359">
        <f t="shared" si="6"/>
        <v>49271.328269750731</v>
      </c>
      <c r="J35" s="354" t="str">
        <f t="shared" si="0"/>
        <v>M26</v>
      </c>
      <c r="K35" s="355">
        <f t="shared" si="7"/>
        <v>913.14841890515208</v>
      </c>
      <c r="L35" s="356">
        <f t="shared" si="15"/>
        <v>1095.6352872134423</v>
      </c>
      <c r="M35" s="357">
        <f t="shared" si="20"/>
        <v>21443.913953292078</v>
      </c>
      <c r="N35" s="358">
        <f t="shared" si="20"/>
        <v>30784.462405791364</v>
      </c>
      <c r="O35" s="359">
        <f t="shared" si="9"/>
        <v>130563.08604670793</v>
      </c>
      <c r="R35" s="354"/>
      <c r="S35" s="355">
        <f t="shared" si="10"/>
        <v>2327.8405360238821</v>
      </c>
      <c r="T35" s="356">
        <f t="shared" si="16"/>
        <v>5110.5330940666308</v>
      </c>
      <c r="U35" s="357">
        <f t="shared" si="21"/>
        <v>59063.869248028073</v>
      </c>
      <c r="V35" s="358">
        <f t="shared" si="21"/>
        <v>134333.84513432527</v>
      </c>
      <c r="W35" s="359">
        <f t="shared" si="11"/>
        <v>610936.13075197185</v>
      </c>
      <c r="Z35" s="354"/>
      <c r="AA35" s="355" t="e">
        <f t="shared" si="12"/>
        <v>#NUM!</v>
      </c>
      <c r="AB35" s="356" t="e">
        <f t="shared" si="13"/>
        <v>#NUM!</v>
      </c>
      <c r="AC35" s="357" t="e">
        <f t="shared" si="22"/>
        <v>#NUM!</v>
      </c>
      <c r="AD35" s="358" t="e">
        <f t="shared" si="22"/>
        <v>#NUM!</v>
      </c>
      <c r="AE35" s="359" t="e">
        <f t="shared" si="14"/>
        <v>#NUM!</v>
      </c>
    </row>
    <row r="36" spans="2:31" x14ac:dyDescent="0.25">
      <c r="B36" s="354" t="s">
        <v>408</v>
      </c>
      <c r="C36" s="355">
        <f t="shared" si="3"/>
        <v>411.88391466328585</v>
      </c>
      <c r="D36" s="356">
        <f t="shared" si="4"/>
        <v>246.35664134875367</v>
      </c>
      <c r="E36" s="357">
        <f t="shared" si="19"/>
        <v>10430.555644912571</v>
      </c>
      <c r="F36" s="358">
        <f t="shared" si="19"/>
        <v>7341.9393674124967</v>
      </c>
      <c r="G36" s="359">
        <f t="shared" si="6"/>
        <v>48859.444355087442</v>
      </c>
      <c r="J36" s="354" t="str">
        <f t="shared" si="0"/>
        <v>M27</v>
      </c>
      <c r="K36" s="355">
        <f t="shared" si="7"/>
        <v>920.75798906269506</v>
      </c>
      <c r="L36" s="356">
        <f t="shared" si="15"/>
        <v>1088.0257170558993</v>
      </c>
      <c r="M36" s="357">
        <f t="shared" si="20"/>
        <v>22364.671942354773</v>
      </c>
      <c r="N36" s="358">
        <f t="shared" si="20"/>
        <v>31872.488122847262</v>
      </c>
      <c r="O36" s="359">
        <f t="shared" si="9"/>
        <v>129642.32805764524</v>
      </c>
      <c r="R36" s="354"/>
      <c r="S36" s="355">
        <f t="shared" si="10"/>
        <v>2347.2392071574141</v>
      </c>
      <c r="T36" s="356">
        <f t="shared" si="16"/>
        <v>5091.1344229330989</v>
      </c>
      <c r="U36" s="357">
        <f t="shared" si="21"/>
        <v>61411.108455185487</v>
      </c>
      <c r="V36" s="358">
        <f t="shared" si="21"/>
        <v>139424.97955725837</v>
      </c>
      <c r="W36" s="359">
        <f t="shared" si="11"/>
        <v>608588.89154481445</v>
      </c>
      <c r="Z36" s="354"/>
      <c r="AA36" s="355" t="e">
        <f t="shared" si="12"/>
        <v>#NUM!</v>
      </c>
      <c r="AB36" s="356" t="e">
        <f t="shared" si="13"/>
        <v>#NUM!</v>
      </c>
      <c r="AC36" s="357" t="e">
        <f t="shared" si="22"/>
        <v>#NUM!</v>
      </c>
      <c r="AD36" s="358" t="e">
        <f t="shared" si="22"/>
        <v>#NUM!</v>
      </c>
      <c r="AE36" s="359" t="e">
        <f t="shared" si="14"/>
        <v>#NUM!</v>
      </c>
    </row>
    <row r="37" spans="2:31" x14ac:dyDescent="0.25">
      <c r="B37" s="354" t="s">
        <v>409</v>
      </c>
      <c r="C37" s="355" t="e">
        <f t="shared" si="3"/>
        <v>#VALUE!</v>
      </c>
      <c r="D37" s="356" t="e">
        <f>B6*B37/I5</f>
        <v>#VALUE!</v>
      </c>
      <c r="E37" s="357" t="e">
        <f t="shared" si="19"/>
        <v>#VALUE!</v>
      </c>
      <c r="F37" s="358" t="e">
        <f t="shared" si="19"/>
        <v>#VALUE!</v>
      </c>
      <c r="G37" s="359" t="e">
        <f t="shared" si="6"/>
        <v>#VALUE!</v>
      </c>
      <c r="J37" s="354" t="str">
        <f t="shared" si="0"/>
        <v>M28</v>
      </c>
      <c r="K37" s="355">
        <f t="shared" si="7"/>
        <v>928.43097230488411</v>
      </c>
      <c r="L37" s="356">
        <f t="shared" si="15"/>
        <v>1080.3527338137103</v>
      </c>
      <c r="M37" s="357">
        <f t="shared" si="20"/>
        <v>23293.102914659656</v>
      </c>
      <c r="N37" s="358">
        <f t="shared" si="20"/>
        <v>32952.840856660972</v>
      </c>
      <c r="O37" s="359">
        <f t="shared" si="9"/>
        <v>128713.89708534036</v>
      </c>
      <c r="R37" s="354"/>
      <c r="S37" s="355">
        <f t="shared" si="10"/>
        <v>2366.7995338837263</v>
      </c>
      <c r="T37" s="356">
        <f t="shared" si="16"/>
        <v>5071.5740962067866</v>
      </c>
      <c r="U37" s="357">
        <f t="shared" si="21"/>
        <v>63777.907989069216</v>
      </c>
      <c r="V37" s="358">
        <f t="shared" si="21"/>
        <v>144496.55365346515</v>
      </c>
      <c r="W37" s="359">
        <f t="shared" si="11"/>
        <v>606222.09201093076</v>
      </c>
      <c r="Z37" s="354"/>
      <c r="AA37" s="355" t="e">
        <f t="shared" si="12"/>
        <v>#NUM!</v>
      </c>
      <c r="AB37" s="356" t="e">
        <f t="shared" si="13"/>
        <v>#NUM!</v>
      </c>
      <c r="AC37" s="357" t="e">
        <f t="shared" si="22"/>
        <v>#NUM!</v>
      </c>
      <c r="AD37" s="358" t="e">
        <f t="shared" si="22"/>
        <v>#NUM!</v>
      </c>
      <c r="AE37" s="359" t="e">
        <f t="shared" si="14"/>
        <v>#NUM!</v>
      </c>
    </row>
    <row r="38" spans="2:31" x14ac:dyDescent="0.25">
      <c r="B38" s="354" t="s">
        <v>410</v>
      </c>
      <c r="C38" s="355" t="e">
        <f t="shared" si="3"/>
        <v>#VALUE!</v>
      </c>
      <c r="D38" s="356" t="e">
        <f>H14*B38/I5</f>
        <v>#VALUE!</v>
      </c>
      <c r="E38" s="357" t="e">
        <f t="shared" si="19"/>
        <v>#VALUE!</v>
      </c>
      <c r="F38" s="358" t="e">
        <f t="shared" si="19"/>
        <v>#VALUE!</v>
      </c>
      <c r="G38" s="359" t="e">
        <f t="shared" si="6"/>
        <v>#VALUE!</v>
      </c>
      <c r="J38" s="354" t="str">
        <f t="shared" si="0"/>
        <v>M29</v>
      </c>
      <c r="K38" s="355">
        <f t="shared" si="7"/>
        <v>936.16789707409134</v>
      </c>
      <c r="L38" s="356">
        <f t="shared" si="15"/>
        <v>1072.6158090445031</v>
      </c>
      <c r="M38" s="357">
        <f t="shared" si="20"/>
        <v>24229.270811733746</v>
      </c>
      <c r="N38" s="358">
        <f t="shared" si="20"/>
        <v>34025.456665705475</v>
      </c>
      <c r="O38" s="359">
        <f t="shared" si="9"/>
        <v>127777.72918826627</v>
      </c>
      <c r="R38" s="354"/>
      <c r="S38" s="355">
        <f t="shared" si="10"/>
        <v>2386.522863332757</v>
      </c>
      <c r="T38" s="356">
        <f t="shared" si="16"/>
        <v>5051.850766757756</v>
      </c>
      <c r="U38" s="357">
        <f t="shared" si="21"/>
        <v>66164.430852401973</v>
      </c>
      <c r="V38" s="358">
        <f t="shared" si="21"/>
        <v>149548.40442022291</v>
      </c>
      <c r="W38" s="359">
        <f t="shared" si="11"/>
        <v>603835.569147598</v>
      </c>
      <c r="Z38" s="354"/>
      <c r="AA38" s="355" t="e">
        <f t="shared" si="12"/>
        <v>#NUM!</v>
      </c>
      <c r="AB38" s="356" t="e">
        <f t="shared" si="13"/>
        <v>#NUM!</v>
      </c>
      <c r="AC38" s="357" t="e">
        <f t="shared" si="22"/>
        <v>#NUM!</v>
      </c>
      <c r="AD38" s="358" t="e">
        <f t="shared" si="22"/>
        <v>#NUM!</v>
      </c>
      <c r="AE38" s="359" t="e">
        <f t="shared" si="14"/>
        <v>#NUM!</v>
      </c>
    </row>
    <row r="39" spans="2:31" x14ac:dyDescent="0.25">
      <c r="B39" s="354" t="s">
        <v>411</v>
      </c>
      <c r="C39" s="355" t="e">
        <f t="shared" si="3"/>
        <v>#VALUE!</v>
      </c>
      <c r="D39" s="356" t="e">
        <v>#VALUE!</v>
      </c>
      <c r="E39" s="357" t="e">
        <f t="shared" si="19"/>
        <v>#VALUE!</v>
      </c>
      <c r="F39" s="358" t="e">
        <f t="shared" si="19"/>
        <v>#VALUE!</v>
      </c>
      <c r="G39" s="359" t="e">
        <f t="shared" si="6"/>
        <v>#VALUE!</v>
      </c>
      <c r="J39" s="354" t="str">
        <f t="shared" si="0"/>
        <v>M30</v>
      </c>
      <c r="K39" s="355">
        <f t="shared" si="7"/>
        <v>943.9692962163756</v>
      </c>
      <c r="L39" s="356">
        <f t="shared" si="15"/>
        <v>1064.8144099022188</v>
      </c>
      <c r="M39" s="357">
        <f t="shared" si="20"/>
        <v>25173.240107950121</v>
      </c>
      <c r="N39" s="358">
        <f t="shared" si="20"/>
        <v>35090.271075607692</v>
      </c>
      <c r="O39" s="359">
        <f t="shared" si="9"/>
        <v>126833.75989204989</v>
      </c>
      <c r="R39" s="354"/>
      <c r="S39" s="355">
        <f t="shared" si="10"/>
        <v>2406.4105538605299</v>
      </c>
      <c r="T39" s="356">
        <f t="shared" si="16"/>
        <v>5031.963076229983</v>
      </c>
      <c r="U39" s="357">
        <f t="shared" si="21"/>
        <v>68570.841406262509</v>
      </c>
      <c r="V39" s="358">
        <f t="shared" si="21"/>
        <v>154580.36749645291</v>
      </c>
      <c r="W39" s="359">
        <f t="shared" si="11"/>
        <v>601429.15859373752</v>
      </c>
      <c r="Z39" s="354"/>
      <c r="AA39" s="355" t="e">
        <f t="shared" si="12"/>
        <v>#NUM!</v>
      </c>
      <c r="AB39" s="356" t="e">
        <f t="shared" si="13"/>
        <v>#NUM!</v>
      </c>
      <c r="AC39" s="357" t="e">
        <f t="shared" si="22"/>
        <v>#NUM!</v>
      </c>
      <c r="AD39" s="358" t="e">
        <f t="shared" si="22"/>
        <v>#NUM!</v>
      </c>
      <c r="AE39" s="359" t="e">
        <f t="shared" si="14"/>
        <v>#NUM!</v>
      </c>
    </row>
    <row r="40" spans="2:31" x14ac:dyDescent="0.25">
      <c r="B40" s="354" t="s">
        <v>412</v>
      </c>
      <c r="C40" s="355" t="e">
        <f t="shared" si="3"/>
        <v>#VALUE!</v>
      </c>
      <c r="D40" s="356" t="e">
        <f t="shared" si="4"/>
        <v>#VALUE!</v>
      </c>
      <c r="E40" s="357" t="e">
        <f t="shared" si="19"/>
        <v>#VALUE!</v>
      </c>
      <c r="F40" s="358" t="e">
        <f t="shared" si="19"/>
        <v>#VALUE!</v>
      </c>
      <c r="G40" s="359" t="e">
        <f t="shared" si="6"/>
        <v>#VALUE!</v>
      </c>
      <c r="J40" s="354" t="str">
        <f t="shared" si="0"/>
        <v>M31</v>
      </c>
      <c r="K40" s="355">
        <f t="shared" si="7"/>
        <v>951.83570701817871</v>
      </c>
      <c r="L40" s="356">
        <f t="shared" si="15"/>
        <v>1056.9479991004157</v>
      </c>
      <c r="M40" s="357">
        <f t="shared" si="20"/>
        <v>26125.075814968299</v>
      </c>
      <c r="N40" s="358">
        <f t="shared" si="20"/>
        <v>36147.219074708111</v>
      </c>
      <c r="O40" s="359">
        <f t="shared" si="9"/>
        <v>125881.9241850317</v>
      </c>
      <c r="R40" s="354"/>
      <c r="S40" s="355">
        <f t="shared" si="10"/>
        <v>2426.4639751427003</v>
      </c>
      <c r="T40" s="356">
        <f t="shared" si="16"/>
        <v>5011.9096549478127</v>
      </c>
      <c r="U40" s="357">
        <f t="shared" si="21"/>
        <v>70997.305381405211</v>
      </c>
      <c r="V40" s="358">
        <f t="shared" si="21"/>
        <v>159592.27715140072</v>
      </c>
      <c r="W40" s="359">
        <f t="shared" si="11"/>
        <v>599002.69461859483</v>
      </c>
      <c r="Z40" s="354"/>
      <c r="AA40" s="355" t="e">
        <f t="shared" si="12"/>
        <v>#NUM!</v>
      </c>
      <c r="AB40" s="356" t="e">
        <f t="shared" si="13"/>
        <v>#NUM!</v>
      </c>
      <c r="AC40" s="357" t="e">
        <f t="shared" si="22"/>
        <v>#NUM!</v>
      </c>
      <c r="AD40" s="358" t="e">
        <f t="shared" si="22"/>
        <v>#NUM!</v>
      </c>
      <c r="AE40" s="359" t="e">
        <f t="shared" si="14"/>
        <v>#NUM!</v>
      </c>
    </row>
    <row r="41" spans="2:31" x14ac:dyDescent="0.25">
      <c r="B41" s="354" t="s">
        <v>413</v>
      </c>
      <c r="C41" s="355" t="e">
        <f t="shared" si="3"/>
        <v>#VALUE!</v>
      </c>
      <c r="D41" s="356" t="e">
        <f t="shared" si="4"/>
        <v>#VALUE!</v>
      </c>
      <c r="E41" s="357" t="e">
        <f t="shared" si="19"/>
        <v>#VALUE!</v>
      </c>
      <c r="F41" s="358" t="e">
        <f t="shared" si="19"/>
        <v>#VALUE!</v>
      </c>
      <c r="G41" s="359" t="e">
        <f t="shared" si="6"/>
        <v>#VALUE!</v>
      </c>
      <c r="J41" s="354" t="str">
        <f t="shared" si="0"/>
        <v>M32</v>
      </c>
      <c r="K41" s="355">
        <f t="shared" si="7"/>
        <v>959.76767124333014</v>
      </c>
      <c r="L41" s="356">
        <f t="shared" si="15"/>
        <v>1049.0160348752643</v>
      </c>
      <c r="M41" s="357">
        <f t="shared" si="20"/>
        <v>27084.84348621163</v>
      </c>
      <c r="N41" s="358">
        <f t="shared" si="20"/>
        <v>37196.235109583373</v>
      </c>
      <c r="O41" s="359">
        <f t="shared" si="9"/>
        <v>124922.15651378837</v>
      </c>
      <c r="R41" s="354"/>
      <c r="S41" s="355">
        <f t="shared" si="10"/>
        <v>2446.6845082688897</v>
      </c>
      <c r="T41" s="356">
        <f t="shared" si="16"/>
        <v>4991.6891218216233</v>
      </c>
      <c r="U41" s="357">
        <f t="shared" si="21"/>
        <v>73443.989889674107</v>
      </c>
      <c r="V41" s="358">
        <f t="shared" si="21"/>
        <v>164583.96627322235</v>
      </c>
      <c r="W41" s="359">
        <f t="shared" si="11"/>
        <v>596556.01011032599</v>
      </c>
      <c r="Z41" s="354"/>
      <c r="AA41" s="355" t="e">
        <f t="shared" si="12"/>
        <v>#NUM!</v>
      </c>
      <c r="AB41" s="356" t="e">
        <f t="shared" si="13"/>
        <v>#NUM!</v>
      </c>
      <c r="AC41" s="357" t="e">
        <f t="shared" si="22"/>
        <v>#NUM!</v>
      </c>
      <c r="AD41" s="358" t="e">
        <f t="shared" si="22"/>
        <v>#NUM!</v>
      </c>
      <c r="AE41" s="359" t="e">
        <f t="shared" si="14"/>
        <v>#NUM!</v>
      </c>
    </row>
    <row r="42" spans="2:31" x14ac:dyDescent="0.25">
      <c r="B42" s="354" t="s">
        <v>414</v>
      </c>
      <c r="C42" s="355" t="e">
        <f t="shared" si="3"/>
        <v>#VALUE!</v>
      </c>
      <c r="D42" s="356" t="e">
        <f t="shared" si="4"/>
        <v>#VALUE!</v>
      </c>
      <c r="E42" s="357" t="e">
        <f t="shared" si="19"/>
        <v>#VALUE!</v>
      </c>
      <c r="F42" s="358" t="e">
        <f t="shared" si="19"/>
        <v>#VALUE!</v>
      </c>
      <c r="G42" s="359" t="e">
        <f t="shared" si="6"/>
        <v>#VALUE!</v>
      </c>
      <c r="J42" s="354" t="str">
        <f t="shared" si="0"/>
        <v>M33</v>
      </c>
      <c r="K42" s="355">
        <f t="shared" si="7"/>
        <v>967.76573517035808</v>
      </c>
      <c r="L42" s="356">
        <f t="shared" si="15"/>
        <v>1041.0179709482363</v>
      </c>
      <c r="M42" s="357">
        <f t="shared" si="20"/>
        <v>28052.609221381987</v>
      </c>
      <c r="N42" s="358">
        <f t="shared" si="20"/>
        <v>38237.253080531606</v>
      </c>
      <c r="O42" s="359">
        <f t="shared" si="9"/>
        <v>123954.39077861802</v>
      </c>
      <c r="R42" s="354"/>
      <c r="S42" s="355">
        <f t="shared" si="10"/>
        <v>2467.0735458377967</v>
      </c>
      <c r="T42" s="356">
        <f t="shared" si="16"/>
        <v>4971.3000842527163</v>
      </c>
      <c r="U42" s="357">
        <f t="shared" si="21"/>
        <v>75911.063435511896</v>
      </c>
      <c r="V42" s="358">
        <f t="shared" si="21"/>
        <v>169555.26635747508</v>
      </c>
      <c r="W42" s="359">
        <f t="shared" si="11"/>
        <v>594088.93656448822</v>
      </c>
      <c r="Z42" s="354"/>
      <c r="AA42" s="355" t="e">
        <f t="shared" si="12"/>
        <v>#NUM!</v>
      </c>
      <c r="AB42" s="356" t="e">
        <f t="shared" si="13"/>
        <v>#NUM!</v>
      </c>
      <c r="AC42" s="357" t="e">
        <f t="shared" si="22"/>
        <v>#NUM!</v>
      </c>
      <c r="AD42" s="358" t="e">
        <f t="shared" si="22"/>
        <v>#NUM!</v>
      </c>
      <c r="AE42" s="359" t="e">
        <f t="shared" si="14"/>
        <v>#NUM!</v>
      </c>
    </row>
    <row r="43" spans="2:31" x14ac:dyDescent="0.25">
      <c r="B43" s="354" t="s">
        <v>415</v>
      </c>
      <c r="C43" s="355" t="e">
        <f t="shared" si="3"/>
        <v>#VALUE!</v>
      </c>
      <c r="D43" s="356" t="e">
        <f t="shared" si="4"/>
        <v>#VALUE!</v>
      </c>
      <c r="E43" s="357" t="e">
        <f t="shared" si="19"/>
        <v>#VALUE!</v>
      </c>
      <c r="F43" s="358" t="e">
        <f t="shared" si="19"/>
        <v>#VALUE!</v>
      </c>
      <c r="G43" s="359" t="e">
        <f t="shared" si="6"/>
        <v>#VALUE!</v>
      </c>
      <c r="J43" s="354" t="str">
        <f t="shared" si="0"/>
        <v>M34</v>
      </c>
      <c r="K43" s="355">
        <f t="shared" si="7"/>
        <v>975.83044963011093</v>
      </c>
      <c r="L43" s="356">
        <f t="shared" si="15"/>
        <v>1032.9532564884835</v>
      </c>
      <c r="M43" s="357">
        <f t="shared" si="20"/>
        <v>29028.439671012096</v>
      </c>
      <c r="N43" s="358">
        <f t="shared" si="20"/>
        <v>39270.206337020092</v>
      </c>
      <c r="O43" s="359">
        <f t="shared" si="9"/>
        <v>122978.56032898791</v>
      </c>
      <c r="R43" s="354"/>
      <c r="S43" s="355">
        <f t="shared" si="10"/>
        <v>2487.6324920531115</v>
      </c>
      <c r="T43" s="356">
        <f t="shared" si="16"/>
        <v>4950.7411380374015</v>
      </c>
      <c r="U43" s="357">
        <f t="shared" si="21"/>
        <v>78398.695927565015</v>
      </c>
      <c r="V43" s="358">
        <f t="shared" si="21"/>
        <v>174506.00749551249</v>
      </c>
      <c r="W43" s="359">
        <f t="shared" si="11"/>
        <v>591601.30407243513</v>
      </c>
      <c r="Z43" s="354"/>
      <c r="AA43" s="355" t="e">
        <f t="shared" si="12"/>
        <v>#NUM!</v>
      </c>
      <c r="AB43" s="356" t="e">
        <f t="shared" si="13"/>
        <v>#NUM!</v>
      </c>
      <c r="AC43" s="357" t="e">
        <f t="shared" si="22"/>
        <v>#NUM!</v>
      </c>
      <c r="AD43" s="358" t="e">
        <f t="shared" si="22"/>
        <v>#NUM!</v>
      </c>
      <c r="AE43" s="359" t="e">
        <f t="shared" si="14"/>
        <v>#NUM!</v>
      </c>
    </row>
    <row r="44" spans="2:31" x14ac:dyDescent="0.25">
      <c r="B44" s="354" t="s">
        <v>416</v>
      </c>
      <c r="C44" s="355" t="e">
        <f t="shared" si="3"/>
        <v>#VALUE!</v>
      </c>
      <c r="D44" s="356" t="e">
        <f t="shared" si="4"/>
        <v>#VALUE!</v>
      </c>
      <c r="E44" s="357" t="e">
        <f t="shared" ref="E44:F59" si="23">E43+C44</f>
        <v>#VALUE!</v>
      </c>
      <c r="F44" s="358" t="e">
        <f t="shared" si="23"/>
        <v>#VALUE!</v>
      </c>
      <c r="G44" s="359" t="e">
        <f t="shared" si="6"/>
        <v>#VALUE!</v>
      </c>
      <c r="J44" s="354" t="str">
        <f t="shared" si="0"/>
        <v>M35</v>
      </c>
      <c r="K44" s="355">
        <f t="shared" si="7"/>
        <v>983.96237004369527</v>
      </c>
      <c r="L44" s="356">
        <f t="shared" si="15"/>
        <v>1024.8213360748991</v>
      </c>
      <c r="M44" s="357">
        <f t="shared" ref="M44:N59" si="24">M43+K44</f>
        <v>30012.402041055793</v>
      </c>
      <c r="N44" s="358">
        <f t="shared" si="24"/>
        <v>40295.027673094992</v>
      </c>
      <c r="O44" s="359">
        <f t="shared" si="9"/>
        <v>121994.59795894421</v>
      </c>
      <c r="R44" s="354"/>
      <c r="S44" s="355">
        <f t="shared" si="10"/>
        <v>2508.3627628202203</v>
      </c>
      <c r="T44" s="356">
        <f t="shared" si="16"/>
        <v>4930.0108672702927</v>
      </c>
      <c r="U44" s="357">
        <f t="shared" si="21"/>
        <v>80907.058690385238</v>
      </c>
      <c r="V44" s="358">
        <f t="shared" si="21"/>
        <v>179436.01836278278</v>
      </c>
      <c r="W44" s="359">
        <f t="shared" si="11"/>
        <v>589092.94130961492</v>
      </c>
      <c r="Z44" s="354"/>
      <c r="AA44" s="355" t="e">
        <f t="shared" si="12"/>
        <v>#NUM!</v>
      </c>
      <c r="AB44" s="356" t="e">
        <f t="shared" si="13"/>
        <v>#NUM!</v>
      </c>
      <c r="AC44" s="357" t="e">
        <f t="shared" si="22"/>
        <v>#NUM!</v>
      </c>
      <c r="AD44" s="358" t="e">
        <f t="shared" si="22"/>
        <v>#NUM!</v>
      </c>
      <c r="AE44" s="359" t="e">
        <f t="shared" si="14"/>
        <v>#NUM!</v>
      </c>
    </row>
    <row r="45" spans="2:31" x14ac:dyDescent="0.25">
      <c r="B45" s="354" t="s">
        <v>417</v>
      </c>
      <c r="C45" s="355" t="e">
        <f t="shared" si="3"/>
        <v>#VALUE!</v>
      </c>
      <c r="D45" s="356" t="e">
        <f t="shared" si="4"/>
        <v>#VALUE!</v>
      </c>
      <c r="E45" s="357" t="e">
        <f t="shared" si="23"/>
        <v>#VALUE!</v>
      </c>
      <c r="F45" s="358" t="e">
        <f t="shared" si="23"/>
        <v>#VALUE!</v>
      </c>
      <c r="G45" s="359" t="e">
        <f t="shared" si="6"/>
        <v>#VALUE!</v>
      </c>
      <c r="J45" s="354" t="str">
        <f t="shared" si="0"/>
        <v>M36</v>
      </c>
      <c r="K45" s="355">
        <f t="shared" si="7"/>
        <v>992.16205646072592</v>
      </c>
      <c r="L45" s="356">
        <f t="shared" si="15"/>
        <v>1016.6216496578685</v>
      </c>
      <c r="M45" s="357">
        <f t="shared" si="24"/>
        <v>31004.564097516519</v>
      </c>
      <c r="N45" s="358">
        <f t="shared" si="24"/>
        <v>41311.649322752863</v>
      </c>
      <c r="O45" s="359">
        <f t="shared" si="9"/>
        <v>121002.43590248348</v>
      </c>
      <c r="R45" s="354"/>
      <c r="S45" s="355">
        <f t="shared" si="10"/>
        <v>2529.2657858437224</v>
      </c>
      <c r="T45" s="356">
        <f t="shared" si="16"/>
        <v>4909.1078442467906</v>
      </c>
      <c r="U45" s="357">
        <f t="shared" si="21"/>
        <v>83436.324476228954</v>
      </c>
      <c r="V45" s="358">
        <f t="shared" si="21"/>
        <v>184345.12620702956</v>
      </c>
      <c r="W45" s="359">
        <f t="shared" si="11"/>
        <v>586563.67552377121</v>
      </c>
      <c r="Z45" s="354"/>
      <c r="AA45" s="355" t="e">
        <f t="shared" si="12"/>
        <v>#NUM!</v>
      </c>
      <c r="AB45" s="356" t="e">
        <f t="shared" si="13"/>
        <v>#NUM!</v>
      </c>
      <c r="AC45" s="357" t="e">
        <f t="shared" si="22"/>
        <v>#NUM!</v>
      </c>
      <c r="AD45" s="358" t="e">
        <f t="shared" si="22"/>
        <v>#NUM!</v>
      </c>
      <c r="AE45" s="359" t="e">
        <f t="shared" si="14"/>
        <v>#NUM!</v>
      </c>
    </row>
    <row r="46" spans="2:31" x14ac:dyDescent="0.25">
      <c r="B46" s="354" t="s">
        <v>418</v>
      </c>
      <c r="C46" s="355" t="e">
        <f t="shared" si="3"/>
        <v>#VALUE!</v>
      </c>
      <c r="D46" s="356" t="e">
        <f t="shared" si="4"/>
        <v>#VALUE!</v>
      </c>
      <c r="E46" s="357" t="e">
        <f t="shared" si="23"/>
        <v>#VALUE!</v>
      </c>
      <c r="F46" s="358" t="e">
        <f t="shared" si="23"/>
        <v>#VALUE!</v>
      </c>
      <c r="G46" s="359" t="e">
        <f t="shared" si="6"/>
        <v>#VALUE!</v>
      </c>
      <c r="J46" s="354" t="str">
        <f t="shared" si="0"/>
        <v>M37</v>
      </c>
      <c r="K46" s="355">
        <f t="shared" si="7"/>
        <v>1000.4300735978987</v>
      </c>
      <c r="L46" s="356">
        <f t="shared" si="15"/>
        <v>1008.3536325206957</v>
      </c>
      <c r="M46" s="357">
        <f t="shared" si="24"/>
        <v>32004.994171114417</v>
      </c>
      <c r="N46" s="358">
        <f t="shared" si="24"/>
        <v>42320.002955273558</v>
      </c>
      <c r="O46" s="359">
        <f t="shared" si="9"/>
        <v>120002.00582888558</v>
      </c>
      <c r="R46" s="354"/>
      <c r="S46" s="355">
        <f t="shared" si="10"/>
        <v>2550.343000725753</v>
      </c>
      <c r="T46" s="356">
        <f t="shared" si="16"/>
        <v>4888.03062936476</v>
      </c>
      <c r="U46" s="357">
        <f t="shared" si="21"/>
        <v>85986.66747695471</v>
      </c>
      <c r="V46" s="358">
        <f t="shared" si="21"/>
        <v>189233.15683639434</v>
      </c>
      <c r="W46" s="359">
        <f t="shared" si="11"/>
        <v>584013.33252304548</v>
      </c>
      <c r="Z46" s="354"/>
      <c r="AA46" s="355" t="e">
        <f t="shared" si="12"/>
        <v>#NUM!</v>
      </c>
      <c r="AB46" s="356" t="e">
        <f t="shared" si="13"/>
        <v>#NUM!</v>
      </c>
      <c r="AC46" s="357" t="e">
        <f t="shared" si="22"/>
        <v>#NUM!</v>
      </c>
      <c r="AD46" s="358" t="e">
        <f t="shared" si="22"/>
        <v>#NUM!</v>
      </c>
      <c r="AE46" s="359" t="e">
        <f t="shared" si="14"/>
        <v>#NUM!</v>
      </c>
    </row>
    <row r="47" spans="2:31" x14ac:dyDescent="0.25">
      <c r="B47" s="354" t="s">
        <v>419</v>
      </c>
      <c r="C47" s="355" t="e">
        <f t="shared" si="3"/>
        <v>#VALUE!</v>
      </c>
      <c r="D47" s="356" t="e">
        <f t="shared" si="4"/>
        <v>#VALUE!</v>
      </c>
      <c r="E47" s="357" t="e">
        <f t="shared" si="23"/>
        <v>#VALUE!</v>
      </c>
      <c r="F47" s="358" t="e">
        <f t="shared" si="23"/>
        <v>#VALUE!</v>
      </c>
      <c r="G47" s="359" t="e">
        <f t="shared" si="6"/>
        <v>#VALUE!</v>
      </c>
      <c r="J47" s="354" t="str">
        <f t="shared" si="0"/>
        <v>M38</v>
      </c>
      <c r="K47" s="355">
        <f t="shared" si="7"/>
        <v>1008.7669908778813</v>
      </c>
      <c r="L47" s="356">
        <f t="shared" si="15"/>
        <v>1000.0167152407131</v>
      </c>
      <c r="M47" s="357">
        <f t="shared" si="24"/>
        <v>33013.761161992297</v>
      </c>
      <c r="N47" s="358">
        <f t="shared" si="24"/>
        <v>43320.019670514273</v>
      </c>
      <c r="O47" s="359">
        <f t="shared" si="9"/>
        <v>118993.2388380077</v>
      </c>
      <c r="R47" s="354"/>
      <c r="S47" s="355">
        <f t="shared" si="10"/>
        <v>2571.5958590651344</v>
      </c>
      <c r="T47" s="356">
        <f t="shared" si="16"/>
        <v>4866.7777710253786</v>
      </c>
      <c r="U47" s="357">
        <f t="shared" si="21"/>
        <v>88558.263336019838</v>
      </c>
      <c r="V47" s="358">
        <f t="shared" si="21"/>
        <v>194099.93460741971</v>
      </c>
      <c r="W47" s="359">
        <f t="shared" si="11"/>
        <v>581441.73666398029</v>
      </c>
      <c r="Z47" s="354"/>
      <c r="AA47" s="355" t="e">
        <f t="shared" si="12"/>
        <v>#NUM!</v>
      </c>
      <c r="AB47" s="356" t="e">
        <f t="shared" si="13"/>
        <v>#NUM!</v>
      </c>
      <c r="AC47" s="357" t="e">
        <f t="shared" si="22"/>
        <v>#NUM!</v>
      </c>
      <c r="AD47" s="358" t="e">
        <f t="shared" si="22"/>
        <v>#NUM!</v>
      </c>
      <c r="AE47" s="359" t="e">
        <f t="shared" si="14"/>
        <v>#NUM!</v>
      </c>
    </row>
    <row r="48" spans="2:31" x14ac:dyDescent="0.25">
      <c r="B48" s="354" t="s">
        <v>420</v>
      </c>
      <c r="C48" s="355" t="e">
        <f t="shared" si="3"/>
        <v>#VALUE!</v>
      </c>
      <c r="D48" s="356" t="e">
        <f t="shared" si="4"/>
        <v>#VALUE!</v>
      </c>
      <c r="E48" s="357" t="e">
        <f t="shared" si="23"/>
        <v>#VALUE!</v>
      </c>
      <c r="F48" s="358" t="e">
        <f t="shared" si="23"/>
        <v>#VALUE!</v>
      </c>
      <c r="G48" s="359" t="e">
        <f t="shared" si="6"/>
        <v>#VALUE!</v>
      </c>
      <c r="J48" s="354" t="str">
        <f t="shared" si="0"/>
        <v>M39</v>
      </c>
      <c r="K48" s="355">
        <f t="shared" si="7"/>
        <v>1017.1733824685302</v>
      </c>
      <c r="L48" s="356">
        <f t="shared" si="15"/>
        <v>991.61032365006417</v>
      </c>
      <c r="M48" s="357">
        <f t="shared" si="24"/>
        <v>34030.934544460826</v>
      </c>
      <c r="N48" s="358">
        <f t="shared" si="24"/>
        <v>44311.629994164337</v>
      </c>
      <c r="O48" s="359">
        <f t="shared" si="9"/>
        <v>117976.06545553917</v>
      </c>
      <c r="R48" s="354"/>
      <c r="S48" s="355">
        <f t="shared" si="10"/>
        <v>2593.0258245573441</v>
      </c>
      <c r="T48" s="356">
        <f t="shared" si="16"/>
        <v>4845.3478055331689</v>
      </c>
      <c r="U48" s="357">
        <f t="shared" ref="U48:V63" si="25">U47+S48</f>
        <v>91151.289160577187</v>
      </c>
      <c r="V48" s="358">
        <f t="shared" si="25"/>
        <v>198945.28241295289</v>
      </c>
      <c r="W48" s="359">
        <f t="shared" si="11"/>
        <v>578848.710839423</v>
      </c>
      <c r="Z48" s="354"/>
      <c r="AA48" s="355" t="e">
        <f t="shared" si="12"/>
        <v>#NUM!</v>
      </c>
      <c r="AB48" s="356" t="e">
        <f t="shared" si="13"/>
        <v>#NUM!</v>
      </c>
      <c r="AC48" s="357" t="e">
        <f t="shared" ref="AC48:AD63" si="26">AC47+AA48</f>
        <v>#NUM!</v>
      </c>
      <c r="AD48" s="358" t="e">
        <f t="shared" si="26"/>
        <v>#NUM!</v>
      </c>
      <c r="AE48" s="359" t="e">
        <f t="shared" si="14"/>
        <v>#NUM!</v>
      </c>
    </row>
    <row r="49" spans="2:31" x14ac:dyDescent="0.25">
      <c r="B49" s="354" t="s">
        <v>421</v>
      </c>
      <c r="C49" s="355" t="e">
        <f t="shared" si="3"/>
        <v>#VALUE!</v>
      </c>
      <c r="D49" s="356" t="e">
        <f t="shared" si="4"/>
        <v>#VALUE!</v>
      </c>
      <c r="E49" s="357" t="e">
        <f t="shared" si="23"/>
        <v>#VALUE!</v>
      </c>
      <c r="F49" s="358" t="e">
        <f t="shared" si="23"/>
        <v>#VALUE!</v>
      </c>
      <c r="G49" s="359" t="e">
        <f t="shared" si="6"/>
        <v>#VALUE!</v>
      </c>
      <c r="J49" s="354" t="str">
        <f t="shared" si="0"/>
        <v>M40</v>
      </c>
      <c r="K49" s="355">
        <f t="shared" si="7"/>
        <v>1025.6498273224347</v>
      </c>
      <c r="L49" s="356">
        <f t="shared" si="15"/>
        <v>983.13387879615971</v>
      </c>
      <c r="M49" s="357">
        <f t="shared" si="24"/>
        <v>35056.584371783261</v>
      </c>
      <c r="N49" s="358">
        <f t="shared" si="24"/>
        <v>45294.763872960495</v>
      </c>
      <c r="O49" s="359">
        <f t="shared" si="9"/>
        <v>116950.41562821674</v>
      </c>
      <c r="R49" s="354"/>
      <c r="S49" s="355">
        <f t="shared" si="10"/>
        <v>2614.6343730953213</v>
      </c>
      <c r="T49" s="356">
        <f t="shared" si="16"/>
        <v>4823.7392569951917</v>
      </c>
      <c r="U49" s="357">
        <f t="shared" si="25"/>
        <v>93765.923533672511</v>
      </c>
      <c r="V49" s="358">
        <f t="shared" si="25"/>
        <v>203769.02166994807</v>
      </c>
      <c r="W49" s="359">
        <f t="shared" si="11"/>
        <v>576234.07646632765</v>
      </c>
      <c r="Z49" s="354"/>
      <c r="AA49" s="355" t="e">
        <f t="shared" si="12"/>
        <v>#NUM!</v>
      </c>
      <c r="AB49" s="356" t="e">
        <f t="shared" si="13"/>
        <v>#NUM!</v>
      </c>
      <c r="AC49" s="357" t="e">
        <f t="shared" si="26"/>
        <v>#NUM!</v>
      </c>
      <c r="AD49" s="358" t="e">
        <f t="shared" si="26"/>
        <v>#NUM!</v>
      </c>
      <c r="AE49" s="359" t="e">
        <f t="shared" si="14"/>
        <v>#NUM!</v>
      </c>
    </row>
    <row r="50" spans="2:31" x14ac:dyDescent="0.25">
      <c r="B50" s="354" t="s">
        <v>422</v>
      </c>
      <c r="C50" s="355" t="e">
        <f t="shared" si="3"/>
        <v>#VALUE!</v>
      </c>
      <c r="D50" s="356" t="e">
        <f t="shared" si="4"/>
        <v>#VALUE!</v>
      </c>
      <c r="E50" s="357" t="e">
        <f t="shared" si="23"/>
        <v>#VALUE!</v>
      </c>
      <c r="F50" s="358" t="e">
        <f t="shared" si="23"/>
        <v>#VALUE!</v>
      </c>
      <c r="G50" s="359" t="e">
        <f t="shared" si="6"/>
        <v>#VALUE!</v>
      </c>
      <c r="J50" s="354" t="str">
        <f t="shared" si="0"/>
        <v>M41</v>
      </c>
      <c r="K50" s="355">
        <f t="shared" si="7"/>
        <v>1034.1969092167883</v>
      </c>
      <c r="L50" s="356">
        <f t="shared" si="15"/>
        <v>974.58679690180611</v>
      </c>
      <c r="M50" s="357">
        <f t="shared" si="24"/>
        <v>36090.781281000047</v>
      </c>
      <c r="N50" s="358">
        <f t="shared" si="24"/>
        <v>46269.350669862302</v>
      </c>
      <c r="O50" s="359">
        <f t="shared" si="9"/>
        <v>115916.21871899995</v>
      </c>
      <c r="R50" s="354"/>
      <c r="S50" s="355">
        <f t="shared" si="10"/>
        <v>2636.4229928711156</v>
      </c>
      <c r="T50" s="356">
        <f t="shared" si="16"/>
        <v>4801.9506372193973</v>
      </c>
      <c r="U50" s="357">
        <f t="shared" si="25"/>
        <v>96402.346526543624</v>
      </c>
      <c r="V50" s="358">
        <f t="shared" si="25"/>
        <v>208570.97230716745</v>
      </c>
      <c r="W50" s="359">
        <f t="shared" si="11"/>
        <v>573597.65347345651</v>
      </c>
      <c r="Z50" s="354"/>
      <c r="AA50" s="355" t="e">
        <f t="shared" si="12"/>
        <v>#NUM!</v>
      </c>
      <c r="AB50" s="356" t="e">
        <f t="shared" si="13"/>
        <v>#NUM!</v>
      </c>
      <c r="AC50" s="357" t="e">
        <f t="shared" si="26"/>
        <v>#NUM!</v>
      </c>
      <c r="AD50" s="358" t="e">
        <f t="shared" si="26"/>
        <v>#NUM!</v>
      </c>
      <c r="AE50" s="359" t="e">
        <f t="shared" si="14"/>
        <v>#NUM!</v>
      </c>
    </row>
    <row r="51" spans="2:31" x14ac:dyDescent="0.25">
      <c r="B51" s="354" t="s">
        <v>423</v>
      </c>
      <c r="C51" s="355" t="e">
        <f t="shared" si="3"/>
        <v>#VALUE!</v>
      </c>
      <c r="D51" s="356" t="e">
        <f t="shared" si="4"/>
        <v>#VALUE!</v>
      </c>
      <c r="E51" s="357" t="e">
        <f t="shared" si="23"/>
        <v>#VALUE!</v>
      </c>
      <c r="F51" s="358" t="e">
        <f t="shared" si="23"/>
        <v>#VALUE!</v>
      </c>
      <c r="G51" s="359" t="e">
        <f t="shared" si="6"/>
        <v>#VALUE!</v>
      </c>
      <c r="J51" s="354" t="str">
        <f t="shared" si="0"/>
        <v>M42</v>
      </c>
      <c r="K51" s="355">
        <f t="shared" si="7"/>
        <v>1042.8152167935948</v>
      </c>
      <c r="L51" s="356">
        <f t="shared" si="15"/>
        <v>965.96848932499961</v>
      </c>
      <c r="M51" s="357">
        <f t="shared" si="24"/>
        <v>37133.596497793638</v>
      </c>
      <c r="N51" s="358">
        <f t="shared" si="24"/>
        <v>47235.319159187304</v>
      </c>
      <c r="O51" s="359">
        <f t="shared" si="9"/>
        <v>114873.40350220636</v>
      </c>
      <c r="R51" s="354"/>
      <c r="S51" s="355">
        <f t="shared" si="10"/>
        <v>2658.3931844783756</v>
      </c>
      <c r="T51" s="356">
        <f t="shared" si="16"/>
        <v>4779.9804456121374</v>
      </c>
      <c r="U51" s="357">
        <f t="shared" si="25"/>
        <v>99060.739711022004</v>
      </c>
      <c r="V51" s="358">
        <f t="shared" si="25"/>
        <v>213350.95275277959</v>
      </c>
      <c r="W51" s="359">
        <f t="shared" si="11"/>
        <v>570939.26028897811</v>
      </c>
      <c r="Z51" s="354"/>
      <c r="AA51" s="355" t="e">
        <f t="shared" si="12"/>
        <v>#NUM!</v>
      </c>
      <c r="AB51" s="356" t="e">
        <f t="shared" si="13"/>
        <v>#NUM!</v>
      </c>
      <c r="AC51" s="357" t="e">
        <f t="shared" si="26"/>
        <v>#NUM!</v>
      </c>
      <c r="AD51" s="358" t="e">
        <f t="shared" si="26"/>
        <v>#NUM!</v>
      </c>
      <c r="AE51" s="359" t="e">
        <f t="shared" si="14"/>
        <v>#NUM!</v>
      </c>
    </row>
    <row r="52" spans="2:31" x14ac:dyDescent="0.25">
      <c r="B52" s="354" t="s">
        <v>424</v>
      </c>
      <c r="C52" s="355" t="e">
        <f t="shared" si="3"/>
        <v>#VALUE!</v>
      </c>
      <c r="D52" s="356" t="e">
        <f t="shared" si="4"/>
        <v>#VALUE!</v>
      </c>
      <c r="E52" s="357" t="e">
        <f t="shared" si="23"/>
        <v>#VALUE!</v>
      </c>
      <c r="F52" s="358" t="e">
        <f t="shared" si="23"/>
        <v>#VALUE!</v>
      </c>
      <c r="G52" s="359" t="e">
        <f t="shared" si="6"/>
        <v>#VALUE!</v>
      </c>
      <c r="J52" s="354" t="str">
        <f t="shared" si="0"/>
        <v>M43</v>
      </c>
      <c r="K52" s="355">
        <f t="shared" si="7"/>
        <v>1051.5053436002081</v>
      </c>
      <c r="L52" s="356">
        <f t="shared" si="15"/>
        <v>957.2783625183863</v>
      </c>
      <c r="M52" s="357">
        <f t="shared" si="24"/>
        <v>38185.101841393844</v>
      </c>
      <c r="N52" s="358">
        <f t="shared" si="24"/>
        <v>48192.597521705691</v>
      </c>
      <c r="O52" s="359">
        <f t="shared" si="9"/>
        <v>113821.89815860616</v>
      </c>
      <c r="R52" s="354"/>
      <c r="S52" s="355">
        <f t="shared" si="10"/>
        <v>2680.5464610156951</v>
      </c>
      <c r="T52" s="356">
        <f t="shared" si="16"/>
        <v>4757.8271690748179</v>
      </c>
      <c r="U52" s="357">
        <f t="shared" si="25"/>
        <v>101741.2861720377</v>
      </c>
      <c r="V52" s="358">
        <f t="shared" si="25"/>
        <v>218108.77992185441</v>
      </c>
      <c r="W52" s="359">
        <f t="shared" si="11"/>
        <v>568258.71382796241</v>
      </c>
      <c r="Z52" s="354"/>
      <c r="AA52" s="355" t="e">
        <f t="shared" si="12"/>
        <v>#NUM!</v>
      </c>
      <c r="AB52" s="356" t="e">
        <f t="shared" si="13"/>
        <v>#NUM!</v>
      </c>
      <c r="AC52" s="357" t="e">
        <f t="shared" si="26"/>
        <v>#NUM!</v>
      </c>
      <c r="AD52" s="358" t="e">
        <f t="shared" si="26"/>
        <v>#NUM!</v>
      </c>
      <c r="AE52" s="359" t="e">
        <f t="shared" si="14"/>
        <v>#NUM!</v>
      </c>
    </row>
    <row r="53" spans="2:31" x14ac:dyDescent="0.25">
      <c r="B53" s="354" t="s">
        <v>425</v>
      </c>
      <c r="C53" s="355" t="e">
        <f t="shared" si="3"/>
        <v>#VALUE!</v>
      </c>
      <c r="D53" s="356" t="e">
        <f>B44*B53/I5</f>
        <v>#VALUE!</v>
      </c>
      <c r="E53" s="357" t="e">
        <f t="shared" si="23"/>
        <v>#VALUE!</v>
      </c>
      <c r="F53" s="358" t="e">
        <f t="shared" si="23"/>
        <v>#VALUE!</v>
      </c>
      <c r="G53" s="359" t="e">
        <f t="shared" si="6"/>
        <v>#VALUE!</v>
      </c>
      <c r="J53" s="354" t="str">
        <f t="shared" si="0"/>
        <v>M44</v>
      </c>
      <c r="K53" s="355">
        <f t="shared" si="7"/>
        <v>1060.2678881302099</v>
      </c>
      <c r="L53" s="356">
        <f t="shared" si="15"/>
        <v>948.51581798838458</v>
      </c>
      <c r="M53" s="357">
        <f t="shared" si="24"/>
        <v>39245.369729524056</v>
      </c>
      <c r="N53" s="358">
        <f t="shared" si="24"/>
        <v>49141.113339694079</v>
      </c>
      <c r="O53" s="359">
        <f t="shared" si="9"/>
        <v>112761.63027047594</v>
      </c>
      <c r="R53" s="354"/>
      <c r="S53" s="355">
        <f t="shared" si="10"/>
        <v>2702.8843481908261</v>
      </c>
      <c r="T53" s="356">
        <f t="shared" si="16"/>
        <v>4735.4892818996868</v>
      </c>
      <c r="U53" s="357">
        <f t="shared" si="25"/>
        <v>104444.17052022852</v>
      </c>
      <c r="V53" s="358">
        <f t="shared" si="25"/>
        <v>222844.26920375408</v>
      </c>
      <c r="W53" s="359">
        <f t="shared" si="11"/>
        <v>565555.82947977155</v>
      </c>
      <c r="Z53" s="354"/>
      <c r="AA53" s="355" t="e">
        <f t="shared" si="12"/>
        <v>#NUM!</v>
      </c>
      <c r="AB53" s="356" t="e">
        <f t="shared" si="13"/>
        <v>#NUM!</v>
      </c>
      <c r="AC53" s="357" t="e">
        <f t="shared" si="26"/>
        <v>#NUM!</v>
      </c>
      <c r="AD53" s="358" t="e">
        <f t="shared" si="26"/>
        <v>#NUM!</v>
      </c>
      <c r="AE53" s="359" t="e">
        <f t="shared" si="14"/>
        <v>#NUM!</v>
      </c>
    </row>
    <row r="54" spans="2:31" x14ac:dyDescent="0.25">
      <c r="B54" s="354" t="s">
        <v>426</v>
      </c>
      <c r="C54" s="355" t="e">
        <f t="shared" si="3"/>
        <v>#VALUE!</v>
      </c>
      <c r="D54" s="356" t="e">
        <f t="shared" si="4"/>
        <v>#VALUE!</v>
      </c>
      <c r="E54" s="357" t="e">
        <f t="shared" si="23"/>
        <v>#VALUE!</v>
      </c>
      <c r="F54" s="358" t="e">
        <f t="shared" si="23"/>
        <v>#VALUE!</v>
      </c>
      <c r="G54" s="359" t="e">
        <f t="shared" si="6"/>
        <v>#VALUE!</v>
      </c>
      <c r="J54" s="354" t="str">
        <f t="shared" si="0"/>
        <v>M45</v>
      </c>
      <c r="K54" s="355">
        <f t="shared" si="7"/>
        <v>1069.1034538646281</v>
      </c>
      <c r="L54" s="356">
        <f t="shared" si="15"/>
        <v>939.68025225396616</v>
      </c>
      <c r="M54" s="357">
        <f t="shared" si="24"/>
        <v>40314.473183388684</v>
      </c>
      <c r="N54" s="358">
        <f t="shared" si="24"/>
        <v>50080.793591948044</v>
      </c>
      <c r="O54" s="359">
        <f t="shared" si="9"/>
        <v>111692.52681661131</v>
      </c>
      <c r="R54" s="354"/>
      <c r="S54" s="355">
        <f t="shared" si="10"/>
        <v>2725.4083844257502</v>
      </c>
      <c r="T54" s="356">
        <f t="shared" si="16"/>
        <v>4712.9652456647627</v>
      </c>
      <c r="U54" s="357">
        <f t="shared" si="25"/>
        <v>107169.57890465428</v>
      </c>
      <c r="V54" s="358">
        <f t="shared" si="25"/>
        <v>227557.23444941884</v>
      </c>
      <c r="W54" s="359">
        <f t="shared" si="11"/>
        <v>562830.42109534575</v>
      </c>
      <c r="Z54" s="354"/>
      <c r="AA54" s="355" t="e">
        <f t="shared" si="12"/>
        <v>#NUM!</v>
      </c>
      <c r="AB54" s="356" t="e">
        <f t="shared" si="13"/>
        <v>#NUM!</v>
      </c>
      <c r="AC54" s="357" t="e">
        <f t="shared" si="26"/>
        <v>#NUM!</v>
      </c>
      <c r="AD54" s="358" t="e">
        <f t="shared" si="26"/>
        <v>#NUM!</v>
      </c>
      <c r="AE54" s="359" t="e">
        <f t="shared" si="14"/>
        <v>#NUM!</v>
      </c>
    </row>
    <row r="55" spans="2:31" x14ac:dyDescent="0.25">
      <c r="B55" s="354" t="s">
        <v>427</v>
      </c>
      <c r="C55" s="355" t="e">
        <f t="shared" si="3"/>
        <v>#VALUE!</v>
      </c>
      <c r="D55" s="356" t="e">
        <f t="shared" si="4"/>
        <v>#VALUE!</v>
      </c>
      <c r="E55" s="357" t="e">
        <f t="shared" si="23"/>
        <v>#VALUE!</v>
      </c>
      <c r="F55" s="358" t="e">
        <f t="shared" si="23"/>
        <v>#VALUE!</v>
      </c>
      <c r="G55" s="359" t="e">
        <f t="shared" si="6"/>
        <v>#VALUE!</v>
      </c>
      <c r="J55" s="354" t="str">
        <f t="shared" si="0"/>
        <v>M46</v>
      </c>
      <c r="K55" s="355">
        <f t="shared" si="7"/>
        <v>1078.0126493135003</v>
      </c>
      <c r="L55" s="356">
        <f t="shared" si="15"/>
        <v>930.77105680509419</v>
      </c>
      <c r="M55" s="357">
        <f t="shared" si="24"/>
        <v>41392.485832702187</v>
      </c>
      <c r="N55" s="358">
        <f t="shared" si="24"/>
        <v>51011.564648753141</v>
      </c>
      <c r="O55" s="359">
        <f t="shared" si="9"/>
        <v>110614.51416729781</v>
      </c>
      <c r="R55" s="354"/>
      <c r="S55" s="355">
        <f t="shared" si="10"/>
        <v>2748.1201209626315</v>
      </c>
      <c r="T55" s="356">
        <f t="shared" si="16"/>
        <v>4690.2535091278814</v>
      </c>
      <c r="U55" s="357">
        <f t="shared" si="25"/>
        <v>109917.69902561691</v>
      </c>
      <c r="V55" s="358">
        <f t="shared" si="25"/>
        <v>232247.48795854673</v>
      </c>
      <c r="W55" s="359">
        <f t="shared" si="11"/>
        <v>560082.30097438314</v>
      </c>
      <c r="Z55" s="354"/>
      <c r="AA55" s="355" t="e">
        <f t="shared" si="12"/>
        <v>#NUM!</v>
      </c>
      <c r="AB55" s="356" t="e">
        <f t="shared" si="13"/>
        <v>#NUM!</v>
      </c>
      <c r="AC55" s="357" t="e">
        <f t="shared" si="26"/>
        <v>#NUM!</v>
      </c>
      <c r="AD55" s="358" t="e">
        <f t="shared" si="26"/>
        <v>#NUM!</v>
      </c>
      <c r="AE55" s="359" t="e">
        <f t="shared" si="14"/>
        <v>#NUM!</v>
      </c>
    </row>
    <row r="56" spans="2:31" x14ac:dyDescent="0.25">
      <c r="B56" s="354" t="s">
        <v>428</v>
      </c>
      <c r="C56" s="355" t="e">
        <f t="shared" si="3"/>
        <v>#VALUE!</v>
      </c>
      <c r="D56" s="356" t="e">
        <f t="shared" si="4"/>
        <v>#VALUE!</v>
      </c>
      <c r="E56" s="357" t="e">
        <f t="shared" si="23"/>
        <v>#VALUE!</v>
      </c>
      <c r="F56" s="358" t="e">
        <f t="shared" si="23"/>
        <v>#VALUE!</v>
      </c>
      <c r="G56" s="359" t="e">
        <f t="shared" si="6"/>
        <v>#VALUE!</v>
      </c>
      <c r="J56" s="354" t="str">
        <f t="shared" si="0"/>
        <v>M47</v>
      </c>
      <c r="K56" s="355">
        <f t="shared" si="7"/>
        <v>1086.9960880577794</v>
      </c>
      <c r="L56" s="356">
        <f t="shared" si="15"/>
        <v>921.78761806081502</v>
      </c>
      <c r="M56" s="357">
        <f t="shared" si="24"/>
        <v>42479.481920759965</v>
      </c>
      <c r="N56" s="358">
        <f t="shared" si="24"/>
        <v>51933.352266813956</v>
      </c>
      <c r="O56" s="359">
        <f t="shared" si="9"/>
        <v>109527.51807924002</v>
      </c>
      <c r="R56" s="354"/>
      <c r="S56" s="355">
        <f t="shared" si="10"/>
        <v>2771.0211219706534</v>
      </c>
      <c r="T56" s="356">
        <f t="shared" si="16"/>
        <v>4667.3525081198595</v>
      </c>
      <c r="U56" s="357">
        <f t="shared" si="25"/>
        <v>112688.72014758756</v>
      </c>
      <c r="V56" s="358">
        <f t="shared" si="25"/>
        <v>236914.84046666659</v>
      </c>
      <c r="W56" s="359">
        <f t="shared" si="11"/>
        <v>557311.27985241252</v>
      </c>
      <c r="Z56" s="354"/>
      <c r="AA56" s="355" t="e">
        <f t="shared" si="12"/>
        <v>#NUM!</v>
      </c>
      <c r="AB56" s="356" t="e">
        <f t="shared" si="13"/>
        <v>#NUM!</v>
      </c>
      <c r="AC56" s="357" t="e">
        <f t="shared" si="26"/>
        <v>#NUM!</v>
      </c>
      <c r="AD56" s="358" t="e">
        <f t="shared" si="26"/>
        <v>#NUM!</v>
      </c>
      <c r="AE56" s="359" t="e">
        <f t="shared" si="14"/>
        <v>#NUM!</v>
      </c>
    </row>
    <row r="57" spans="2:31" x14ac:dyDescent="0.25">
      <c r="B57" s="354" t="s">
        <v>429</v>
      </c>
      <c r="C57" s="355" t="e">
        <f t="shared" si="3"/>
        <v>#VALUE!</v>
      </c>
      <c r="D57" s="356" t="e">
        <f t="shared" si="4"/>
        <v>#VALUE!</v>
      </c>
      <c r="E57" s="357" t="e">
        <f t="shared" si="23"/>
        <v>#VALUE!</v>
      </c>
      <c r="F57" s="358" t="e">
        <f t="shared" si="23"/>
        <v>#VALUE!</v>
      </c>
      <c r="G57" s="359" t="e">
        <f t="shared" si="6"/>
        <v>#VALUE!</v>
      </c>
      <c r="J57" s="354" t="str">
        <f t="shared" si="0"/>
        <v>M48</v>
      </c>
      <c r="K57" s="355">
        <f t="shared" si="7"/>
        <v>1096.0543887915942</v>
      </c>
      <c r="L57" s="356">
        <f t="shared" si="15"/>
        <v>912.7293173270001</v>
      </c>
      <c r="M57" s="357">
        <f t="shared" si="24"/>
        <v>43575.536309551557</v>
      </c>
      <c r="N57" s="358">
        <f t="shared" si="24"/>
        <v>52846.081584140957</v>
      </c>
      <c r="O57" s="359">
        <f t="shared" si="9"/>
        <v>108431.46369044842</v>
      </c>
      <c r="R57" s="354"/>
      <c r="S57" s="355">
        <f t="shared" si="10"/>
        <v>2794.112964653742</v>
      </c>
      <c r="T57" s="356">
        <f t="shared" si="16"/>
        <v>4644.260665436771</v>
      </c>
      <c r="U57" s="357">
        <f t="shared" si="25"/>
        <v>115482.83311224131</v>
      </c>
      <c r="V57" s="358">
        <f t="shared" si="25"/>
        <v>241559.10113210336</v>
      </c>
      <c r="W57" s="359">
        <f t="shared" si="11"/>
        <v>554517.16688775877</v>
      </c>
      <c r="Z57" s="354"/>
      <c r="AA57" s="355" t="e">
        <f t="shared" si="12"/>
        <v>#NUM!</v>
      </c>
      <c r="AB57" s="356" t="e">
        <f t="shared" si="13"/>
        <v>#NUM!</v>
      </c>
      <c r="AC57" s="357" t="e">
        <f t="shared" si="26"/>
        <v>#NUM!</v>
      </c>
      <c r="AD57" s="358" t="e">
        <f t="shared" si="26"/>
        <v>#NUM!</v>
      </c>
      <c r="AE57" s="359" t="e">
        <f t="shared" si="14"/>
        <v>#NUM!</v>
      </c>
    </row>
    <row r="58" spans="2:31" x14ac:dyDescent="0.25">
      <c r="B58" s="354" t="s">
        <v>430</v>
      </c>
      <c r="C58" s="355" t="e">
        <f t="shared" si="3"/>
        <v>#VALUE!</v>
      </c>
      <c r="D58" s="356" t="e">
        <f t="shared" si="4"/>
        <v>#VALUE!</v>
      </c>
      <c r="E58" s="357" t="e">
        <f t="shared" si="23"/>
        <v>#VALUE!</v>
      </c>
      <c r="F58" s="358" t="e">
        <f t="shared" si="23"/>
        <v>#VALUE!</v>
      </c>
      <c r="G58" s="359" t="e">
        <f t="shared" si="6"/>
        <v>#VALUE!</v>
      </c>
      <c r="J58" s="354" t="str">
        <f t="shared" si="0"/>
        <v>M49</v>
      </c>
      <c r="K58" s="355">
        <f t="shared" si="7"/>
        <v>1105.1881753648577</v>
      </c>
      <c r="L58" s="356">
        <f t="shared" si="15"/>
        <v>903.59553075373685</v>
      </c>
      <c r="M58" s="357">
        <f t="shared" si="24"/>
        <v>44680.724484916413</v>
      </c>
      <c r="N58" s="358">
        <f t="shared" si="24"/>
        <v>53749.677114894694</v>
      </c>
      <c r="O58" s="359">
        <f t="shared" si="9"/>
        <v>107326.27551508356</v>
      </c>
      <c r="R58" s="354"/>
      <c r="S58" s="355">
        <f t="shared" si="10"/>
        <v>2817.3972393591903</v>
      </c>
      <c r="T58" s="356">
        <f t="shared" si="16"/>
        <v>4620.9763907313227</v>
      </c>
      <c r="U58" s="357">
        <f t="shared" si="25"/>
        <v>118300.2303516005</v>
      </c>
      <c r="V58" s="358">
        <f t="shared" si="25"/>
        <v>246180.07752283468</v>
      </c>
      <c r="W58" s="359">
        <f t="shared" si="11"/>
        <v>551699.76964839955</v>
      </c>
      <c r="Z58" s="354"/>
      <c r="AA58" s="355" t="e">
        <f t="shared" si="12"/>
        <v>#NUM!</v>
      </c>
      <c r="AB58" s="356" t="e">
        <f t="shared" si="13"/>
        <v>#NUM!</v>
      </c>
      <c r="AC58" s="357" t="e">
        <f t="shared" si="26"/>
        <v>#NUM!</v>
      </c>
      <c r="AD58" s="358" t="e">
        <f t="shared" si="26"/>
        <v>#NUM!</v>
      </c>
      <c r="AE58" s="359" t="e">
        <f t="shared" si="14"/>
        <v>#NUM!</v>
      </c>
    </row>
    <row r="59" spans="2:31" x14ac:dyDescent="0.25">
      <c r="B59" s="354" t="s">
        <v>431</v>
      </c>
      <c r="C59" s="355" t="e">
        <f t="shared" si="3"/>
        <v>#VALUE!</v>
      </c>
      <c r="D59" s="356" t="e">
        <f t="shared" si="4"/>
        <v>#VALUE!</v>
      </c>
      <c r="E59" s="357" t="e">
        <f t="shared" si="23"/>
        <v>#VALUE!</v>
      </c>
      <c r="F59" s="358" t="e">
        <f t="shared" si="23"/>
        <v>#VALUE!</v>
      </c>
      <c r="G59" s="359" t="e">
        <f t="shared" si="6"/>
        <v>#VALUE!</v>
      </c>
      <c r="J59" s="354" t="str">
        <f t="shared" si="0"/>
        <v>M50</v>
      </c>
      <c r="K59" s="355">
        <f t="shared" si="7"/>
        <v>1114.3980768262313</v>
      </c>
      <c r="L59" s="356">
        <f t="shared" si="15"/>
        <v>894.38562929236298</v>
      </c>
      <c r="M59" s="357">
        <f t="shared" si="24"/>
        <v>45795.122561742646</v>
      </c>
      <c r="N59" s="358">
        <f t="shared" si="24"/>
        <v>54644.06274418706</v>
      </c>
      <c r="O59" s="359">
        <f t="shared" si="9"/>
        <v>106211.87743825733</v>
      </c>
      <c r="R59" s="354"/>
      <c r="S59" s="355">
        <f t="shared" si="10"/>
        <v>2840.8755496871836</v>
      </c>
      <c r="T59" s="356">
        <f t="shared" si="16"/>
        <v>4597.4980804033294</v>
      </c>
      <c r="U59" s="357">
        <f t="shared" si="25"/>
        <v>121141.10590128769</v>
      </c>
      <c r="V59" s="358">
        <f t="shared" si="25"/>
        <v>250777.57560323802</v>
      </c>
      <c r="W59" s="359">
        <f t="shared" si="11"/>
        <v>548858.89409871236</v>
      </c>
      <c r="Z59" s="354"/>
      <c r="AA59" s="355" t="e">
        <f t="shared" si="12"/>
        <v>#NUM!</v>
      </c>
      <c r="AB59" s="356" t="e">
        <f t="shared" si="13"/>
        <v>#NUM!</v>
      </c>
      <c r="AC59" s="357" t="e">
        <f t="shared" si="26"/>
        <v>#NUM!</v>
      </c>
      <c r="AD59" s="358" t="e">
        <f t="shared" si="26"/>
        <v>#NUM!</v>
      </c>
      <c r="AE59" s="359" t="e">
        <f t="shared" si="14"/>
        <v>#NUM!</v>
      </c>
    </row>
    <row r="60" spans="2:31" x14ac:dyDescent="0.25">
      <c r="B60" s="354" t="s">
        <v>432</v>
      </c>
      <c r="C60" s="355" t="e">
        <f t="shared" si="3"/>
        <v>#VALUE!</v>
      </c>
      <c r="D60" s="356" t="e">
        <f t="shared" si="4"/>
        <v>#VALUE!</v>
      </c>
      <c r="E60" s="357" t="e">
        <f t="shared" ref="E60:F75" si="27">E59+C60</f>
        <v>#VALUE!</v>
      </c>
      <c r="F60" s="358" t="e">
        <f t="shared" si="27"/>
        <v>#VALUE!</v>
      </c>
      <c r="G60" s="359" t="e">
        <f t="shared" si="6"/>
        <v>#VALUE!</v>
      </c>
      <c r="J60" s="354" t="str">
        <f t="shared" si="0"/>
        <v>M51</v>
      </c>
      <c r="K60" s="355">
        <f t="shared" si="7"/>
        <v>1123.6847274664501</v>
      </c>
      <c r="L60" s="356">
        <f t="shared" si="15"/>
        <v>885.09897865214441</v>
      </c>
      <c r="M60" s="357">
        <f t="shared" ref="M60:N75" si="28">M59+K60</f>
        <v>46918.807289209093</v>
      </c>
      <c r="N60" s="358">
        <f t="shared" si="28"/>
        <v>55529.161722839206</v>
      </c>
      <c r="O60" s="359">
        <f t="shared" si="9"/>
        <v>105088.19271079089</v>
      </c>
      <c r="R60" s="354"/>
      <c r="S60" s="355">
        <f t="shared" si="10"/>
        <v>2864.5495126012429</v>
      </c>
      <c r="T60" s="356">
        <f t="shared" si="16"/>
        <v>4573.8241174892701</v>
      </c>
      <c r="U60" s="357">
        <f t="shared" si="25"/>
        <v>124005.65541388893</v>
      </c>
      <c r="V60" s="358">
        <f t="shared" si="25"/>
        <v>255351.39972072729</v>
      </c>
      <c r="W60" s="359">
        <f t="shared" si="11"/>
        <v>545994.34458611114</v>
      </c>
      <c r="Z60" s="354"/>
      <c r="AA60" s="355" t="e">
        <f t="shared" si="12"/>
        <v>#NUM!</v>
      </c>
      <c r="AB60" s="356" t="e">
        <f t="shared" si="13"/>
        <v>#NUM!</v>
      </c>
      <c r="AC60" s="357" t="e">
        <f t="shared" si="26"/>
        <v>#NUM!</v>
      </c>
      <c r="AD60" s="358" t="e">
        <f t="shared" si="26"/>
        <v>#NUM!</v>
      </c>
      <c r="AE60" s="359" t="e">
        <f t="shared" si="14"/>
        <v>#NUM!</v>
      </c>
    </row>
    <row r="61" spans="2:31" x14ac:dyDescent="0.25">
      <c r="B61" s="354" t="s">
        <v>433</v>
      </c>
      <c r="C61" s="355" t="e">
        <f t="shared" si="3"/>
        <v>#VALUE!</v>
      </c>
      <c r="D61" s="356" t="e">
        <f t="shared" si="4"/>
        <v>#VALUE!</v>
      </c>
      <c r="E61" s="357" t="e">
        <f t="shared" si="27"/>
        <v>#VALUE!</v>
      </c>
      <c r="F61" s="358" t="e">
        <f t="shared" si="27"/>
        <v>#VALUE!</v>
      </c>
      <c r="G61" s="359" t="e">
        <f t="shared" si="6"/>
        <v>#VALUE!</v>
      </c>
      <c r="J61" s="354" t="str">
        <f t="shared" si="0"/>
        <v>M52</v>
      </c>
      <c r="K61" s="355">
        <f t="shared" si="7"/>
        <v>1133.0487668620037</v>
      </c>
      <c r="L61" s="356">
        <f t="shared" si="15"/>
        <v>875.73493925659068</v>
      </c>
      <c r="M61" s="357">
        <f t="shared" si="28"/>
        <v>48051.856056071098</v>
      </c>
      <c r="N61" s="358">
        <f t="shared" si="28"/>
        <v>56404.896662095794</v>
      </c>
      <c r="O61" s="359">
        <f t="shared" si="9"/>
        <v>103955.14394392888</v>
      </c>
      <c r="R61" s="354"/>
      <c r="S61" s="355">
        <f t="shared" si="10"/>
        <v>2888.420758539587</v>
      </c>
      <c r="T61" s="356">
        <f t="shared" si="16"/>
        <v>4549.9528715509259</v>
      </c>
      <c r="U61" s="357">
        <f t="shared" si="25"/>
        <v>126894.07617242853</v>
      </c>
      <c r="V61" s="358">
        <f t="shared" si="25"/>
        <v>259901.35259227821</v>
      </c>
      <c r="W61" s="359">
        <f t="shared" si="11"/>
        <v>543105.92382757156</v>
      </c>
      <c r="Z61" s="354"/>
      <c r="AA61" s="355" t="e">
        <f t="shared" si="12"/>
        <v>#NUM!</v>
      </c>
      <c r="AB61" s="356" t="e">
        <f t="shared" si="13"/>
        <v>#NUM!</v>
      </c>
      <c r="AC61" s="357" t="e">
        <f t="shared" si="26"/>
        <v>#NUM!</v>
      </c>
      <c r="AD61" s="358" t="e">
        <f t="shared" si="26"/>
        <v>#NUM!</v>
      </c>
      <c r="AE61" s="359" t="e">
        <f t="shared" si="14"/>
        <v>#NUM!</v>
      </c>
    </row>
    <row r="62" spans="2:31" x14ac:dyDescent="0.25">
      <c r="B62" s="354" t="s">
        <v>434</v>
      </c>
      <c r="C62" s="355" t="e">
        <f t="shared" si="3"/>
        <v>#VALUE!</v>
      </c>
      <c r="D62" s="356" t="e">
        <f t="shared" si="4"/>
        <v>#VALUE!</v>
      </c>
      <c r="E62" s="357" t="e">
        <f t="shared" si="27"/>
        <v>#VALUE!</v>
      </c>
      <c r="F62" s="358" t="e">
        <f t="shared" si="27"/>
        <v>#VALUE!</v>
      </c>
      <c r="G62" s="359" t="e">
        <f t="shared" si="6"/>
        <v>#VALUE!</v>
      </c>
      <c r="J62" s="354" t="str">
        <f t="shared" si="0"/>
        <v>M53</v>
      </c>
      <c r="K62" s="355">
        <f t="shared" si="7"/>
        <v>1142.4908399191872</v>
      </c>
      <c r="L62" s="356">
        <f t="shared" si="15"/>
        <v>866.29286619940729</v>
      </c>
      <c r="M62" s="357">
        <f t="shared" si="28"/>
        <v>49194.346895990282</v>
      </c>
      <c r="N62" s="358">
        <f t="shared" si="28"/>
        <v>57271.189528295203</v>
      </c>
      <c r="O62" s="359">
        <f t="shared" si="9"/>
        <v>102812.65310400969</v>
      </c>
      <c r="R62" s="354"/>
      <c r="S62" s="355">
        <f t="shared" si="10"/>
        <v>2912.4909315274163</v>
      </c>
      <c r="T62" s="356">
        <f t="shared" si="16"/>
        <v>4525.8826985630967</v>
      </c>
      <c r="U62" s="357">
        <f t="shared" si="25"/>
        <v>129806.56710395594</v>
      </c>
      <c r="V62" s="358">
        <f t="shared" si="25"/>
        <v>264427.23529084132</v>
      </c>
      <c r="W62" s="359">
        <f t="shared" si="11"/>
        <v>540193.43289604411</v>
      </c>
      <c r="Z62" s="354"/>
      <c r="AA62" s="355" t="e">
        <f t="shared" si="12"/>
        <v>#NUM!</v>
      </c>
      <c r="AB62" s="356" t="e">
        <f t="shared" si="13"/>
        <v>#NUM!</v>
      </c>
      <c r="AC62" s="357" t="e">
        <f t="shared" si="26"/>
        <v>#NUM!</v>
      </c>
      <c r="AD62" s="358" t="e">
        <f t="shared" si="26"/>
        <v>#NUM!</v>
      </c>
      <c r="AE62" s="359" t="e">
        <f t="shared" si="14"/>
        <v>#NUM!</v>
      </c>
    </row>
    <row r="63" spans="2:31" x14ac:dyDescent="0.25">
      <c r="B63" s="354" t="s">
        <v>435</v>
      </c>
      <c r="C63" s="355" t="e">
        <f t="shared" si="3"/>
        <v>#VALUE!</v>
      </c>
      <c r="D63" s="356" t="e">
        <f t="shared" si="4"/>
        <v>#VALUE!</v>
      </c>
      <c r="E63" s="357" t="e">
        <f t="shared" si="27"/>
        <v>#VALUE!</v>
      </c>
      <c r="F63" s="358" t="e">
        <f t="shared" si="27"/>
        <v>#VALUE!</v>
      </c>
      <c r="G63" s="359" t="e">
        <f t="shared" si="6"/>
        <v>#VALUE!</v>
      </c>
      <c r="J63" s="354" t="str">
        <f t="shared" si="0"/>
        <v>M54</v>
      </c>
      <c r="K63" s="355">
        <f t="shared" si="7"/>
        <v>1152.0115969185135</v>
      </c>
      <c r="L63" s="356">
        <f t="shared" si="15"/>
        <v>856.77210920008076</v>
      </c>
      <c r="M63" s="357">
        <f t="shared" si="28"/>
        <v>50346.358492908796</v>
      </c>
      <c r="N63" s="358">
        <f t="shared" si="28"/>
        <v>58127.961637495282</v>
      </c>
      <c r="O63" s="359">
        <f t="shared" si="9"/>
        <v>101660.64150709118</v>
      </c>
      <c r="R63" s="354"/>
      <c r="S63" s="355">
        <f t="shared" si="10"/>
        <v>2936.7616892901451</v>
      </c>
      <c r="T63" s="356">
        <f t="shared" si="16"/>
        <v>4501.6119408003678</v>
      </c>
      <c r="U63" s="357">
        <f t="shared" si="25"/>
        <v>132743.3287932461</v>
      </c>
      <c r="V63" s="358">
        <f t="shared" si="25"/>
        <v>268928.8472316417</v>
      </c>
      <c r="W63" s="359">
        <f t="shared" si="11"/>
        <v>537256.67120675393</v>
      </c>
      <c r="Z63" s="354"/>
      <c r="AA63" s="355" t="e">
        <f t="shared" si="12"/>
        <v>#NUM!</v>
      </c>
      <c r="AB63" s="356" t="e">
        <f t="shared" si="13"/>
        <v>#NUM!</v>
      </c>
      <c r="AC63" s="357" t="e">
        <f t="shared" si="26"/>
        <v>#NUM!</v>
      </c>
      <c r="AD63" s="358" t="e">
        <f t="shared" si="26"/>
        <v>#NUM!</v>
      </c>
      <c r="AE63" s="359" t="e">
        <f t="shared" si="14"/>
        <v>#NUM!</v>
      </c>
    </row>
    <row r="64" spans="2:31" x14ac:dyDescent="0.25">
      <c r="B64" s="354" t="s">
        <v>436</v>
      </c>
      <c r="C64" s="355" t="e">
        <f t="shared" si="3"/>
        <v>#VALUE!</v>
      </c>
      <c r="D64" s="356" t="e">
        <f t="shared" si="4"/>
        <v>#VALUE!</v>
      </c>
      <c r="E64" s="357" t="e">
        <f t="shared" si="27"/>
        <v>#VALUE!</v>
      </c>
      <c r="F64" s="358" t="e">
        <f t="shared" si="27"/>
        <v>#VALUE!</v>
      </c>
      <c r="G64" s="359" t="e">
        <f t="shared" si="6"/>
        <v>#VALUE!</v>
      </c>
      <c r="J64" s="354" t="str">
        <f t="shared" si="0"/>
        <v>M55</v>
      </c>
      <c r="K64" s="355">
        <f t="shared" si="7"/>
        <v>1161.6116935595014</v>
      </c>
      <c r="L64" s="356">
        <f t="shared" si="15"/>
        <v>847.1720125590931</v>
      </c>
      <c r="M64" s="357">
        <f t="shared" si="28"/>
        <v>51507.970186468294</v>
      </c>
      <c r="N64" s="358">
        <f t="shared" si="28"/>
        <v>58975.133650054377</v>
      </c>
      <c r="O64" s="359">
        <f t="shared" si="9"/>
        <v>100499.02981353167</v>
      </c>
      <c r="R64" s="354"/>
      <c r="S64" s="355">
        <f t="shared" si="10"/>
        <v>2961.2347033675633</v>
      </c>
      <c r="T64" s="356">
        <f t="shared" si="16"/>
        <v>4477.1389267229497</v>
      </c>
      <c r="U64" s="357">
        <f t="shared" ref="U64:V79" si="29">U63+S64</f>
        <v>135704.56349661367</v>
      </c>
      <c r="V64" s="358">
        <f t="shared" si="29"/>
        <v>273405.98615836463</v>
      </c>
      <c r="W64" s="359">
        <f t="shared" si="11"/>
        <v>534295.43650338636</v>
      </c>
      <c r="Z64" s="354"/>
      <c r="AA64" s="355" t="e">
        <f t="shared" si="12"/>
        <v>#NUM!</v>
      </c>
      <c r="AB64" s="356" t="e">
        <f t="shared" si="13"/>
        <v>#NUM!</v>
      </c>
      <c r="AC64" s="357" t="e">
        <f t="shared" ref="AC64:AD79" si="30">AC63+AA64</f>
        <v>#NUM!</v>
      </c>
      <c r="AD64" s="358" t="e">
        <f t="shared" si="30"/>
        <v>#NUM!</v>
      </c>
      <c r="AE64" s="359" t="e">
        <f t="shared" si="14"/>
        <v>#NUM!</v>
      </c>
    </row>
    <row r="65" spans="2:31" x14ac:dyDescent="0.25">
      <c r="B65" s="354" t="s">
        <v>437</v>
      </c>
      <c r="C65" s="355" t="e">
        <f t="shared" si="3"/>
        <v>#VALUE!</v>
      </c>
      <c r="D65" s="356" t="e">
        <f t="shared" si="4"/>
        <v>#VALUE!</v>
      </c>
      <c r="E65" s="357" t="e">
        <f t="shared" si="27"/>
        <v>#VALUE!</v>
      </c>
      <c r="F65" s="358" t="e">
        <f t="shared" si="27"/>
        <v>#VALUE!</v>
      </c>
      <c r="G65" s="359" t="e">
        <f t="shared" si="6"/>
        <v>#VALUE!</v>
      </c>
      <c r="J65" s="354" t="str">
        <f t="shared" si="0"/>
        <v>M56</v>
      </c>
      <c r="K65" s="355">
        <f t="shared" si="7"/>
        <v>1171.2917910058304</v>
      </c>
      <c r="L65" s="356">
        <f t="shared" si="15"/>
        <v>837.49191511276388</v>
      </c>
      <c r="M65" s="357">
        <f t="shared" si="28"/>
        <v>52679.261977474125</v>
      </c>
      <c r="N65" s="358">
        <f t="shared" si="28"/>
        <v>59812.625565167138</v>
      </c>
      <c r="O65" s="359">
        <f t="shared" si="9"/>
        <v>99327.738022525838</v>
      </c>
      <c r="R65" s="354"/>
      <c r="S65" s="355">
        <f t="shared" si="10"/>
        <v>2985.9116592289602</v>
      </c>
      <c r="T65" s="356">
        <f t="shared" si="16"/>
        <v>4452.4619708615528</v>
      </c>
      <c r="U65" s="357">
        <f t="shared" si="29"/>
        <v>138690.47515584264</v>
      </c>
      <c r="V65" s="358">
        <f t="shared" si="29"/>
        <v>277858.44812922616</v>
      </c>
      <c r="W65" s="359">
        <f t="shared" si="11"/>
        <v>531309.52484415739</v>
      </c>
      <c r="Z65" s="354"/>
      <c r="AA65" s="355" t="e">
        <f t="shared" si="12"/>
        <v>#NUM!</v>
      </c>
      <c r="AB65" s="356" t="e">
        <f t="shared" si="13"/>
        <v>#NUM!</v>
      </c>
      <c r="AC65" s="357" t="e">
        <f t="shared" si="30"/>
        <v>#NUM!</v>
      </c>
      <c r="AD65" s="358" t="e">
        <f t="shared" si="30"/>
        <v>#NUM!</v>
      </c>
      <c r="AE65" s="359" t="e">
        <f t="shared" si="14"/>
        <v>#NUM!</v>
      </c>
    </row>
    <row r="66" spans="2:31" x14ac:dyDescent="0.25">
      <c r="B66" s="354" t="s">
        <v>438</v>
      </c>
      <c r="C66" s="355" t="e">
        <f t="shared" si="3"/>
        <v>#VALUE!</v>
      </c>
      <c r="D66" s="356" t="e">
        <f t="shared" si="4"/>
        <v>#VALUE!</v>
      </c>
      <c r="E66" s="357" t="e">
        <f t="shared" si="27"/>
        <v>#VALUE!</v>
      </c>
      <c r="F66" s="358" t="e">
        <f t="shared" si="27"/>
        <v>#VALUE!</v>
      </c>
      <c r="G66" s="359" t="e">
        <f t="shared" si="6"/>
        <v>#VALUE!</v>
      </c>
      <c r="J66" s="354" t="str">
        <f t="shared" si="0"/>
        <v>M57</v>
      </c>
      <c r="K66" s="355">
        <f t="shared" si="7"/>
        <v>1181.052555930879</v>
      </c>
      <c r="L66" s="356">
        <f t="shared" si="15"/>
        <v>827.73115018771534</v>
      </c>
      <c r="M66" s="357">
        <f t="shared" si="28"/>
        <v>53860.314533405006</v>
      </c>
      <c r="N66" s="358">
        <f t="shared" si="28"/>
        <v>60640.35671535485</v>
      </c>
      <c r="O66" s="359">
        <f t="shared" si="9"/>
        <v>98146.685466594965</v>
      </c>
      <c r="R66" s="354"/>
      <c r="S66" s="355">
        <f t="shared" si="10"/>
        <v>3010.7942563892011</v>
      </c>
      <c r="T66" s="356">
        <f t="shared" si="16"/>
        <v>4427.5793737013119</v>
      </c>
      <c r="U66" s="357">
        <f t="shared" si="29"/>
        <v>141701.26941223184</v>
      </c>
      <c r="V66" s="358">
        <f t="shared" si="29"/>
        <v>282286.02750292746</v>
      </c>
      <c r="W66" s="359">
        <f t="shared" si="11"/>
        <v>528298.73058776814</v>
      </c>
      <c r="Z66" s="354"/>
      <c r="AA66" s="355" t="e">
        <f t="shared" si="12"/>
        <v>#NUM!</v>
      </c>
      <c r="AB66" s="356" t="e">
        <f t="shared" si="13"/>
        <v>#NUM!</v>
      </c>
      <c r="AC66" s="357" t="e">
        <f t="shared" si="30"/>
        <v>#NUM!</v>
      </c>
      <c r="AD66" s="358" t="e">
        <f t="shared" si="30"/>
        <v>#NUM!</v>
      </c>
      <c r="AE66" s="359" t="e">
        <f t="shared" si="14"/>
        <v>#NUM!</v>
      </c>
    </row>
    <row r="67" spans="2:31" x14ac:dyDescent="0.25">
      <c r="B67" s="354" t="s">
        <v>439</v>
      </c>
      <c r="C67" s="355" t="e">
        <f t="shared" si="3"/>
        <v>#VALUE!</v>
      </c>
      <c r="D67" s="356" t="e">
        <f t="shared" si="4"/>
        <v>#VALUE!</v>
      </c>
      <c r="E67" s="357" t="e">
        <f t="shared" si="27"/>
        <v>#VALUE!</v>
      </c>
      <c r="F67" s="358" t="e">
        <f t="shared" si="27"/>
        <v>#VALUE!</v>
      </c>
      <c r="G67" s="359" t="e">
        <f t="shared" si="6"/>
        <v>#VALUE!</v>
      </c>
      <c r="J67" s="354" t="str">
        <f t="shared" si="0"/>
        <v>M58</v>
      </c>
      <c r="K67" s="355">
        <f t="shared" si="7"/>
        <v>1190.8946605636365</v>
      </c>
      <c r="L67" s="356">
        <f t="shared" si="15"/>
        <v>817.88904555495799</v>
      </c>
      <c r="M67" s="357">
        <f t="shared" si="28"/>
        <v>55051.209193968643</v>
      </c>
      <c r="N67" s="358">
        <f t="shared" si="28"/>
        <v>61458.245760909806</v>
      </c>
      <c r="O67" s="359">
        <f t="shared" si="9"/>
        <v>96955.790806031335</v>
      </c>
      <c r="R67" s="354"/>
      <c r="S67" s="355">
        <f t="shared" si="10"/>
        <v>3035.8842085257784</v>
      </c>
      <c r="T67" s="356">
        <f t="shared" si="16"/>
        <v>4402.4894215647346</v>
      </c>
      <c r="U67" s="357">
        <f t="shared" si="29"/>
        <v>144737.15362075763</v>
      </c>
      <c r="V67" s="358">
        <f t="shared" si="29"/>
        <v>286688.5169244922</v>
      </c>
      <c r="W67" s="359">
        <f t="shared" si="11"/>
        <v>525262.84637924237</v>
      </c>
      <c r="Z67" s="354"/>
      <c r="AA67" s="355" t="e">
        <f t="shared" si="12"/>
        <v>#NUM!</v>
      </c>
      <c r="AB67" s="356" t="e">
        <f t="shared" si="13"/>
        <v>#NUM!</v>
      </c>
      <c r="AC67" s="357" t="e">
        <f t="shared" si="30"/>
        <v>#NUM!</v>
      </c>
      <c r="AD67" s="358" t="e">
        <f t="shared" si="30"/>
        <v>#NUM!</v>
      </c>
      <c r="AE67" s="359" t="e">
        <f t="shared" si="14"/>
        <v>#NUM!</v>
      </c>
    </row>
    <row r="68" spans="2:31" x14ac:dyDescent="0.25">
      <c r="B68" s="354" t="s">
        <v>440</v>
      </c>
      <c r="C68" s="355" t="e">
        <f t="shared" si="3"/>
        <v>#VALUE!</v>
      </c>
      <c r="D68" s="356" t="e">
        <f t="shared" si="4"/>
        <v>#VALUE!</v>
      </c>
      <c r="E68" s="357" t="e">
        <f t="shared" si="27"/>
        <v>#VALUE!</v>
      </c>
      <c r="F68" s="358" t="e">
        <f t="shared" si="27"/>
        <v>#VALUE!</v>
      </c>
      <c r="G68" s="359" t="e">
        <f t="shared" si="6"/>
        <v>#VALUE!</v>
      </c>
      <c r="J68" s="354" t="str">
        <f t="shared" si="0"/>
        <v>M59</v>
      </c>
      <c r="K68" s="355">
        <f t="shared" si="7"/>
        <v>1200.818782735</v>
      </c>
      <c r="L68" s="356">
        <f t="shared" si="15"/>
        <v>807.9649233835944</v>
      </c>
      <c r="M68" s="357">
        <f t="shared" si="28"/>
        <v>56252.027976703641</v>
      </c>
      <c r="N68" s="358">
        <f t="shared" si="28"/>
        <v>62266.210684293401</v>
      </c>
      <c r="O68" s="359">
        <f t="shared" si="9"/>
        <v>95754.97202329633</v>
      </c>
      <c r="R68" s="354"/>
      <c r="S68" s="355">
        <f t="shared" si="10"/>
        <v>3061.1832435968263</v>
      </c>
      <c r="T68" s="356">
        <f t="shared" si="16"/>
        <v>4377.1903864936867</v>
      </c>
      <c r="U68" s="357">
        <f t="shared" si="29"/>
        <v>147798.33686435447</v>
      </c>
      <c r="V68" s="358">
        <f t="shared" si="29"/>
        <v>291065.70731098589</v>
      </c>
      <c r="W68" s="359">
        <f t="shared" si="11"/>
        <v>522201.66313564556</v>
      </c>
      <c r="Z68" s="354"/>
      <c r="AA68" s="355" t="e">
        <f t="shared" si="12"/>
        <v>#NUM!</v>
      </c>
      <c r="AB68" s="356" t="e">
        <f t="shared" si="13"/>
        <v>#NUM!</v>
      </c>
      <c r="AC68" s="357" t="e">
        <f t="shared" si="30"/>
        <v>#NUM!</v>
      </c>
      <c r="AD68" s="358" t="e">
        <f t="shared" si="30"/>
        <v>#NUM!</v>
      </c>
      <c r="AE68" s="359" t="e">
        <f t="shared" si="14"/>
        <v>#NUM!</v>
      </c>
    </row>
    <row r="69" spans="2:31" x14ac:dyDescent="0.25">
      <c r="B69" s="354" t="s">
        <v>441</v>
      </c>
      <c r="C69" s="355" t="e">
        <f t="shared" si="3"/>
        <v>#VALUE!</v>
      </c>
      <c r="D69" s="356" t="e">
        <f t="shared" si="4"/>
        <v>#VALUE!</v>
      </c>
      <c r="E69" s="357" t="e">
        <f t="shared" si="27"/>
        <v>#VALUE!</v>
      </c>
      <c r="F69" s="358" t="e">
        <f t="shared" si="27"/>
        <v>#VALUE!</v>
      </c>
      <c r="G69" s="359" t="e">
        <f t="shared" si="6"/>
        <v>#VALUE!</v>
      </c>
      <c r="J69" s="354" t="str">
        <f t="shared" si="0"/>
        <v>M60</v>
      </c>
      <c r="K69" s="355">
        <f t="shared" si="7"/>
        <v>1210.8256059244584</v>
      </c>
      <c r="L69" s="356">
        <f t="shared" si="15"/>
        <v>797.95810019413602</v>
      </c>
      <c r="M69" s="357">
        <f t="shared" si="28"/>
        <v>57462.8535826281</v>
      </c>
      <c r="N69" s="358">
        <f t="shared" si="28"/>
        <v>63064.168784487534</v>
      </c>
      <c r="O69" s="359">
        <f t="shared" si="9"/>
        <v>94544.14641737187</v>
      </c>
      <c r="R69" s="354"/>
      <c r="S69" s="355">
        <f t="shared" si="10"/>
        <v>3086.6931039601332</v>
      </c>
      <c r="T69" s="356">
        <f t="shared" si="16"/>
        <v>4351.6805261303798</v>
      </c>
      <c r="U69" s="357">
        <f t="shared" si="29"/>
        <v>150885.0299683146</v>
      </c>
      <c r="V69" s="358">
        <f t="shared" si="29"/>
        <v>295417.38783711626</v>
      </c>
      <c r="W69" s="359">
        <f t="shared" si="11"/>
        <v>519114.97003168543</v>
      </c>
      <c r="Z69" s="354"/>
      <c r="AA69" s="355" t="e">
        <f t="shared" si="12"/>
        <v>#NUM!</v>
      </c>
      <c r="AB69" s="356" t="e">
        <f t="shared" si="13"/>
        <v>#NUM!</v>
      </c>
      <c r="AC69" s="357" t="e">
        <f t="shared" si="30"/>
        <v>#NUM!</v>
      </c>
      <c r="AD69" s="358" t="e">
        <f t="shared" si="30"/>
        <v>#NUM!</v>
      </c>
      <c r="AE69" s="359" t="e">
        <f t="shared" si="14"/>
        <v>#NUM!</v>
      </c>
    </row>
    <row r="70" spans="2:31" x14ac:dyDescent="0.25">
      <c r="B70" s="354" t="s">
        <v>442</v>
      </c>
      <c r="C70" s="355" t="e">
        <f t="shared" si="3"/>
        <v>#VALUE!</v>
      </c>
      <c r="D70" s="356" t="e">
        <f t="shared" si="4"/>
        <v>#VALUE!</v>
      </c>
      <c r="E70" s="357" t="e">
        <f t="shared" si="27"/>
        <v>#VALUE!</v>
      </c>
      <c r="F70" s="358" t="e">
        <f t="shared" si="27"/>
        <v>#VALUE!</v>
      </c>
      <c r="G70" s="359" t="e">
        <f t="shared" si="6"/>
        <v>#VALUE!</v>
      </c>
      <c r="J70" s="354" t="str">
        <f t="shared" si="0"/>
        <v>M61</v>
      </c>
      <c r="K70" s="355">
        <f t="shared" si="7"/>
        <v>1220.9158193071621</v>
      </c>
      <c r="L70" s="356">
        <f t="shared" si="15"/>
        <v>787.8678868114323</v>
      </c>
      <c r="M70" s="357">
        <f t="shared" si="28"/>
        <v>58683.769401935264</v>
      </c>
      <c r="N70" s="358">
        <f t="shared" si="28"/>
        <v>63852.036671298963</v>
      </c>
      <c r="O70" s="359">
        <f t="shared" si="9"/>
        <v>93323.230598064707</v>
      </c>
      <c r="R70" s="354"/>
      <c r="S70" s="355">
        <f t="shared" si="10"/>
        <v>3112.4155464931346</v>
      </c>
      <c r="T70" s="356">
        <f t="shared" si="16"/>
        <v>4325.9580835973784</v>
      </c>
      <c r="U70" s="357">
        <f t="shared" si="29"/>
        <v>153997.44551480774</v>
      </c>
      <c r="V70" s="358">
        <f t="shared" si="29"/>
        <v>299743.34592071362</v>
      </c>
      <c r="W70" s="359">
        <f t="shared" si="11"/>
        <v>516002.55448519229</v>
      </c>
      <c r="Z70" s="354"/>
      <c r="AA70" s="355" t="e">
        <f t="shared" si="12"/>
        <v>#NUM!</v>
      </c>
      <c r="AB70" s="356" t="e">
        <f t="shared" si="13"/>
        <v>#NUM!</v>
      </c>
      <c r="AC70" s="357" t="e">
        <f t="shared" si="30"/>
        <v>#NUM!</v>
      </c>
      <c r="AD70" s="358" t="e">
        <f t="shared" si="30"/>
        <v>#NUM!</v>
      </c>
      <c r="AE70" s="359" t="e">
        <f t="shared" si="14"/>
        <v>#NUM!</v>
      </c>
    </row>
    <row r="71" spans="2:31" x14ac:dyDescent="0.25">
      <c r="B71" s="354" t="s">
        <v>443</v>
      </c>
      <c r="C71" s="355" t="e">
        <f t="shared" si="3"/>
        <v>#VALUE!</v>
      </c>
      <c r="D71" s="356" t="e">
        <f t="shared" si="4"/>
        <v>#VALUE!</v>
      </c>
      <c r="E71" s="357" t="e">
        <f t="shared" si="27"/>
        <v>#VALUE!</v>
      </c>
      <c r="F71" s="358" t="e">
        <f t="shared" si="27"/>
        <v>#VALUE!</v>
      </c>
      <c r="G71" s="359" t="e">
        <f t="shared" si="6"/>
        <v>#VALUE!</v>
      </c>
      <c r="J71" s="354" t="str">
        <f t="shared" si="0"/>
        <v>M62</v>
      </c>
      <c r="K71" s="355">
        <f t="shared" si="7"/>
        <v>1231.0901178013885</v>
      </c>
      <c r="L71" s="356">
        <f t="shared" si="15"/>
        <v>777.69358831720592</v>
      </c>
      <c r="M71" s="357">
        <f t="shared" si="28"/>
        <v>59914.859519736652</v>
      </c>
      <c r="N71" s="358">
        <f t="shared" si="28"/>
        <v>64629.730259616168</v>
      </c>
      <c r="O71" s="359">
        <f t="shared" si="9"/>
        <v>92092.140480263319</v>
      </c>
      <c r="R71" s="354"/>
      <c r="S71" s="355">
        <f t="shared" si="10"/>
        <v>3138.3523427139107</v>
      </c>
      <c r="T71" s="356">
        <f t="shared" si="16"/>
        <v>4300.0212873766022</v>
      </c>
      <c r="U71" s="357">
        <f t="shared" si="29"/>
        <v>157135.79785752165</v>
      </c>
      <c r="V71" s="358">
        <f t="shared" si="29"/>
        <v>304043.3672080902</v>
      </c>
      <c r="W71" s="359">
        <f t="shared" si="11"/>
        <v>512864.20214247837</v>
      </c>
      <c r="Z71" s="354"/>
      <c r="AA71" s="355" t="e">
        <f t="shared" si="12"/>
        <v>#NUM!</v>
      </c>
      <c r="AB71" s="356" t="e">
        <f t="shared" si="13"/>
        <v>#NUM!</v>
      </c>
      <c r="AC71" s="357" t="e">
        <f t="shared" si="30"/>
        <v>#NUM!</v>
      </c>
      <c r="AD71" s="358" t="e">
        <f t="shared" si="30"/>
        <v>#NUM!</v>
      </c>
      <c r="AE71" s="359" t="e">
        <f t="shared" si="14"/>
        <v>#NUM!</v>
      </c>
    </row>
    <row r="72" spans="2:31" x14ac:dyDescent="0.25">
      <c r="B72" s="354" t="s">
        <v>444</v>
      </c>
      <c r="C72" s="355" t="e">
        <f t="shared" si="3"/>
        <v>#VALUE!</v>
      </c>
      <c r="D72" s="356" t="e">
        <f t="shared" si="4"/>
        <v>#VALUE!</v>
      </c>
      <c r="E72" s="357" t="e">
        <f t="shared" si="27"/>
        <v>#VALUE!</v>
      </c>
      <c r="F72" s="358" t="e">
        <f t="shared" si="27"/>
        <v>#VALUE!</v>
      </c>
      <c r="G72" s="359" t="e">
        <f t="shared" si="6"/>
        <v>#VALUE!</v>
      </c>
      <c r="J72" s="354" t="str">
        <f t="shared" si="0"/>
        <v>M63</v>
      </c>
      <c r="K72" s="355">
        <f t="shared" si="7"/>
        <v>1241.3492021164002</v>
      </c>
      <c r="L72" s="356">
        <f t="shared" si="15"/>
        <v>767.43450400219433</v>
      </c>
      <c r="M72" s="357">
        <f t="shared" si="28"/>
        <v>61156.208721853051</v>
      </c>
      <c r="N72" s="358">
        <f t="shared" si="28"/>
        <v>65397.164763618362</v>
      </c>
      <c r="O72" s="359">
        <f t="shared" si="9"/>
        <v>90850.79127814692</v>
      </c>
      <c r="R72" s="354"/>
      <c r="S72" s="355">
        <f t="shared" si="10"/>
        <v>3164.5052789031934</v>
      </c>
      <c r="T72" s="356">
        <f t="shared" si="16"/>
        <v>4273.8683511873196</v>
      </c>
      <c r="U72" s="357">
        <f t="shared" si="29"/>
        <v>160300.30313642486</v>
      </c>
      <c r="V72" s="358">
        <f t="shared" si="29"/>
        <v>308317.23555927753</v>
      </c>
      <c r="W72" s="359">
        <f t="shared" si="11"/>
        <v>509699.6968635752</v>
      </c>
      <c r="Z72" s="354"/>
      <c r="AA72" s="355" t="e">
        <f t="shared" si="12"/>
        <v>#NUM!</v>
      </c>
      <c r="AB72" s="356" t="e">
        <f t="shared" si="13"/>
        <v>#NUM!</v>
      </c>
      <c r="AC72" s="357" t="e">
        <f t="shared" si="30"/>
        <v>#NUM!</v>
      </c>
      <c r="AD72" s="358" t="e">
        <f t="shared" si="30"/>
        <v>#NUM!</v>
      </c>
      <c r="AE72" s="359" t="e">
        <f t="shared" si="14"/>
        <v>#NUM!</v>
      </c>
    </row>
    <row r="73" spans="2:31" x14ac:dyDescent="0.25">
      <c r="B73" s="354" t="s">
        <v>445</v>
      </c>
      <c r="C73" s="355" t="e">
        <f t="shared" si="3"/>
        <v>#VALUE!</v>
      </c>
      <c r="D73" s="356" t="e">
        <f t="shared" si="4"/>
        <v>#VALUE!</v>
      </c>
      <c r="E73" s="357" t="e">
        <f t="shared" si="27"/>
        <v>#VALUE!</v>
      </c>
      <c r="F73" s="358" t="e">
        <f t="shared" si="27"/>
        <v>#VALUE!</v>
      </c>
      <c r="G73" s="359" t="e">
        <f t="shared" si="6"/>
        <v>#VALUE!</v>
      </c>
      <c r="J73" s="354" t="str">
        <f t="shared" si="0"/>
        <v>M64</v>
      </c>
      <c r="K73" s="355">
        <f t="shared" si="7"/>
        <v>1251.6937788007035</v>
      </c>
      <c r="L73" s="356">
        <f t="shared" si="15"/>
        <v>757.08992731789101</v>
      </c>
      <c r="M73" s="357">
        <f t="shared" si="28"/>
        <v>62407.902500653756</v>
      </c>
      <c r="N73" s="358">
        <f t="shared" si="28"/>
        <v>66154.254690936257</v>
      </c>
      <c r="O73" s="359">
        <f t="shared" si="9"/>
        <v>89599.097499346215</v>
      </c>
      <c r="R73" s="354"/>
      <c r="S73" s="355">
        <f t="shared" si="10"/>
        <v>3190.8761562273867</v>
      </c>
      <c r="T73" s="356">
        <f t="shared" si="16"/>
        <v>4247.4974738631263</v>
      </c>
      <c r="U73" s="357">
        <f t="shared" si="29"/>
        <v>163491.17929265223</v>
      </c>
      <c r="V73" s="358">
        <f t="shared" si="29"/>
        <v>312564.73303314066</v>
      </c>
      <c r="W73" s="359">
        <f t="shared" si="11"/>
        <v>506508.82070734783</v>
      </c>
      <c r="Z73" s="354"/>
      <c r="AA73" s="355" t="e">
        <f t="shared" si="12"/>
        <v>#NUM!</v>
      </c>
      <c r="AB73" s="356" t="e">
        <f t="shared" si="13"/>
        <v>#NUM!</v>
      </c>
      <c r="AC73" s="357" t="e">
        <f t="shared" si="30"/>
        <v>#NUM!</v>
      </c>
      <c r="AD73" s="358" t="e">
        <f t="shared" si="30"/>
        <v>#NUM!</v>
      </c>
      <c r="AE73" s="359" t="e">
        <f t="shared" si="14"/>
        <v>#NUM!</v>
      </c>
    </row>
    <row r="74" spans="2:31" x14ac:dyDescent="0.25">
      <c r="B74" s="354" t="s">
        <v>446</v>
      </c>
      <c r="C74" s="355" t="e">
        <f t="shared" si="3"/>
        <v>#VALUE!</v>
      </c>
      <c r="D74" s="356" t="e">
        <f t="shared" si="4"/>
        <v>#VALUE!</v>
      </c>
      <c r="E74" s="357" t="e">
        <f t="shared" si="27"/>
        <v>#VALUE!</v>
      </c>
      <c r="F74" s="358" t="e">
        <f t="shared" si="27"/>
        <v>#VALUE!</v>
      </c>
      <c r="G74" s="359" t="e">
        <f t="shared" si="6"/>
        <v>#VALUE!</v>
      </c>
      <c r="J74" s="354" t="str">
        <f t="shared" ref="J74:J137" si="31">B74</f>
        <v>M65</v>
      </c>
      <c r="K74" s="355">
        <f t="shared" si="7"/>
        <v>1262.1245602907093</v>
      </c>
      <c r="L74" s="356">
        <f t="shared" si="15"/>
        <v>746.65914582788514</v>
      </c>
      <c r="M74" s="357">
        <f t="shared" si="28"/>
        <v>63670.027060944463</v>
      </c>
      <c r="N74" s="358">
        <f t="shared" si="28"/>
        <v>66900.913836764143</v>
      </c>
      <c r="O74" s="359">
        <f t="shared" si="9"/>
        <v>88336.9729390555</v>
      </c>
      <c r="R74" s="354"/>
      <c r="S74" s="355">
        <f t="shared" si="10"/>
        <v>3217.4667908626143</v>
      </c>
      <c r="T74" s="356">
        <f t="shared" si="16"/>
        <v>4220.9068392278987</v>
      </c>
      <c r="U74" s="357">
        <f t="shared" si="29"/>
        <v>166708.64608351485</v>
      </c>
      <c r="V74" s="358">
        <f t="shared" si="29"/>
        <v>316785.63987236854</v>
      </c>
      <c r="W74" s="359">
        <f t="shared" si="11"/>
        <v>503291.35391648521</v>
      </c>
      <c r="Z74" s="354"/>
      <c r="AA74" s="355" t="e">
        <f t="shared" si="12"/>
        <v>#NUM!</v>
      </c>
      <c r="AB74" s="356" t="e">
        <f t="shared" si="13"/>
        <v>#NUM!</v>
      </c>
      <c r="AC74" s="357" t="e">
        <f t="shared" si="30"/>
        <v>#NUM!</v>
      </c>
      <c r="AD74" s="358" t="e">
        <f t="shared" si="30"/>
        <v>#NUM!</v>
      </c>
      <c r="AE74" s="359" t="e">
        <f t="shared" si="14"/>
        <v>#NUM!</v>
      </c>
    </row>
    <row r="75" spans="2:31" x14ac:dyDescent="0.25">
      <c r="B75" s="354" t="s">
        <v>447</v>
      </c>
      <c r="C75" s="355" t="e">
        <f t="shared" si="3"/>
        <v>#VALUE!</v>
      </c>
      <c r="D75" s="356" t="e">
        <f t="shared" si="4"/>
        <v>#VALUE!</v>
      </c>
      <c r="E75" s="357" t="e">
        <f t="shared" si="27"/>
        <v>#VALUE!</v>
      </c>
      <c r="F75" s="358" t="e">
        <f t="shared" si="27"/>
        <v>#VALUE!</v>
      </c>
      <c r="G75" s="359" t="e">
        <f t="shared" si="6"/>
        <v>#VALUE!</v>
      </c>
      <c r="J75" s="354" t="str">
        <f t="shared" si="31"/>
        <v>M66</v>
      </c>
      <c r="K75" s="355">
        <f t="shared" si="7"/>
        <v>1272.6422649597985</v>
      </c>
      <c r="L75" s="356">
        <f t="shared" si="15"/>
        <v>736.14144115879583</v>
      </c>
      <c r="M75" s="357">
        <f t="shared" si="28"/>
        <v>64942.669325904259</v>
      </c>
      <c r="N75" s="358">
        <f t="shared" si="28"/>
        <v>67637.055277922933</v>
      </c>
      <c r="O75" s="359">
        <f t="shared" si="9"/>
        <v>87064.330674095705</v>
      </c>
      <c r="R75" s="354"/>
      <c r="S75" s="355">
        <f t="shared" si="10"/>
        <v>3244.2790141198029</v>
      </c>
      <c r="T75" s="356">
        <f t="shared" si="16"/>
        <v>4194.09461597071</v>
      </c>
      <c r="U75" s="357">
        <f t="shared" si="29"/>
        <v>169952.92509763464</v>
      </c>
      <c r="V75" s="358">
        <f t="shared" si="29"/>
        <v>320979.73448833928</v>
      </c>
      <c r="W75" s="359">
        <f t="shared" si="11"/>
        <v>500047.07490236539</v>
      </c>
      <c r="Z75" s="354"/>
      <c r="AA75" s="355" t="e">
        <f t="shared" si="12"/>
        <v>#NUM!</v>
      </c>
      <c r="AB75" s="356" t="e">
        <f t="shared" si="13"/>
        <v>#NUM!</v>
      </c>
      <c r="AC75" s="357" t="e">
        <f t="shared" si="30"/>
        <v>#NUM!</v>
      </c>
      <c r="AD75" s="358" t="e">
        <f t="shared" si="30"/>
        <v>#NUM!</v>
      </c>
      <c r="AE75" s="359" t="e">
        <f t="shared" si="14"/>
        <v>#NUM!</v>
      </c>
    </row>
    <row r="76" spans="2:31" x14ac:dyDescent="0.25">
      <c r="B76" s="354" t="s">
        <v>448</v>
      </c>
      <c r="C76" s="355" t="e">
        <f t="shared" ref="C76:C139" si="32">$D$6-D76</f>
        <v>#VALUE!</v>
      </c>
      <c r="D76" s="356" t="e">
        <f t="shared" ref="D76:D139" si="33">$D$4/12*G75</f>
        <v>#VALUE!</v>
      </c>
      <c r="E76" s="357" t="e">
        <f t="shared" ref="E76:F91" si="34">E75+C76</f>
        <v>#VALUE!</v>
      </c>
      <c r="F76" s="358" t="e">
        <f t="shared" si="34"/>
        <v>#VALUE!</v>
      </c>
      <c r="G76" s="359" t="e">
        <f t="shared" ref="G76:G139" si="35">G75-C76</f>
        <v>#VALUE!</v>
      </c>
      <c r="J76" s="354" t="str">
        <f t="shared" si="31"/>
        <v>M67</v>
      </c>
      <c r="K76" s="355">
        <f t="shared" ref="K76:K139" si="36">$L$6-L76</f>
        <v>1283.2476171677968</v>
      </c>
      <c r="L76" s="356">
        <f t="shared" si="15"/>
        <v>725.53608895079753</v>
      </c>
      <c r="M76" s="357">
        <f t="shared" ref="M76:N91" si="37">M75+K76</f>
        <v>66225.91694307205</v>
      </c>
      <c r="N76" s="358">
        <f t="shared" si="37"/>
        <v>68362.591366873734</v>
      </c>
      <c r="O76" s="359">
        <f t="shared" ref="O76:O139" si="38">O75-K76</f>
        <v>85781.083056927906</v>
      </c>
      <c r="R76" s="354"/>
      <c r="S76" s="355">
        <f t="shared" ref="S76:S139" si="39">$T$6-T76</f>
        <v>3271.3146725708011</v>
      </c>
      <c r="T76" s="356">
        <f t="shared" si="16"/>
        <v>4167.0589575197118</v>
      </c>
      <c r="U76" s="357">
        <f t="shared" si="29"/>
        <v>173224.23977020543</v>
      </c>
      <c r="V76" s="358">
        <f t="shared" si="29"/>
        <v>325146.79344585899</v>
      </c>
      <c r="W76" s="359">
        <f t="shared" ref="W76:W139" si="40">W75-S76</f>
        <v>496775.7602297946</v>
      </c>
      <c r="Z76" s="354"/>
      <c r="AA76" s="355" t="e">
        <f t="shared" ref="AA76:AA139" si="41">$T$6-AB76</f>
        <v>#NUM!</v>
      </c>
      <c r="AB76" s="356" t="e">
        <f t="shared" ref="AB76:AB139" si="42">$AB$4/12*AE75</f>
        <v>#NUM!</v>
      </c>
      <c r="AC76" s="357" t="e">
        <f t="shared" si="30"/>
        <v>#NUM!</v>
      </c>
      <c r="AD76" s="358" t="e">
        <f t="shared" si="30"/>
        <v>#NUM!</v>
      </c>
      <c r="AE76" s="359" t="e">
        <f t="shared" ref="AE76:AE139" si="43">AE75-AA76</f>
        <v>#NUM!</v>
      </c>
    </row>
    <row r="77" spans="2:31" x14ac:dyDescent="0.25">
      <c r="B77" s="354" t="s">
        <v>449</v>
      </c>
      <c r="C77" s="355" t="e">
        <f t="shared" si="32"/>
        <v>#VALUE!</v>
      </c>
      <c r="D77" s="356" t="e">
        <f t="shared" si="33"/>
        <v>#VALUE!</v>
      </c>
      <c r="E77" s="357" t="e">
        <f t="shared" si="34"/>
        <v>#VALUE!</v>
      </c>
      <c r="F77" s="358" t="e">
        <f t="shared" si="34"/>
        <v>#VALUE!</v>
      </c>
      <c r="G77" s="359" t="e">
        <f t="shared" si="35"/>
        <v>#VALUE!</v>
      </c>
      <c r="J77" s="354" t="str">
        <f t="shared" si="31"/>
        <v>M68</v>
      </c>
      <c r="K77" s="355">
        <f t="shared" si="36"/>
        <v>1293.9413473108618</v>
      </c>
      <c r="L77" s="356">
        <f t="shared" ref="L77:L140" si="44">$L$4/12*O76</f>
        <v>714.84235880773258</v>
      </c>
      <c r="M77" s="357">
        <f t="shared" si="37"/>
        <v>67519.858290382908</v>
      </c>
      <c r="N77" s="358">
        <f t="shared" si="37"/>
        <v>69077.433725681462</v>
      </c>
      <c r="O77" s="359">
        <f t="shared" si="38"/>
        <v>84487.141709617048</v>
      </c>
      <c r="R77" s="354"/>
      <c r="S77" s="355">
        <f t="shared" si="39"/>
        <v>3298.5756281755584</v>
      </c>
      <c r="T77" s="356">
        <f t="shared" ref="T77:T140" si="45">$L$4/12*W76</f>
        <v>4139.7980019149545</v>
      </c>
      <c r="U77" s="357">
        <f t="shared" si="29"/>
        <v>176522.81539838098</v>
      </c>
      <c r="V77" s="358">
        <f t="shared" si="29"/>
        <v>329286.59144777397</v>
      </c>
      <c r="W77" s="359">
        <f t="shared" si="40"/>
        <v>493477.18460161902</v>
      </c>
      <c r="Z77" s="354"/>
      <c r="AA77" s="355" t="e">
        <f t="shared" si="41"/>
        <v>#NUM!</v>
      </c>
      <c r="AB77" s="356" t="e">
        <f t="shared" si="42"/>
        <v>#NUM!</v>
      </c>
      <c r="AC77" s="357" t="e">
        <f t="shared" si="30"/>
        <v>#NUM!</v>
      </c>
      <c r="AD77" s="358" t="e">
        <f t="shared" si="30"/>
        <v>#NUM!</v>
      </c>
      <c r="AE77" s="359" t="e">
        <f t="shared" si="43"/>
        <v>#NUM!</v>
      </c>
    </row>
    <row r="78" spans="2:31" x14ac:dyDescent="0.25">
      <c r="B78" s="354" t="s">
        <v>450</v>
      </c>
      <c r="C78" s="355" t="e">
        <f t="shared" si="32"/>
        <v>#VALUE!</v>
      </c>
      <c r="D78" s="356" t="e">
        <f t="shared" si="33"/>
        <v>#VALUE!</v>
      </c>
      <c r="E78" s="357" t="e">
        <f t="shared" si="34"/>
        <v>#VALUE!</v>
      </c>
      <c r="F78" s="358" t="e">
        <f t="shared" si="34"/>
        <v>#VALUE!</v>
      </c>
      <c r="G78" s="359" t="e">
        <f t="shared" si="35"/>
        <v>#VALUE!</v>
      </c>
      <c r="J78" s="354" t="str">
        <f t="shared" si="31"/>
        <v>M69</v>
      </c>
      <c r="K78" s="355">
        <f t="shared" si="36"/>
        <v>1304.7241918717857</v>
      </c>
      <c r="L78" s="356">
        <f t="shared" si="44"/>
        <v>704.0595142468087</v>
      </c>
      <c r="M78" s="357">
        <f t="shared" si="37"/>
        <v>68824.5824822547</v>
      </c>
      <c r="N78" s="358">
        <f t="shared" si="37"/>
        <v>69781.49323992827</v>
      </c>
      <c r="O78" s="359">
        <f t="shared" si="38"/>
        <v>83182.417517745256</v>
      </c>
      <c r="R78" s="354"/>
      <c r="S78" s="355">
        <f t="shared" si="39"/>
        <v>3326.0637584103542</v>
      </c>
      <c r="T78" s="356">
        <f t="shared" si="45"/>
        <v>4112.3098716801587</v>
      </c>
      <c r="U78" s="357">
        <f t="shared" si="29"/>
        <v>179848.87915679134</v>
      </c>
      <c r="V78" s="358">
        <f t="shared" si="29"/>
        <v>333398.90131945413</v>
      </c>
      <c r="W78" s="359">
        <f t="shared" si="40"/>
        <v>490151.12084320869</v>
      </c>
      <c r="Z78" s="354"/>
      <c r="AA78" s="355" t="e">
        <f t="shared" si="41"/>
        <v>#NUM!</v>
      </c>
      <c r="AB78" s="356" t="e">
        <f t="shared" si="42"/>
        <v>#NUM!</v>
      </c>
      <c r="AC78" s="357" t="e">
        <f t="shared" si="30"/>
        <v>#NUM!</v>
      </c>
      <c r="AD78" s="358" t="e">
        <f t="shared" si="30"/>
        <v>#NUM!</v>
      </c>
      <c r="AE78" s="359" t="e">
        <f t="shared" si="43"/>
        <v>#NUM!</v>
      </c>
    </row>
    <row r="79" spans="2:31" x14ac:dyDescent="0.25">
      <c r="B79" s="354" t="s">
        <v>451</v>
      </c>
      <c r="C79" s="355" t="e">
        <f t="shared" si="32"/>
        <v>#VALUE!</v>
      </c>
      <c r="D79" s="356" t="e">
        <f t="shared" si="33"/>
        <v>#VALUE!</v>
      </c>
      <c r="E79" s="357" t="e">
        <f t="shared" si="34"/>
        <v>#VALUE!</v>
      </c>
      <c r="F79" s="358" t="e">
        <f t="shared" si="34"/>
        <v>#VALUE!</v>
      </c>
      <c r="G79" s="359" t="e">
        <f t="shared" si="35"/>
        <v>#VALUE!</v>
      </c>
      <c r="J79" s="354" t="str">
        <f t="shared" si="31"/>
        <v>M70</v>
      </c>
      <c r="K79" s="355">
        <f t="shared" si="36"/>
        <v>1315.5968934707173</v>
      </c>
      <c r="L79" s="356">
        <f t="shared" si="44"/>
        <v>693.1868126478771</v>
      </c>
      <c r="M79" s="357">
        <f t="shared" si="37"/>
        <v>70140.17937572542</v>
      </c>
      <c r="N79" s="358">
        <f t="shared" si="37"/>
        <v>70474.68005257615</v>
      </c>
      <c r="O79" s="359">
        <f t="shared" si="38"/>
        <v>81866.820624274536</v>
      </c>
      <c r="R79" s="354"/>
      <c r="S79" s="355">
        <f t="shared" si="39"/>
        <v>3353.7809563971073</v>
      </c>
      <c r="T79" s="356">
        <f t="shared" si="45"/>
        <v>4084.5926736934057</v>
      </c>
      <c r="U79" s="357">
        <f t="shared" si="29"/>
        <v>183202.66011318844</v>
      </c>
      <c r="V79" s="358">
        <f t="shared" si="29"/>
        <v>337483.49399314757</v>
      </c>
      <c r="W79" s="359">
        <f t="shared" si="40"/>
        <v>486797.33988681156</v>
      </c>
      <c r="Z79" s="354"/>
      <c r="AA79" s="355" t="e">
        <f t="shared" si="41"/>
        <v>#NUM!</v>
      </c>
      <c r="AB79" s="356" t="e">
        <f t="shared" si="42"/>
        <v>#NUM!</v>
      </c>
      <c r="AC79" s="357" t="e">
        <f t="shared" si="30"/>
        <v>#NUM!</v>
      </c>
      <c r="AD79" s="358" t="e">
        <f t="shared" si="30"/>
        <v>#NUM!</v>
      </c>
      <c r="AE79" s="359" t="e">
        <f t="shared" si="43"/>
        <v>#NUM!</v>
      </c>
    </row>
    <row r="80" spans="2:31" x14ac:dyDescent="0.25">
      <c r="B80" s="354" t="s">
        <v>452</v>
      </c>
      <c r="C80" s="355" t="e">
        <f t="shared" si="32"/>
        <v>#VALUE!</v>
      </c>
      <c r="D80" s="356" t="e">
        <f t="shared" si="33"/>
        <v>#VALUE!</v>
      </c>
      <c r="E80" s="357" t="e">
        <f t="shared" si="34"/>
        <v>#VALUE!</v>
      </c>
      <c r="F80" s="358" t="e">
        <f t="shared" si="34"/>
        <v>#VALUE!</v>
      </c>
      <c r="G80" s="359" t="e">
        <f t="shared" si="35"/>
        <v>#VALUE!</v>
      </c>
      <c r="J80" s="354" t="str">
        <f t="shared" si="31"/>
        <v>M71</v>
      </c>
      <c r="K80" s="355">
        <f t="shared" si="36"/>
        <v>1326.5602009163067</v>
      </c>
      <c r="L80" s="356">
        <f t="shared" si="44"/>
        <v>682.22350520228781</v>
      </c>
      <c r="M80" s="357">
        <f t="shared" si="37"/>
        <v>71466.739576641732</v>
      </c>
      <c r="N80" s="358">
        <f t="shared" si="37"/>
        <v>71156.903557778438</v>
      </c>
      <c r="O80" s="359">
        <f t="shared" si="38"/>
        <v>80540.260423358224</v>
      </c>
      <c r="R80" s="354"/>
      <c r="S80" s="355">
        <f t="shared" si="39"/>
        <v>3381.72913103375</v>
      </c>
      <c r="T80" s="356">
        <f t="shared" si="45"/>
        <v>4056.6444990567629</v>
      </c>
      <c r="U80" s="357">
        <f t="shared" ref="U80:V95" si="46">U79+S80</f>
        <v>186584.3892442222</v>
      </c>
      <c r="V80" s="358">
        <f t="shared" si="46"/>
        <v>341540.13849220431</v>
      </c>
      <c r="W80" s="359">
        <f t="shared" si="40"/>
        <v>483415.6107557778</v>
      </c>
      <c r="Z80" s="354"/>
      <c r="AA80" s="355" t="e">
        <f t="shared" si="41"/>
        <v>#NUM!</v>
      </c>
      <c r="AB80" s="356" t="e">
        <f t="shared" si="42"/>
        <v>#NUM!</v>
      </c>
      <c r="AC80" s="357" t="e">
        <f t="shared" ref="AC80:AD95" si="47">AC79+AA80</f>
        <v>#NUM!</v>
      </c>
      <c r="AD80" s="358" t="e">
        <f t="shared" si="47"/>
        <v>#NUM!</v>
      </c>
      <c r="AE80" s="359" t="e">
        <f t="shared" si="43"/>
        <v>#NUM!</v>
      </c>
    </row>
    <row r="81" spans="2:31" x14ac:dyDescent="0.25">
      <c r="B81" s="354" t="s">
        <v>453</v>
      </c>
      <c r="C81" s="355" t="e">
        <f t="shared" si="32"/>
        <v>#VALUE!</v>
      </c>
      <c r="D81" s="356" t="e">
        <f t="shared" si="33"/>
        <v>#VALUE!</v>
      </c>
      <c r="E81" s="357" t="e">
        <f t="shared" si="34"/>
        <v>#VALUE!</v>
      </c>
      <c r="F81" s="358" t="e">
        <f t="shared" si="34"/>
        <v>#VALUE!</v>
      </c>
      <c r="G81" s="359" t="e">
        <f t="shared" si="35"/>
        <v>#VALUE!</v>
      </c>
      <c r="J81" s="354" t="str">
        <f t="shared" si="31"/>
        <v>M72</v>
      </c>
      <c r="K81" s="355">
        <f t="shared" si="36"/>
        <v>1337.614869257276</v>
      </c>
      <c r="L81" s="356">
        <f t="shared" si="44"/>
        <v>671.16883686131848</v>
      </c>
      <c r="M81" s="357">
        <f t="shared" si="37"/>
        <v>72804.354445899007</v>
      </c>
      <c r="N81" s="358">
        <f t="shared" si="37"/>
        <v>71828.072394639763</v>
      </c>
      <c r="O81" s="359">
        <f t="shared" si="38"/>
        <v>79202.645554100949</v>
      </c>
      <c r="R81" s="354"/>
      <c r="S81" s="355">
        <f t="shared" si="39"/>
        <v>3409.910207125698</v>
      </c>
      <c r="T81" s="356">
        <f t="shared" si="45"/>
        <v>4028.463422964815</v>
      </c>
      <c r="U81" s="357">
        <f t="shared" si="46"/>
        <v>189994.29945134791</v>
      </c>
      <c r="V81" s="358">
        <f t="shared" si="46"/>
        <v>345568.6019151691</v>
      </c>
      <c r="W81" s="359">
        <f t="shared" si="40"/>
        <v>480005.70054865209</v>
      </c>
      <c r="Z81" s="354"/>
      <c r="AA81" s="355" t="e">
        <f t="shared" si="41"/>
        <v>#NUM!</v>
      </c>
      <c r="AB81" s="356" t="e">
        <f t="shared" si="42"/>
        <v>#NUM!</v>
      </c>
      <c r="AC81" s="357" t="e">
        <f t="shared" si="47"/>
        <v>#NUM!</v>
      </c>
      <c r="AD81" s="358" t="e">
        <f t="shared" si="47"/>
        <v>#NUM!</v>
      </c>
      <c r="AE81" s="359" t="e">
        <f t="shared" si="43"/>
        <v>#NUM!</v>
      </c>
    </row>
    <row r="82" spans="2:31" x14ac:dyDescent="0.25">
      <c r="B82" s="354" t="s">
        <v>454</v>
      </c>
      <c r="C82" s="355" t="e">
        <f t="shared" si="32"/>
        <v>#VALUE!</v>
      </c>
      <c r="D82" s="356" t="e">
        <f t="shared" si="33"/>
        <v>#VALUE!</v>
      </c>
      <c r="E82" s="357" t="e">
        <f t="shared" si="34"/>
        <v>#VALUE!</v>
      </c>
      <c r="F82" s="358" t="e">
        <f t="shared" si="34"/>
        <v>#VALUE!</v>
      </c>
      <c r="G82" s="359" t="e">
        <f t="shared" si="35"/>
        <v>#VALUE!</v>
      </c>
      <c r="J82" s="354" t="str">
        <f t="shared" si="31"/>
        <v>M73</v>
      </c>
      <c r="K82" s="355">
        <f t="shared" si="36"/>
        <v>1348.7616598344198</v>
      </c>
      <c r="L82" s="356">
        <f t="shared" si="44"/>
        <v>660.02204628417462</v>
      </c>
      <c r="M82" s="357">
        <f t="shared" si="37"/>
        <v>74153.116105733425</v>
      </c>
      <c r="N82" s="358">
        <f t="shared" si="37"/>
        <v>72488.094440923931</v>
      </c>
      <c r="O82" s="359">
        <f t="shared" si="38"/>
        <v>77853.883894266532</v>
      </c>
      <c r="R82" s="354"/>
      <c r="S82" s="355">
        <f t="shared" si="39"/>
        <v>3438.326125518412</v>
      </c>
      <c r="T82" s="356">
        <f t="shared" si="45"/>
        <v>4000.0475045721009</v>
      </c>
      <c r="U82" s="357">
        <f t="shared" si="46"/>
        <v>193432.62557686632</v>
      </c>
      <c r="V82" s="358">
        <f t="shared" si="46"/>
        <v>349568.64941974118</v>
      </c>
      <c r="W82" s="359">
        <f t="shared" si="40"/>
        <v>476567.37442313368</v>
      </c>
      <c r="Z82" s="354"/>
      <c r="AA82" s="355" t="e">
        <f t="shared" si="41"/>
        <v>#NUM!</v>
      </c>
      <c r="AB82" s="356" t="e">
        <f t="shared" si="42"/>
        <v>#NUM!</v>
      </c>
      <c r="AC82" s="357" t="e">
        <f t="shared" si="47"/>
        <v>#NUM!</v>
      </c>
      <c r="AD82" s="358" t="e">
        <f t="shared" si="47"/>
        <v>#NUM!</v>
      </c>
      <c r="AE82" s="359" t="e">
        <f t="shared" si="43"/>
        <v>#NUM!</v>
      </c>
    </row>
    <row r="83" spans="2:31" x14ac:dyDescent="0.25">
      <c r="B83" s="354" t="s">
        <v>455</v>
      </c>
      <c r="C83" s="355" t="e">
        <f t="shared" si="32"/>
        <v>#VALUE!</v>
      </c>
      <c r="D83" s="356" t="e">
        <f t="shared" si="33"/>
        <v>#VALUE!</v>
      </c>
      <c r="E83" s="357" t="e">
        <f t="shared" si="34"/>
        <v>#VALUE!</v>
      </c>
      <c r="F83" s="358" t="e">
        <f t="shared" si="34"/>
        <v>#VALUE!</v>
      </c>
      <c r="G83" s="359" t="e">
        <f t="shared" si="35"/>
        <v>#VALUE!</v>
      </c>
      <c r="J83" s="354" t="str">
        <f t="shared" si="31"/>
        <v>M74</v>
      </c>
      <c r="K83" s="355">
        <f t="shared" si="36"/>
        <v>1360.0013403330399</v>
      </c>
      <c r="L83" s="356">
        <f t="shared" si="44"/>
        <v>648.78236578555448</v>
      </c>
      <c r="M83" s="357">
        <f t="shared" si="37"/>
        <v>75513.117446066462</v>
      </c>
      <c r="N83" s="358">
        <f t="shared" si="37"/>
        <v>73136.876806709479</v>
      </c>
      <c r="O83" s="359">
        <f t="shared" si="38"/>
        <v>76493.882553933494</v>
      </c>
      <c r="R83" s="354"/>
      <c r="S83" s="355">
        <f t="shared" si="39"/>
        <v>3466.9788432310656</v>
      </c>
      <c r="T83" s="356">
        <f t="shared" si="45"/>
        <v>3971.3947868594473</v>
      </c>
      <c r="U83" s="357">
        <f t="shared" si="46"/>
        <v>196899.6044200974</v>
      </c>
      <c r="V83" s="358">
        <f t="shared" si="46"/>
        <v>353540.04420660064</v>
      </c>
      <c r="W83" s="359">
        <f t="shared" si="40"/>
        <v>473100.39557990263</v>
      </c>
      <c r="Z83" s="354"/>
      <c r="AA83" s="355" t="e">
        <f t="shared" si="41"/>
        <v>#NUM!</v>
      </c>
      <c r="AB83" s="356" t="e">
        <f t="shared" si="42"/>
        <v>#NUM!</v>
      </c>
      <c r="AC83" s="357" t="e">
        <f t="shared" si="47"/>
        <v>#NUM!</v>
      </c>
      <c r="AD83" s="358" t="e">
        <f t="shared" si="47"/>
        <v>#NUM!</v>
      </c>
      <c r="AE83" s="359" t="e">
        <f t="shared" si="43"/>
        <v>#NUM!</v>
      </c>
    </row>
    <row r="84" spans="2:31" x14ac:dyDescent="0.25">
      <c r="B84" s="354" t="s">
        <v>456</v>
      </c>
      <c r="C84" s="355" t="e">
        <f t="shared" si="32"/>
        <v>#VALUE!</v>
      </c>
      <c r="D84" s="356" t="e">
        <f t="shared" si="33"/>
        <v>#VALUE!</v>
      </c>
      <c r="E84" s="357" t="e">
        <f t="shared" si="34"/>
        <v>#VALUE!</v>
      </c>
      <c r="F84" s="358" t="e">
        <f t="shared" si="34"/>
        <v>#VALUE!</v>
      </c>
      <c r="G84" s="359" t="e">
        <f t="shared" si="35"/>
        <v>#VALUE!</v>
      </c>
      <c r="J84" s="354" t="str">
        <f t="shared" si="31"/>
        <v>M75</v>
      </c>
      <c r="K84" s="355">
        <f t="shared" si="36"/>
        <v>1371.3346848358153</v>
      </c>
      <c r="L84" s="356">
        <f t="shared" si="44"/>
        <v>637.44902128277909</v>
      </c>
      <c r="M84" s="357">
        <f t="shared" si="37"/>
        <v>76884.452130902282</v>
      </c>
      <c r="N84" s="358">
        <f t="shared" si="37"/>
        <v>73774.325827992259</v>
      </c>
      <c r="O84" s="359">
        <f t="shared" si="38"/>
        <v>75122.547869097674</v>
      </c>
      <c r="R84" s="354"/>
      <c r="S84" s="355">
        <f t="shared" si="39"/>
        <v>3495.8703335913247</v>
      </c>
      <c r="T84" s="356">
        <f t="shared" si="45"/>
        <v>3942.5032964991883</v>
      </c>
      <c r="U84" s="357">
        <f t="shared" si="46"/>
        <v>200395.47475368873</v>
      </c>
      <c r="V84" s="358">
        <f t="shared" si="46"/>
        <v>357482.54750309984</v>
      </c>
      <c r="W84" s="359">
        <f t="shared" si="40"/>
        <v>469604.52524631133</v>
      </c>
      <c r="Z84" s="354"/>
      <c r="AA84" s="355" t="e">
        <f t="shared" si="41"/>
        <v>#NUM!</v>
      </c>
      <c r="AB84" s="356" t="e">
        <f t="shared" si="42"/>
        <v>#NUM!</v>
      </c>
      <c r="AC84" s="357" t="e">
        <f t="shared" si="47"/>
        <v>#NUM!</v>
      </c>
      <c r="AD84" s="358" t="e">
        <f t="shared" si="47"/>
        <v>#NUM!</v>
      </c>
      <c r="AE84" s="359" t="e">
        <f t="shared" si="43"/>
        <v>#NUM!</v>
      </c>
    </row>
    <row r="85" spans="2:31" x14ac:dyDescent="0.25">
      <c r="B85" s="354" t="s">
        <v>457</v>
      </c>
      <c r="C85" s="355" t="e">
        <f t="shared" si="32"/>
        <v>#VALUE!</v>
      </c>
      <c r="D85" s="356" t="e">
        <f t="shared" si="33"/>
        <v>#VALUE!</v>
      </c>
      <c r="E85" s="357" t="e">
        <f t="shared" si="34"/>
        <v>#VALUE!</v>
      </c>
      <c r="F85" s="358" t="e">
        <f t="shared" si="34"/>
        <v>#VALUE!</v>
      </c>
      <c r="G85" s="359" t="e">
        <f t="shared" si="35"/>
        <v>#VALUE!</v>
      </c>
      <c r="J85" s="354" t="str">
        <f t="shared" si="31"/>
        <v>M76</v>
      </c>
      <c r="K85" s="355">
        <f t="shared" si="36"/>
        <v>1382.7624738761137</v>
      </c>
      <c r="L85" s="356">
        <f t="shared" si="44"/>
        <v>626.02123224248066</v>
      </c>
      <c r="M85" s="357">
        <f t="shared" si="37"/>
        <v>78267.21460477839</v>
      </c>
      <c r="N85" s="358">
        <f t="shared" si="37"/>
        <v>74400.347060234737</v>
      </c>
      <c r="O85" s="359">
        <f t="shared" si="38"/>
        <v>73739.785395221566</v>
      </c>
      <c r="R85" s="354"/>
      <c r="S85" s="355">
        <f t="shared" si="39"/>
        <v>3525.0025863712522</v>
      </c>
      <c r="T85" s="356">
        <f t="shared" si="45"/>
        <v>3913.3710437192608</v>
      </c>
      <c r="U85" s="357">
        <f t="shared" si="46"/>
        <v>203920.47734006</v>
      </c>
      <c r="V85" s="358">
        <f t="shared" si="46"/>
        <v>361395.91854681907</v>
      </c>
      <c r="W85" s="359">
        <f t="shared" si="40"/>
        <v>466079.52265994006</v>
      </c>
      <c r="Z85" s="354"/>
      <c r="AA85" s="355" t="e">
        <f t="shared" si="41"/>
        <v>#NUM!</v>
      </c>
      <c r="AB85" s="356" t="e">
        <f t="shared" si="42"/>
        <v>#NUM!</v>
      </c>
      <c r="AC85" s="357" t="e">
        <f t="shared" si="47"/>
        <v>#NUM!</v>
      </c>
      <c r="AD85" s="358" t="e">
        <f t="shared" si="47"/>
        <v>#NUM!</v>
      </c>
      <c r="AE85" s="359" t="e">
        <f t="shared" si="43"/>
        <v>#NUM!</v>
      </c>
    </row>
    <row r="86" spans="2:31" x14ac:dyDescent="0.25">
      <c r="B86" s="354" t="s">
        <v>458</v>
      </c>
      <c r="C86" s="355" t="e">
        <f t="shared" si="32"/>
        <v>#VALUE!</v>
      </c>
      <c r="D86" s="356" t="e">
        <f t="shared" si="33"/>
        <v>#VALUE!</v>
      </c>
      <c r="E86" s="357" t="e">
        <f t="shared" si="34"/>
        <v>#VALUE!</v>
      </c>
      <c r="F86" s="358" t="e">
        <f t="shared" si="34"/>
        <v>#VALUE!</v>
      </c>
      <c r="G86" s="359" t="e">
        <f t="shared" si="35"/>
        <v>#VALUE!</v>
      </c>
      <c r="J86" s="354" t="str">
        <f t="shared" si="31"/>
        <v>M77</v>
      </c>
      <c r="K86" s="355">
        <f t="shared" si="36"/>
        <v>1394.2854944917481</v>
      </c>
      <c r="L86" s="356">
        <f t="shared" si="44"/>
        <v>614.49821162684634</v>
      </c>
      <c r="M86" s="357">
        <f t="shared" si="37"/>
        <v>79661.500099270139</v>
      </c>
      <c r="N86" s="358">
        <f t="shared" si="37"/>
        <v>75014.845271861588</v>
      </c>
      <c r="O86" s="359">
        <f t="shared" si="38"/>
        <v>72345.499900729817</v>
      </c>
      <c r="R86" s="354"/>
      <c r="S86" s="355">
        <f t="shared" si="39"/>
        <v>3554.3776079243457</v>
      </c>
      <c r="T86" s="356">
        <f t="shared" si="45"/>
        <v>3883.9960221661672</v>
      </c>
      <c r="U86" s="357">
        <f t="shared" si="46"/>
        <v>207474.85494798434</v>
      </c>
      <c r="V86" s="358">
        <f t="shared" si="46"/>
        <v>365279.91456898523</v>
      </c>
      <c r="W86" s="359">
        <f t="shared" si="40"/>
        <v>462525.14505201572</v>
      </c>
      <c r="Z86" s="354"/>
      <c r="AA86" s="355" t="e">
        <f t="shared" si="41"/>
        <v>#NUM!</v>
      </c>
      <c r="AB86" s="356" t="e">
        <f t="shared" si="42"/>
        <v>#NUM!</v>
      </c>
      <c r="AC86" s="357" t="e">
        <f t="shared" si="47"/>
        <v>#NUM!</v>
      </c>
      <c r="AD86" s="358" t="e">
        <f t="shared" si="47"/>
        <v>#NUM!</v>
      </c>
      <c r="AE86" s="359" t="e">
        <f t="shared" si="43"/>
        <v>#NUM!</v>
      </c>
    </row>
    <row r="87" spans="2:31" x14ac:dyDescent="0.25">
      <c r="B87" s="354" t="s">
        <v>459</v>
      </c>
      <c r="C87" s="355" t="e">
        <f t="shared" si="32"/>
        <v>#VALUE!</v>
      </c>
      <c r="D87" s="356" t="e">
        <f t="shared" si="33"/>
        <v>#VALUE!</v>
      </c>
      <c r="E87" s="357" t="e">
        <f t="shared" si="34"/>
        <v>#VALUE!</v>
      </c>
      <c r="F87" s="358" t="e">
        <f t="shared" si="34"/>
        <v>#VALUE!</v>
      </c>
      <c r="G87" s="359" t="e">
        <f t="shared" si="35"/>
        <v>#VALUE!</v>
      </c>
      <c r="J87" s="354" t="str">
        <f t="shared" si="31"/>
        <v>M78</v>
      </c>
      <c r="K87" s="355">
        <f t="shared" si="36"/>
        <v>1405.9045402791794</v>
      </c>
      <c r="L87" s="356">
        <f t="shared" si="44"/>
        <v>602.87916583941512</v>
      </c>
      <c r="M87" s="357">
        <f t="shared" si="37"/>
        <v>81067.404639549321</v>
      </c>
      <c r="N87" s="358">
        <f t="shared" si="37"/>
        <v>75617.724437701007</v>
      </c>
      <c r="O87" s="359">
        <f t="shared" si="38"/>
        <v>70939.595360450636</v>
      </c>
      <c r="R87" s="354"/>
      <c r="S87" s="355">
        <f t="shared" si="39"/>
        <v>3583.9974213237151</v>
      </c>
      <c r="T87" s="356">
        <f t="shared" si="45"/>
        <v>3854.3762087667978</v>
      </c>
      <c r="U87" s="357">
        <f t="shared" si="46"/>
        <v>211058.85236930806</v>
      </c>
      <c r="V87" s="358">
        <f t="shared" si="46"/>
        <v>369134.290777752</v>
      </c>
      <c r="W87" s="359">
        <f t="shared" si="40"/>
        <v>458941.14763069199</v>
      </c>
      <c r="Z87" s="354"/>
      <c r="AA87" s="355" t="e">
        <f t="shared" si="41"/>
        <v>#NUM!</v>
      </c>
      <c r="AB87" s="356" t="e">
        <f t="shared" si="42"/>
        <v>#NUM!</v>
      </c>
      <c r="AC87" s="357" t="e">
        <f t="shared" si="47"/>
        <v>#NUM!</v>
      </c>
      <c r="AD87" s="358" t="e">
        <f t="shared" si="47"/>
        <v>#NUM!</v>
      </c>
      <c r="AE87" s="359" t="e">
        <f t="shared" si="43"/>
        <v>#NUM!</v>
      </c>
    </row>
    <row r="88" spans="2:31" x14ac:dyDescent="0.25">
      <c r="B88" s="354" t="s">
        <v>460</v>
      </c>
      <c r="C88" s="355" t="e">
        <f t="shared" si="32"/>
        <v>#VALUE!</v>
      </c>
      <c r="D88" s="356" t="e">
        <f t="shared" si="33"/>
        <v>#VALUE!</v>
      </c>
      <c r="E88" s="357" t="e">
        <f t="shared" si="34"/>
        <v>#VALUE!</v>
      </c>
      <c r="F88" s="358" t="e">
        <f t="shared" si="34"/>
        <v>#VALUE!</v>
      </c>
      <c r="G88" s="359" t="e">
        <f t="shared" si="35"/>
        <v>#VALUE!</v>
      </c>
      <c r="J88" s="354" t="str">
        <f t="shared" si="31"/>
        <v>M79</v>
      </c>
      <c r="K88" s="355">
        <f t="shared" si="36"/>
        <v>1417.6204114481725</v>
      </c>
      <c r="L88" s="356">
        <f t="shared" si="44"/>
        <v>591.16329467042192</v>
      </c>
      <c r="M88" s="357">
        <f t="shared" si="37"/>
        <v>82485.025050997487</v>
      </c>
      <c r="N88" s="358">
        <f t="shared" si="37"/>
        <v>76208.887732371426</v>
      </c>
      <c r="O88" s="359">
        <f t="shared" si="38"/>
        <v>69521.97494900247</v>
      </c>
      <c r="R88" s="354"/>
      <c r="S88" s="355">
        <f t="shared" si="39"/>
        <v>3613.8640665014132</v>
      </c>
      <c r="T88" s="356">
        <f t="shared" si="45"/>
        <v>3824.5095635890998</v>
      </c>
      <c r="U88" s="357">
        <f t="shared" si="46"/>
        <v>214672.71643580947</v>
      </c>
      <c r="V88" s="358">
        <f t="shared" si="46"/>
        <v>372958.80034134112</v>
      </c>
      <c r="W88" s="359">
        <f t="shared" si="40"/>
        <v>455327.28356419055</v>
      </c>
      <c r="Z88" s="354"/>
      <c r="AA88" s="355" t="e">
        <f t="shared" si="41"/>
        <v>#NUM!</v>
      </c>
      <c r="AB88" s="356" t="e">
        <f t="shared" si="42"/>
        <v>#NUM!</v>
      </c>
      <c r="AC88" s="357" t="e">
        <f t="shared" si="47"/>
        <v>#NUM!</v>
      </c>
      <c r="AD88" s="358" t="e">
        <f t="shared" si="47"/>
        <v>#NUM!</v>
      </c>
      <c r="AE88" s="359" t="e">
        <f t="shared" si="43"/>
        <v>#NUM!</v>
      </c>
    </row>
    <row r="89" spans="2:31" x14ac:dyDescent="0.25">
      <c r="B89" s="354" t="s">
        <v>461</v>
      </c>
      <c r="C89" s="355" t="e">
        <f t="shared" si="32"/>
        <v>#VALUE!</v>
      </c>
      <c r="D89" s="356" t="e">
        <f t="shared" si="33"/>
        <v>#VALUE!</v>
      </c>
      <c r="E89" s="357" t="e">
        <f t="shared" si="34"/>
        <v>#VALUE!</v>
      </c>
      <c r="F89" s="358" t="e">
        <f t="shared" si="34"/>
        <v>#VALUE!</v>
      </c>
      <c r="G89" s="359" t="e">
        <f t="shared" si="35"/>
        <v>#VALUE!</v>
      </c>
      <c r="J89" s="354" t="str">
        <f t="shared" si="31"/>
        <v>M80</v>
      </c>
      <c r="K89" s="355">
        <f t="shared" si="36"/>
        <v>1429.4339148769072</v>
      </c>
      <c r="L89" s="356">
        <f t="shared" si="44"/>
        <v>579.34979124168729</v>
      </c>
      <c r="M89" s="357">
        <f t="shared" si="37"/>
        <v>83914.458965874393</v>
      </c>
      <c r="N89" s="358">
        <f t="shared" si="37"/>
        <v>76788.237523613119</v>
      </c>
      <c r="O89" s="359">
        <f t="shared" si="38"/>
        <v>68092.541034125563</v>
      </c>
      <c r="R89" s="354"/>
      <c r="S89" s="355">
        <f t="shared" si="39"/>
        <v>3643.9796003889251</v>
      </c>
      <c r="T89" s="356">
        <f t="shared" si="45"/>
        <v>3794.3940297015879</v>
      </c>
      <c r="U89" s="357">
        <f t="shared" si="46"/>
        <v>218316.69603619841</v>
      </c>
      <c r="V89" s="358">
        <f t="shared" si="46"/>
        <v>376753.19437104271</v>
      </c>
      <c r="W89" s="359">
        <f t="shared" si="40"/>
        <v>451683.30396380165</v>
      </c>
      <c r="Z89" s="354"/>
      <c r="AA89" s="355" t="e">
        <f t="shared" si="41"/>
        <v>#NUM!</v>
      </c>
      <c r="AB89" s="356" t="e">
        <f t="shared" si="42"/>
        <v>#NUM!</v>
      </c>
      <c r="AC89" s="357" t="e">
        <f t="shared" si="47"/>
        <v>#NUM!</v>
      </c>
      <c r="AD89" s="358" t="e">
        <f t="shared" si="47"/>
        <v>#NUM!</v>
      </c>
      <c r="AE89" s="359" t="e">
        <f t="shared" si="43"/>
        <v>#NUM!</v>
      </c>
    </row>
    <row r="90" spans="2:31" x14ac:dyDescent="0.25">
      <c r="B90" s="354" t="s">
        <v>462</v>
      </c>
      <c r="C90" s="355" t="e">
        <f t="shared" si="32"/>
        <v>#VALUE!</v>
      </c>
      <c r="D90" s="356" t="e">
        <f t="shared" si="33"/>
        <v>#VALUE!</v>
      </c>
      <c r="E90" s="357" t="e">
        <f t="shared" si="34"/>
        <v>#VALUE!</v>
      </c>
      <c r="F90" s="358" t="e">
        <f t="shared" si="34"/>
        <v>#VALUE!</v>
      </c>
      <c r="G90" s="359" t="e">
        <f t="shared" si="35"/>
        <v>#VALUE!</v>
      </c>
      <c r="J90" s="354" t="str">
        <f t="shared" si="31"/>
        <v>M81</v>
      </c>
      <c r="K90" s="355">
        <f t="shared" si="36"/>
        <v>1441.3458641675479</v>
      </c>
      <c r="L90" s="356">
        <f t="shared" si="44"/>
        <v>567.43784195104638</v>
      </c>
      <c r="M90" s="357">
        <f t="shared" si="37"/>
        <v>85355.804830041947</v>
      </c>
      <c r="N90" s="358">
        <f t="shared" si="37"/>
        <v>77355.675365564166</v>
      </c>
      <c r="O90" s="359">
        <f t="shared" si="38"/>
        <v>66651.19516995801</v>
      </c>
      <c r="R90" s="354"/>
      <c r="S90" s="355">
        <f t="shared" si="39"/>
        <v>3674.3460970588326</v>
      </c>
      <c r="T90" s="356">
        <f t="shared" si="45"/>
        <v>3764.0275330316804</v>
      </c>
      <c r="U90" s="357">
        <f t="shared" si="46"/>
        <v>221991.04213325723</v>
      </c>
      <c r="V90" s="358">
        <f t="shared" si="46"/>
        <v>380517.22190407442</v>
      </c>
      <c r="W90" s="359">
        <f t="shared" si="40"/>
        <v>448008.9578667428</v>
      </c>
      <c r="Z90" s="354"/>
      <c r="AA90" s="355" t="e">
        <f t="shared" si="41"/>
        <v>#NUM!</v>
      </c>
      <c r="AB90" s="356" t="e">
        <f t="shared" si="42"/>
        <v>#NUM!</v>
      </c>
      <c r="AC90" s="357" t="e">
        <f t="shared" si="47"/>
        <v>#NUM!</v>
      </c>
      <c r="AD90" s="358" t="e">
        <f t="shared" si="47"/>
        <v>#NUM!</v>
      </c>
      <c r="AE90" s="359" t="e">
        <f t="shared" si="43"/>
        <v>#NUM!</v>
      </c>
    </row>
    <row r="91" spans="2:31" x14ac:dyDescent="0.25">
      <c r="B91" s="354" t="s">
        <v>463</v>
      </c>
      <c r="C91" s="355" t="e">
        <f t="shared" si="32"/>
        <v>#VALUE!</v>
      </c>
      <c r="D91" s="356" t="e">
        <f t="shared" si="33"/>
        <v>#VALUE!</v>
      </c>
      <c r="E91" s="357" t="e">
        <f t="shared" si="34"/>
        <v>#VALUE!</v>
      </c>
      <c r="F91" s="358" t="e">
        <f t="shared" si="34"/>
        <v>#VALUE!</v>
      </c>
      <c r="G91" s="359" t="e">
        <f t="shared" si="35"/>
        <v>#VALUE!</v>
      </c>
      <c r="J91" s="354" t="str">
        <f t="shared" si="31"/>
        <v>M82</v>
      </c>
      <c r="K91" s="355">
        <f t="shared" si="36"/>
        <v>1453.3570797022776</v>
      </c>
      <c r="L91" s="356">
        <f t="shared" si="44"/>
        <v>555.42662641631671</v>
      </c>
      <c r="M91" s="357">
        <f t="shared" si="37"/>
        <v>86809.161909744231</v>
      </c>
      <c r="N91" s="358">
        <f t="shared" si="37"/>
        <v>77911.101991980482</v>
      </c>
      <c r="O91" s="359">
        <f t="shared" si="38"/>
        <v>65197.838090255733</v>
      </c>
      <c r="R91" s="354"/>
      <c r="S91" s="355">
        <f t="shared" si="39"/>
        <v>3704.9656478676566</v>
      </c>
      <c r="T91" s="356">
        <f t="shared" si="45"/>
        <v>3733.4079822228564</v>
      </c>
      <c r="U91" s="357">
        <f t="shared" si="46"/>
        <v>225696.00778112488</v>
      </c>
      <c r="V91" s="358">
        <f t="shared" si="46"/>
        <v>384250.62988629728</v>
      </c>
      <c r="W91" s="359">
        <f t="shared" si="40"/>
        <v>444303.99221887515</v>
      </c>
      <c r="Z91" s="354"/>
      <c r="AA91" s="355" t="e">
        <f t="shared" si="41"/>
        <v>#NUM!</v>
      </c>
      <c r="AB91" s="356" t="e">
        <f t="shared" si="42"/>
        <v>#NUM!</v>
      </c>
      <c r="AC91" s="357" t="e">
        <f t="shared" si="47"/>
        <v>#NUM!</v>
      </c>
      <c r="AD91" s="358" t="e">
        <f t="shared" si="47"/>
        <v>#NUM!</v>
      </c>
      <c r="AE91" s="359" t="e">
        <f t="shared" si="43"/>
        <v>#NUM!</v>
      </c>
    </row>
    <row r="92" spans="2:31" x14ac:dyDescent="0.25">
      <c r="B92" s="354" t="s">
        <v>464</v>
      </c>
      <c r="C92" s="355" t="e">
        <f t="shared" si="32"/>
        <v>#VALUE!</v>
      </c>
      <c r="D92" s="356" t="e">
        <f t="shared" si="33"/>
        <v>#VALUE!</v>
      </c>
      <c r="E92" s="357" t="e">
        <f t="shared" ref="E92:F107" si="48">E91+C92</f>
        <v>#VALUE!</v>
      </c>
      <c r="F92" s="358" t="e">
        <f t="shared" si="48"/>
        <v>#VALUE!</v>
      </c>
      <c r="G92" s="359" t="e">
        <f t="shared" si="35"/>
        <v>#VALUE!</v>
      </c>
      <c r="J92" s="354" t="str">
        <f t="shared" si="31"/>
        <v>M83</v>
      </c>
      <c r="K92" s="355">
        <f t="shared" si="36"/>
        <v>1465.4683886997966</v>
      </c>
      <c r="L92" s="356">
        <f t="shared" si="44"/>
        <v>543.3153174187978</v>
      </c>
      <c r="M92" s="357">
        <f t="shared" ref="M92:N107" si="49">M91+K92</f>
        <v>88274.630298444026</v>
      </c>
      <c r="N92" s="358">
        <f t="shared" si="49"/>
        <v>78454.417309399287</v>
      </c>
      <c r="O92" s="359">
        <f t="shared" si="38"/>
        <v>63732.369701555937</v>
      </c>
      <c r="R92" s="354"/>
      <c r="S92" s="355">
        <f t="shared" si="39"/>
        <v>3735.8403615998868</v>
      </c>
      <c r="T92" s="356">
        <f t="shared" si="45"/>
        <v>3702.5332684906261</v>
      </c>
      <c r="U92" s="357">
        <f t="shared" si="46"/>
        <v>229431.84814272478</v>
      </c>
      <c r="V92" s="358">
        <f t="shared" si="46"/>
        <v>387953.16315478791</v>
      </c>
      <c r="W92" s="359">
        <f t="shared" si="40"/>
        <v>440568.15185727528</v>
      </c>
      <c r="Z92" s="354"/>
      <c r="AA92" s="355" t="e">
        <f t="shared" si="41"/>
        <v>#NUM!</v>
      </c>
      <c r="AB92" s="356" t="e">
        <f t="shared" si="42"/>
        <v>#NUM!</v>
      </c>
      <c r="AC92" s="357" t="e">
        <f t="shared" si="47"/>
        <v>#NUM!</v>
      </c>
      <c r="AD92" s="358" t="e">
        <f t="shared" si="47"/>
        <v>#NUM!</v>
      </c>
      <c r="AE92" s="359" t="e">
        <f t="shared" si="43"/>
        <v>#NUM!</v>
      </c>
    </row>
    <row r="93" spans="2:31" x14ac:dyDescent="0.25">
      <c r="B93" s="354" t="s">
        <v>465</v>
      </c>
      <c r="C93" s="355" t="e">
        <f t="shared" si="32"/>
        <v>#VALUE!</v>
      </c>
      <c r="D93" s="356" t="e">
        <f t="shared" si="33"/>
        <v>#VALUE!</v>
      </c>
      <c r="E93" s="357" t="e">
        <f t="shared" si="48"/>
        <v>#VALUE!</v>
      </c>
      <c r="F93" s="358" t="e">
        <f t="shared" si="48"/>
        <v>#VALUE!</v>
      </c>
      <c r="G93" s="359" t="e">
        <f t="shared" si="35"/>
        <v>#VALUE!</v>
      </c>
      <c r="J93" s="354" t="str">
        <f t="shared" si="31"/>
        <v>M84</v>
      </c>
      <c r="K93" s="355">
        <f t="shared" si="36"/>
        <v>1477.6806252722949</v>
      </c>
      <c r="L93" s="356">
        <f t="shared" si="44"/>
        <v>531.10308084629946</v>
      </c>
      <c r="M93" s="357">
        <f t="shared" si="49"/>
        <v>89752.310923716315</v>
      </c>
      <c r="N93" s="358">
        <f t="shared" si="49"/>
        <v>78985.520390245583</v>
      </c>
      <c r="O93" s="359">
        <f t="shared" si="38"/>
        <v>62254.689076283641</v>
      </c>
      <c r="R93" s="354"/>
      <c r="S93" s="355">
        <f t="shared" si="39"/>
        <v>3766.9723646132188</v>
      </c>
      <c r="T93" s="356">
        <f t="shared" si="45"/>
        <v>3671.4012654772941</v>
      </c>
      <c r="U93" s="357">
        <f t="shared" si="46"/>
        <v>233198.82050733798</v>
      </c>
      <c r="V93" s="358">
        <f t="shared" si="46"/>
        <v>391624.5644202652</v>
      </c>
      <c r="W93" s="359">
        <f t="shared" si="40"/>
        <v>436801.17949266208</v>
      </c>
      <c r="Z93" s="354"/>
      <c r="AA93" s="355" t="e">
        <f t="shared" si="41"/>
        <v>#NUM!</v>
      </c>
      <c r="AB93" s="356" t="e">
        <f t="shared" si="42"/>
        <v>#NUM!</v>
      </c>
      <c r="AC93" s="357" t="e">
        <f t="shared" si="47"/>
        <v>#NUM!</v>
      </c>
      <c r="AD93" s="358" t="e">
        <f t="shared" si="47"/>
        <v>#NUM!</v>
      </c>
      <c r="AE93" s="359" t="e">
        <f t="shared" si="43"/>
        <v>#NUM!</v>
      </c>
    </row>
    <row r="94" spans="2:31" x14ac:dyDescent="0.25">
      <c r="B94" s="354" t="s">
        <v>466</v>
      </c>
      <c r="C94" s="355" t="e">
        <f t="shared" si="32"/>
        <v>#VALUE!</v>
      </c>
      <c r="D94" s="356" t="e">
        <f t="shared" si="33"/>
        <v>#VALUE!</v>
      </c>
      <c r="E94" s="357" t="e">
        <f t="shared" si="48"/>
        <v>#VALUE!</v>
      </c>
      <c r="F94" s="358" t="e">
        <f t="shared" si="48"/>
        <v>#VALUE!</v>
      </c>
      <c r="G94" s="359" t="e">
        <f t="shared" si="35"/>
        <v>#VALUE!</v>
      </c>
      <c r="J94" s="354" t="str">
        <f t="shared" si="31"/>
        <v>M85</v>
      </c>
      <c r="K94" s="355">
        <f t="shared" si="36"/>
        <v>1489.9946304828973</v>
      </c>
      <c r="L94" s="356">
        <f t="shared" si="44"/>
        <v>518.78907563569703</v>
      </c>
      <c r="M94" s="357">
        <f t="shared" si="49"/>
        <v>91242.305554199207</v>
      </c>
      <c r="N94" s="358">
        <f t="shared" si="49"/>
        <v>79504.309465881277</v>
      </c>
      <c r="O94" s="359">
        <f t="shared" si="38"/>
        <v>60764.694445800742</v>
      </c>
      <c r="R94" s="354"/>
      <c r="S94" s="355">
        <f t="shared" si="39"/>
        <v>3798.3638009849956</v>
      </c>
      <c r="T94" s="356">
        <f t="shared" si="45"/>
        <v>3640.0098291055174</v>
      </c>
      <c r="U94" s="357">
        <f t="shared" si="46"/>
        <v>236997.18430832296</v>
      </c>
      <c r="V94" s="358">
        <f t="shared" si="46"/>
        <v>395264.57424937072</v>
      </c>
      <c r="W94" s="359">
        <f t="shared" si="40"/>
        <v>433002.8156916771</v>
      </c>
      <c r="Z94" s="354"/>
      <c r="AA94" s="355" t="e">
        <f t="shared" si="41"/>
        <v>#NUM!</v>
      </c>
      <c r="AB94" s="356" t="e">
        <f t="shared" si="42"/>
        <v>#NUM!</v>
      </c>
      <c r="AC94" s="357" t="e">
        <f t="shared" si="47"/>
        <v>#NUM!</v>
      </c>
      <c r="AD94" s="358" t="e">
        <f t="shared" si="47"/>
        <v>#NUM!</v>
      </c>
      <c r="AE94" s="359" t="e">
        <f t="shared" si="43"/>
        <v>#NUM!</v>
      </c>
    </row>
    <row r="95" spans="2:31" x14ac:dyDescent="0.25">
      <c r="B95" s="354" t="s">
        <v>467</v>
      </c>
      <c r="C95" s="355" t="e">
        <f t="shared" si="32"/>
        <v>#VALUE!</v>
      </c>
      <c r="D95" s="356" t="e">
        <f t="shared" si="33"/>
        <v>#VALUE!</v>
      </c>
      <c r="E95" s="357" t="e">
        <f t="shared" si="48"/>
        <v>#VALUE!</v>
      </c>
      <c r="F95" s="358" t="e">
        <f t="shared" si="48"/>
        <v>#VALUE!</v>
      </c>
      <c r="G95" s="359" t="e">
        <f t="shared" si="35"/>
        <v>#VALUE!</v>
      </c>
      <c r="J95" s="354" t="str">
        <f t="shared" si="31"/>
        <v>M86</v>
      </c>
      <c r="K95" s="355">
        <f t="shared" si="36"/>
        <v>1502.4112524035882</v>
      </c>
      <c r="L95" s="356">
        <f t="shared" si="44"/>
        <v>506.3724537150062</v>
      </c>
      <c r="M95" s="357">
        <f t="shared" si="49"/>
        <v>92744.716806602795</v>
      </c>
      <c r="N95" s="358">
        <f t="shared" si="49"/>
        <v>80010.681919596289</v>
      </c>
      <c r="O95" s="359">
        <f t="shared" si="38"/>
        <v>59262.283193397154</v>
      </c>
      <c r="R95" s="354"/>
      <c r="S95" s="355">
        <f t="shared" si="39"/>
        <v>3830.0168326598705</v>
      </c>
      <c r="T95" s="356">
        <f t="shared" si="45"/>
        <v>3608.3567974306425</v>
      </c>
      <c r="U95" s="357">
        <f t="shared" si="46"/>
        <v>240827.20114098283</v>
      </c>
      <c r="V95" s="358">
        <f t="shared" si="46"/>
        <v>398872.93104680139</v>
      </c>
      <c r="W95" s="359">
        <f t="shared" si="40"/>
        <v>429172.7988590172</v>
      </c>
      <c r="Z95" s="354"/>
      <c r="AA95" s="355" t="e">
        <f t="shared" si="41"/>
        <v>#NUM!</v>
      </c>
      <c r="AB95" s="356" t="e">
        <f t="shared" si="42"/>
        <v>#NUM!</v>
      </c>
      <c r="AC95" s="357" t="e">
        <f t="shared" si="47"/>
        <v>#NUM!</v>
      </c>
      <c r="AD95" s="358" t="e">
        <f t="shared" si="47"/>
        <v>#NUM!</v>
      </c>
      <c r="AE95" s="359" t="e">
        <f t="shared" si="43"/>
        <v>#NUM!</v>
      </c>
    </row>
    <row r="96" spans="2:31" x14ac:dyDescent="0.25">
      <c r="B96" s="354" t="s">
        <v>468</v>
      </c>
      <c r="C96" s="355" t="e">
        <f t="shared" si="32"/>
        <v>#VALUE!</v>
      </c>
      <c r="D96" s="356" t="e">
        <f t="shared" si="33"/>
        <v>#VALUE!</v>
      </c>
      <c r="E96" s="357" t="e">
        <f t="shared" si="48"/>
        <v>#VALUE!</v>
      </c>
      <c r="F96" s="358" t="e">
        <f t="shared" si="48"/>
        <v>#VALUE!</v>
      </c>
      <c r="G96" s="359" t="e">
        <f t="shared" si="35"/>
        <v>#VALUE!</v>
      </c>
      <c r="J96" s="354" t="str">
        <f t="shared" si="31"/>
        <v>M87</v>
      </c>
      <c r="K96" s="355">
        <f t="shared" si="36"/>
        <v>1514.9313461736181</v>
      </c>
      <c r="L96" s="356">
        <f t="shared" si="44"/>
        <v>493.85235994497629</v>
      </c>
      <c r="M96" s="357">
        <f t="shared" si="49"/>
        <v>94259.648152776412</v>
      </c>
      <c r="N96" s="358">
        <f t="shared" si="49"/>
        <v>80504.534279541258</v>
      </c>
      <c r="O96" s="359">
        <f t="shared" si="38"/>
        <v>57747.351847223537</v>
      </c>
      <c r="R96" s="354"/>
      <c r="S96" s="355">
        <f t="shared" si="39"/>
        <v>3861.9336395987029</v>
      </c>
      <c r="T96" s="356">
        <f t="shared" si="45"/>
        <v>3576.43999049181</v>
      </c>
      <c r="U96" s="357">
        <f t="shared" ref="U96:V111" si="50">U95+S96</f>
        <v>244689.13478058152</v>
      </c>
      <c r="V96" s="358">
        <f t="shared" si="50"/>
        <v>402449.37103729323</v>
      </c>
      <c r="W96" s="359">
        <f t="shared" si="40"/>
        <v>425310.86521941848</v>
      </c>
      <c r="Z96" s="354"/>
      <c r="AA96" s="355" t="e">
        <f t="shared" si="41"/>
        <v>#NUM!</v>
      </c>
      <c r="AB96" s="356" t="e">
        <f t="shared" si="42"/>
        <v>#NUM!</v>
      </c>
      <c r="AC96" s="357" t="e">
        <f t="shared" ref="AC96:AD111" si="51">AC95+AA96</f>
        <v>#NUM!</v>
      </c>
      <c r="AD96" s="358" t="e">
        <f t="shared" si="51"/>
        <v>#NUM!</v>
      </c>
      <c r="AE96" s="359" t="e">
        <f t="shared" si="43"/>
        <v>#NUM!</v>
      </c>
    </row>
    <row r="97" spans="2:31" x14ac:dyDescent="0.25">
      <c r="B97" s="354" t="s">
        <v>469</v>
      </c>
      <c r="C97" s="355" t="e">
        <f t="shared" si="32"/>
        <v>#VALUE!</v>
      </c>
      <c r="D97" s="356" t="e">
        <f t="shared" si="33"/>
        <v>#VALUE!</v>
      </c>
      <c r="E97" s="357" t="e">
        <f t="shared" si="48"/>
        <v>#VALUE!</v>
      </c>
      <c r="F97" s="358" t="e">
        <f t="shared" si="48"/>
        <v>#VALUE!</v>
      </c>
      <c r="G97" s="359" t="e">
        <f t="shared" si="35"/>
        <v>#VALUE!</v>
      </c>
      <c r="J97" s="354" t="str">
        <f t="shared" si="31"/>
        <v>M88</v>
      </c>
      <c r="K97" s="355">
        <f t="shared" si="36"/>
        <v>1527.5557740583984</v>
      </c>
      <c r="L97" s="356">
        <f t="shared" si="44"/>
        <v>481.22793206019611</v>
      </c>
      <c r="M97" s="357">
        <f t="shared" si="49"/>
        <v>95787.203926834816</v>
      </c>
      <c r="N97" s="358">
        <f t="shared" si="49"/>
        <v>80985.762211601454</v>
      </c>
      <c r="O97" s="359">
        <f t="shared" si="38"/>
        <v>56219.79607316514</v>
      </c>
      <c r="R97" s="354"/>
      <c r="S97" s="355">
        <f t="shared" si="39"/>
        <v>3894.1164199286923</v>
      </c>
      <c r="T97" s="356">
        <f t="shared" si="45"/>
        <v>3544.2572101618207</v>
      </c>
      <c r="U97" s="357">
        <f t="shared" si="50"/>
        <v>248583.25120051022</v>
      </c>
      <c r="V97" s="358">
        <f t="shared" si="50"/>
        <v>405993.62824745505</v>
      </c>
      <c r="W97" s="359">
        <f t="shared" si="40"/>
        <v>421416.74879948981</v>
      </c>
      <c r="Z97" s="354"/>
      <c r="AA97" s="355" t="e">
        <f t="shared" si="41"/>
        <v>#NUM!</v>
      </c>
      <c r="AB97" s="356" t="e">
        <f t="shared" si="42"/>
        <v>#NUM!</v>
      </c>
      <c r="AC97" s="357" t="e">
        <f t="shared" si="51"/>
        <v>#NUM!</v>
      </c>
      <c r="AD97" s="358" t="e">
        <f t="shared" si="51"/>
        <v>#NUM!</v>
      </c>
      <c r="AE97" s="359" t="e">
        <f t="shared" si="43"/>
        <v>#NUM!</v>
      </c>
    </row>
    <row r="98" spans="2:31" x14ac:dyDescent="0.25">
      <c r="B98" s="354" t="s">
        <v>470</v>
      </c>
      <c r="C98" s="355" t="e">
        <f t="shared" si="32"/>
        <v>#VALUE!</v>
      </c>
      <c r="D98" s="356" t="e">
        <f t="shared" si="33"/>
        <v>#VALUE!</v>
      </c>
      <c r="E98" s="357" t="e">
        <f t="shared" si="48"/>
        <v>#VALUE!</v>
      </c>
      <c r="F98" s="358" t="e">
        <f t="shared" si="48"/>
        <v>#VALUE!</v>
      </c>
      <c r="G98" s="359" t="e">
        <f t="shared" si="35"/>
        <v>#VALUE!</v>
      </c>
      <c r="J98" s="354" t="str">
        <f t="shared" si="31"/>
        <v>M89</v>
      </c>
      <c r="K98" s="355">
        <f t="shared" si="36"/>
        <v>1540.2854055088849</v>
      </c>
      <c r="L98" s="356">
        <f t="shared" si="44"/>
        <v>468.49830060970947</v>
      </c>
      <c r="M98" s="357">
        <f t="shared" si="49"/>
        <v>97327.489332343699</v>
      </c>
      <c r="N98" s="358">
        <f t="shared" si="49"/>
        <v>81454.260512211156</v>
      </c>
      <c r="O98" s="359">
        <f t="shared" si="38"/>
        <v>54679.510667656257</v>
      </c>
      <c r="R98" s="354"/>
      <c r="S98" s="355">
        <f t="shared" si="39"/>
        <v>3926.5673900947645</v>
      </c>
      <c r="T98" s="356">
        <f t="shared" si="45"/>
        <v>3511.8062399957485</v>
      </c>
      <c r="U98" s="357">
        <f t="shared" si="50"/>
        <v>252509.81859060499</v>
      </c>
      <c r="V98" s="358">
        <f t="shared" si="50"/>
        <v>409505.43448745081</v>
      </c>
      <c r="W98" s="359">
        <f t="shared" si="40"/>
        <v>417490.18140939507</v>
      </c>
      <c r="Z98" s="354"/>
      <c r="AA98" s="355" t="e">
        <f t="shared" si="41"/>
        <v>#NUM!</v>
      </c>
      <c r="AB98" s="356" t="e">
        <f t="shared" si="42"/>
        <v>#NUM!</v>
      </c>
      <c r="AC98" s="357" t="e">
        <f t="shared" si="51"/>
        <v>#NUM!</v>
      </c>
      <c r="AD98" s="358" t="e">
        <f t="shared" si="51"/>
        <v>#NUM!</v>
      </c>
      <c r="AE98" s="359" t="e">
        <f t="shared" si="43"/>
        <v>#NUM!</v>
      </c>
    </row>
    <row r="99" spans="2:31" x14ac:dyDescent="0.25">
      <c r="B99" s="354" t="s">
        <v>471</v>
      </c>
      <c r="C99" s="355" t="e">
        <f t="shared" si="32"/>
        <v>#VALUE!</v>
      </c>
      <c r="D99" s="356" t="e">
        <f t="shared" si="33"/>
        <v>#VALUE!</v>
      </c>
      <c r="E99" s="357" t="e">
        <f t="shared" si="48"/>
        <v>#VALUE!</v>
      </c>
      <c r="F99" s="358" t="e">
        <f t="shared" si="48"/>
        <v>#VALUE!</v>
      </c>
      <c r="G99" s="359" t="e">
        <f t="shared" si="35"/>
        <v>#VALUE!</v>
      </c>
      <c r="J99" s="354" t="str">
        <f t="shared" si="31"/>
        <v>M90</v>
      </c>
      <c r="K99" s="355">
        <f t="shared" si="36"/>
        <v>1553.1211172214589</v>
      </c>
      <c r="L99" s="356">
        <f t="shared" si="44"/>
        <v>455.66258889713549</v>
      </c>
      <c r="M99" s="357">
        <f t="shared" si="49"/>
        <v>98880.610449565153</v>
      </c>
      <c r="N99" s="358">
        <f t="shared" si="49"/>
        <v>81909.923101108288</v>
      </c>
      <c r="O99" s="359">
        <f t="shared" si="38"/>
        <v>53126.389550434797</v>
      </c>
      <c r="R99" s="354"/>
      <c r="S99" s="355">
        <f t="shared" si="39"/>
        <v>3959.2887850122206</v>
      </c>
      <c r="T99" s="356">
        <f t="shared" si="45"/>
        <v>3479.0848450782923</v>
      </c>
      <c r="U99" s="357">
        <f t="shared" si="50"/>
        <v>256469.1073756172</v>
      </c>
      <c r="V99" s="358">
        <f t="shared" si="50"/>
        <v>412984.5193325291</v>
      </c>
      <c r="W99" s="359">
        <f t="shared" si="40"/>
        <v>413530.89262438286</v>
      </c>
      <c r="Z99" s="354"/>
      <c r="AA99" s="355" t="e">
        <f t="shared" si="41"/>
        <v>#NUM!</v>
      </c>
      <c r="AB99" s="356" t="e">
        <f t="shared" si="42"/>
        <v>#NUM!</v>
      </c>
      <c r="AC99" s="357" t="e">
        <f t="shared" si="51"/>
        <v>#NUM!</v>
      </c>
      <c r="AD99" s="358" t="e">
        <f t="shared" si="51"/>
        <v>#NUM!</v>
      </c>
      <c r="AE99" s="359" t="e">
        <f t="shared" si="43"/>
        <v>#NUM!</v>
      </c>
    </row>
    <row r="100" spans="2:31" x14ac:dyDescent="0.25">
      <c r="B100" s="354" t="s">
        <v>472</v>
      </c>
      <c r="C100" s="355" t="e">
        <f t="shared" si="32"/>
        <v>#VALUE!</v>
      </c>
      <c r="D100" s="356" t="e">
        <f t="shared" si="33"/>
        <v>#VALUE!</v>
      </c>
      <c r="E100" s="357" t="e">
        <f t="shared" si="48"/>
        <v>#VALUE!</v>
      </c>
      <c r="F100" s="358" t="e">
        <f t="shared" si="48"/>
        <v>#VALUE!</v>
      </c>
      <c r="G100" s="359" t="e">
        <f t="shared" si="35"/>
        <v>#VALUE!</v>
      </c>
      <c r="J100" s="354" t="str">
        <f t="shared" si="31"/>
        <v>M91</v>
      </c>
      <c r="K100" s="355">
        <f t="shared" si="36"/>
        <v>1566.0637931983044</v>
      </c>
      <c r="L100" s="356">
        <f t="shared" si="44"/>
        <v>442.71991292028997</v>
      </c>
      <c r="M100" s="357">
        <f t="shared" si="49"/>
        <v>100446.67424276346</v>
      </c>
      <c r="N100" s="358">
        <f t="shared" si="49"/>
        <v>82352.643014028581</v>
      </c>
      <c r="O100" s="359">
        <f t="shared" si="38"/>
        <v>51560.325757236489</v>
      </c>
      <c r="R100" s="354"/>
      <c r="S100" s="355">
        <f t="shared" si="39"/>
        <v>3992.2828582206557</v>
      </c>
      <c r="T100" s="356">
        <f t="shared" si="45"/>
        <v>3446.0907718698572</v>
      </c>
      <c r="U100" s="357">
        <f t="shared" si="50"/>
        <v>260461.39023383785</v>
      </c>
      <c r="V100" s="358">
        <f t="shared" si="50"/>
        <v>416430.61010439898</v>
      </c>
      <c r="W100" s="359">
        <f t="shared" si="40"/>
        <v>409538.60976616223</v>
      </c>
      <c r="Z100" s="354"/>
      <c r="AA100" s="355" t="e">
        <f t="shared" si="41"/>
        <v>#NUM!</v>
      </c>
      <c r="AB100" s="356" t="e">
        <f t="shared" si="42"/>
        <v>#NUM!</v>
      </c>
      <c r="AC100" s="357" t="e">
        <f t="shared" si="51"/>
        <v>#NUM!</v>
      </c>
      <c r="AD100" s="358" t="e">
        <f t="shared" si="51"/>
        <v>#NUM!</v>
      </c>
      <c r="AE100" s="359" t="e">
        <f t="shared" si="43"/>
        <v>#NUM!</v>
      </c>
    </row>
    <row r="101" spans="2:31" x14ac:dyDescent="0.25">
      <c r="B101" s="354" t="s">
        <v>473</v>
      </c>
      <c r="C101" s="355" t="e">
        <f t="shared" si="32"/>
        <v>#VALUE!</v>
      </c>
      <c r="D101" s="356" t="e">
        <f t="shared" si="33"/>
        <v>#VALUE!</v>
      </c>
      <c r="E101" s="357" t="e">
        <f t="shared" si="48"/>
        <v>#VALUE!</v>
      </c>
      <c r="F101" s="358" t="e">
        <f t="shared" si="48"/>
        <v>#VALUE!</v>
      </c>
      <c r="G101" s="359" t="e">
        <f t="shared" si="35"/>
        <v>#VALUE!</v>
      </c>
      <c r="J101" s="354" t="str">
        <f t="shared" si="31"/>
        <v>M92</v>
      </c>
      <c r="K101" s="355">
        <f t="shared" si="36"/>
        <v>1579.1143248082903</v>
      </c>
      <c r="L101" s="356">
        <f t="shared" si="44"/>
        <v>429.66938131030406</v>
      </c>
      <c r="M101" s="357">
        <f t="shared" si="49"/>
        <v>102025.78856757176</v>
      </c>
      <c r="N101" s="358">
        <f t="shared" si="49"/>
        <v>82782.312395338886</v>
      </c>
      <c r="O101" s="359">
        <f t="shared" si="38"/>
        <v>49981.211432428201</v>
      </c>
      <c r="R101" s="354"/>
      <c r="S101" s="355">
        <f t="shared" si="39"/>
        <v>4025.5518820391612</v>
      </c>
      <c r="T101" s="356">
        <f t="shared" si="45"/>
        <v>3412.8217480513517</v>
      </c>
      <c r="U101" s="357">
        <f t="shared" si="50"/>
        <v>264486.942115877</v>
      </c>
      <c r="V101" s="358">
        <f t="shared" si="50"/>
        <v>419843.4318524503</v>
      </c>
      <c r="W101" s="359">
        <f t="shared" si="40"/>
        <v>405513.05788412306</v>
      </c>
      <c r="Z101" s="354"/>
      <c r="AA101" s="355" t="e">
        <f t="shared" si="41"/>
        <v>#NUM!</v>
      </c>
      <c r="AB101" s="356" t="e">
        <f t="shared" si="42"/>
        <v>#NUM!</v>
      </c>
      <c r="AC101" s="357" t="e">
        <f t="shared" si="51"/>
        <v>#NUM!</v>
      </c>
      <c r="AD101" s="358" t="e">
        <f t="shared" si="51"/>
        <v>#NUM!</v>
      </c>
      <c r="AE101" s="359" t="e">
        <f t="shared" si="43"/>
        <v>#NUM!</v>
      </c>
    </row>
    <row r="102" spans="2:31" x14ac:dyDescent="0.25">
      <c r="B102" s="354" t="s">
        <v>474</v>
      </c>
      <c r="C102" s="355" t="e">
        <f t="shared" si="32"/>
        <v>#VALUE!</v>
      </c>
      <c r="D102" s="356" t="e">
        <f t="shared" si="33"/>
        <v>#VALUE!</v>
      </c>
      <c r="E102" s="357" t="e">
        <f t="shared" si="48"/>
        <v>#VALUE!</v>
      </c>
      <c r="F102" s="358" t="e">
        <f t="shared" si="48"/>
        <v>#VALUE!</v>
      </c>
      <c r="G102" s="359" t="e">
        <f t="shared" si="35"/>
        <v>#VALUE!</v>
      </c>
      <c r="J102" s="354" t="str">
        <f t="shared" si="31"/>
        <v>M93</v>
      </c>
      <c r="K102" s="355">
        <f t="shared" si="36"/>
        <v>1592.2736108483593</v>
      </c>
      <c r="L102" s="356">
        <f t="shared" si="44"/>
        <v>416.51009527023501</v>
      </c>
      <c r="M102" s="357">
        <f t="shared" si="49"/>
        <v>103618.06217842012</v>
      </c>
      <c r="N102" s="358">
        <f t="shared" si="49"/>
        <v>83198.82249060912</v>
      </c>
      <c r="O102" s="359">
        <f t="shared" si="38"/>
        <v>48388.937821579842</v>
      </c>
      <c r="R102" s="354"/>
      <c r="S102" s="355">
        <f t="shared" si="39"/>
        <v>4059.0981477228211</v>
      </c>
      <c r="T102" s="356">
        <f t="shared" si="45"/>
        <v>3379.2754823676919</v>
      </c>
      <c r="U102" s="357">
        <f t="shared" si="50"/>
        <v>268546.04026359983</v>
      </c>
      <c r="V102" s="358">
        <f t="shared" si="50"/>
        <v>423222.70733481797</v>
      </c>
      <c r="W102" s="359">
        <f t="shared" si="40"/>
        <v>401453.95973640023</v>
      </c>
      <c r="Z102" s="354"/>
      <c r="AA102" s="355" t="e">
        <f t="shared" si="41"/>
        <v>#NUM!</v>
      </c>
      <c r="AB102" s="356" t="e">
        <f t="shared" si="42"/>
        <v>#NUM!</v>
      </c>
      <c r="AC102" s="357" t="e">
        <f t="shared" si="51"/>
        <v>#NUM!</v>
      </c>
      <c r="AD102" s="358" t="e">
        <f t="shared" si="51"/>
        <v>#NUM!</v>
      </c>
      <c r="AE102" s="359" t="e">
        <f t="shared" si="43"/>
        <v>#NUM!</v>
      </c>
    </row>
    <row r="103" spans="2:31" x14ac:dyDescent="0.25">
      <c r="B103" s="354" t="s">
        <v>475</v>
      </c>
      <c r="C103" s="355" t="e">
        <f t="shared" si="32"/>
        <v>#VALUE!</v>
      </c>
      <c r="D103" s="356" t="e">
        <f t="shared" si="33"/>
        <v>#VALUE!</v>
      </c>
      <c r="E103" s="357" t="e">
        <f t="shared" si="48"/>
        <v>#VALUE!</v>
      </c>
      <c r="F103" s="358" t="e">
        <f t="shared" si="48"/>
        <v>#VALUE!</v>
      </c>
      <c r="G103" s="359" t="e">
        <f t="shared" si="35"/>
        <v>#VALUE!</v>
      </c>
      <c r="J103" s="354" t="str">
        <f t="shared" si="31"/>
        <v>M94</v>
      </c>
      <c r="K103" s="355">
        <f t="shared" si="36"/>
        <v>1605.542557605429</v>
      </c>
      <c r="L103" s="356">
        <f t="shared" si="44"/>
        <v>403.24114851316534</v>
      </c>
      <c r="M103" s="357">
        <f t="shared" si="49"/>
        <v>105223.60473602555</v>
      </c>
      <c r="N103" s="358">
        <f t="shared" si="49"/>
        <v>83602.06363912228</v>
      </c>
      <c r="O103" s="359">
        <f t="shared" si="38"/>
        <v>46783.395263974417</v>
      </c>
      <c r="R103" s="354"/>
      <c r="S103" s="355">
        <f t="shared" si="39"/>
        <v>4092.9239656205114</v>
      </c>
      <c r="T103" s="356">
        <f t="shared" si="45"/>
        <v>3345.4496644700016</v>
      </c>
      <c r="U103" s="357">
        <f t="shared" si="50"/>
        <v>272638.96422922035</v>
      </c>
      <c r="V103" s="358">
        <f t="shared" si="50"/>
        <v>426568.15699928795</v>
      </c>
      <c r="W103" s="359">
        <f t="shared" si="40"/>
        <v>397361.03577077971</v>
      </c>
      <c r="Z103" s="354"/>
      <c r="AA103" s="355" t="e">
        <f t="shared" si="41"/>
        <v>#NUM!</v>
      </c>
      <c r="AB103" s="356" t="e">
        <f t="shared" si="42"/>
        <v>#NUM!</v>
      </c>
      <c r="AC103" s="357" t="e">
        <f t="shared" si="51"/>
        <v>#NUM!</v>
      </c>
      <c r="AD103" s="358" t="e">
        <f t="shared" si="51"/>
        <v>#NUM!</v>
      </c>
      <c r="AE103" s="359" t="e">
        <f t="shared" si="43"/>
        <v>#NUM!</v>
      </c>
    </row>
    <row r="104" spans="2:31" x14ac:dyDescent="0.25">
      <c r="B104" s="354" t="s">
        <v>476</v>
      </c>
      <c r="C104" s="355" t="e">
        <f t="shared" si="32"/>
        <v>#VALUE!</v>
      </c>
      <c r="D104" s="356" t="e">
        <f t="shared" si="33"/>
        <v>#VALUE!</v>
      </c>
      <c r="E104" s="357" t="e">
        <f t="shared" si="48"/>
        <v>#VALUE!</v>
      </c>
      <c r="F104" s="358" t="e">
        <f t="shared" si="48"/>
        <v>#VALUE!</v>
      </c>
      <c r="G104" s="359" t="e">
        <f t="shared" si="35"/>
        <v>#VALUE!</v>
      </c>
      <c r="J104" s="354" t="str">
        <f t="shared" si="31"/>
        <v>M95</v>
      </c>
      <c r="K104" s="355">
        <f t="shared" si="36"/>
        <v>1618.9220789188075</v>
      </c>
      <c r="L104" s="356">
        <f t="shared" si="44"/>
        <v>389.86162719978682</v>
      </c>
      <c r="M104" s="357">
        <f t="shared" si="49"/>
        <v>106842.52681494436</v>
      </c>
      <c r="N104" s="358">
        <f t="shared" si="49"/>
        <v>83991.925266322069</v>
      </c>
      <c r="O104" s="359">
        <f t="shared" si="38"/>
        <v>45164.473185055613</v>
      </c>
      <c r="R104" s="354"/>
      <c r="S104" s="355">
        <f t="shared" si="39"/>
        <v>4127.031665334016</v>
      </c>
      <c r="T104" s="356">
        <f t="shared" si="45"/>
        <v>3311.3419647564974</v>
      </c>
      <c r="U104" s="357">
        <f t="shared" si="50"/>
        <v>276765.99589455436</v>
      </c>
      <c r="V104" s="358">
        <f t="shared" si="50"/>
        <v>429879.49896404444</v>
      </c>
      <c r="W104" s="359">
        <f t="shared" si="40"/>
        <v>393234.0041054457</v>
      </c>
      <c r="Z104" s="354"/>
      <c r="AA104" s="355" t="e">
        <f t="shared" si="41"/>
        <v>#NUM!</v>
      </c>
      <c r="AB104" s="356" t="e">
        <f t="shared" si="42"/>
        <v>#NUM!</v>
      </c>
      <c r="AC104" s="357" t="e">
        <f t="shared" si="51"/>
        <v>#NUM!</v>
      </c>
      <c r="AD104" s="358" t="e">
        <f t="shared" si="51"/>
        <v>#NUM!</v>
      </c>
      <c r="AE104" s="359" t="e">
        <f t="shared" si="43"/>
        <v>#NUM!</v>
      </c>
    </row>
    <row r="105" spans="2:31" x14ac:dyDescent="0.25">
      <c r="B105" s="354" t="s">
        <v>477</v>
      </c>
      <c r="C105" s="355" t="e">
        <f t="shared" si="32"/>
        <v>#VALUE!</v>
      </c>
      <c r="D105" s="356" t="e">
        <f t="shared" si="33"/>
        <v>#VALUE!</v>
      </c>
      <c r="E105" s="357" t="e">
        <f t="shared" si="48"/>
        <v>#VALUE!</v>
      </c>
      <c r="F105" s="358" t="e">
        <f t="shared" si="48"/>
        <v>#VALUE!</v>
      </c>
      <c r="G105" s="359" t="e">
        <f t="shared" si="35"/>
        <v>#VALUE!</v>
      </c>
      <c r="J105" s="354" t="str">
        <f t="shared" si="31"/>
        <v>M96</v>
      </c>
      <c r="K105" s="355">
        <f t="shared" si="36"/>
        <v>1632.4130962431309</v>
      </c>
      <c r="L105" s="356">
        <f t="shared" si="44"/>
        <v>376.37060987546346</v>
      </c>
      <c r="M105" s="357">
        <f t="shared" si="49"/>
        <v>108474.9399111875</v>
      </c>
      <c r="N105" s="358">
        <f t="shared" si="49"/>
        <v>84368.295876197531</v>
      </c>
      <c r="O105" s="359">
        <f t="shared" si="38"/>
        <v>43532.060088812483</v>
      </c>
      <c r="R105" s="354"/>
      <c r="S105" s="355">
        <f t="shared" si="39"/>
        <v>4161.4235958784657</v>
      </c>
      <c r="T105" s="356">
        <f t="shared" si="45"/>
        <v>3276.9500342120473</v>
      </c>
      <c r="U105" s="357">
        <f t="shared" si="50"/>
        <v>280927.41949043283</v>
      </c>
      <c r="V105" s="358">
        <f t="shared" si="50"/>
        <v>433156.44899825647</v>
      </c>
      <c r="W105" s="359">
        <f t="shared" si="40"/>
        <v>389072.58050956723</v>
      </c>
      <c r="Z105" s="354"/>
      <c r="AA105" s="355" t="e">
        <f t="shared" si="41"/>
        <v>#NUM!</v>
      </c>
      <c r="AB105" s="356" t="e">
        <f t="shared" si="42"/>
        <v>#NUM!</v>
      </c>
      <c r="AC105" s="357" t="e">
        <f t="shared" si="51"/>
        <v>#NUM!</v>
      </c>
      <c r="AD105" s="358" t="e">
        <f t="shared" si="51"/>
        <v>#NUM!</v>
      </c>
      <c r="AE105" s="359" t="e">
        <f t="shared" si="43"/>
        <v>#NUM!</v>
      </c>
    </row>
    <row r="106" spans="2:31" x14ac:dyDescent="0.25">
      <c r="B106" s="354" t="s">
        <v>478</v>
      </c>
      <c r="C106" s="355" t="e">
        <f t="shared" si="32"/>
        <v>#VALUE!</v>
      </c>
      <c r="D106" s="356" t="e">
        <f t="shared" si="33"/>
        <v>#VALUE!</v>
      </c>
      <c r="E106" s="357" t="e">
        <f t="shared" si="48"/>
        <v>#VALUE!</v>
      </c>
      <c r="F106" s="358" t="e">
        <f t="shared" si="48"/>
        <v>#VALUE!</v>
      </c>
      <c r="G106" s="359" t="e">
        <f t="shared" si="35"/>
        <v>#VALUE!</v>
      </c>
      <c r="J106" s="354" t="str">
        <f t="shared" si="31"/>
        <v>M97</v>
      </c>
      <c r="K106" s="355">
        <f t="shared" si="36"/>
        <v>1646.0165387118236</v>
      </c>
      <c r="L106" s="356">
        <f t="shared" si="44"/>
        <v>362.76716740677068</v>
      </c>
      <c r="M106" s="357">
        <f t="shared" si="49"/>
        <v>110120.95644989931</v>
      </c>
      <c r="N106" s="358">
        <f t="shared" si="49"/>
        <v>84731.063043604299</v>
      </c>
      <c r="O106" s="359">
        <f t="shared" si="38"/>
        <v>41886.043550100658</v>
      </c>
      <c r="R106" s="354"/>
      <c r="S106" s="355">
        <f t="shared" si="39"/>
        <v>4196.1021258441197</v>
      </c>
      <c r="T106" s="356">
        <f t="shared" si="45"/>
        <v>3242.2715042463933</v>
      </c>
      <c r="U106" s="357">
        <f t="shared" si="50"/>
        <v>285123.52161627694</v>
      </c>
      <c r="V106" s="358">
        <f t="shared" si="50"/>
        <v>436398.72050250287</v>
      </c>
      <c r="W106" s="359">
        <f t="shared" si="40"/>
        <v>384876.47838372312</v>
      </c>
      <c r="Z106" s="354"/>
      <c r="AA106" s="355" t="e">
        <f t="shared" si="41"/>
        <v>#NUM!</v>
      </c>
      <c r="AB106" s="356" t="e">
        <f t="shared" si="42"/>
        <v>#NUM!</v>
      </c>
      <c r="AC106" s="357" t="e">
        <f t="shared" si="51"/>
        <v>#NUM!</v>
      </c>
      <c r="AD106" s="358" t="e">
        <f t="shared" si="51"/>
        <v>#NUM!</v>
      </c>
      <c r="AE106" s="359" t="e">
        <f t="shared" si="43"/>
        <v>#NUM!</v>
      </c>
    </row>
    <row r="107" spans="2:31" x14ac:dyDescent="0.25">
      <c r="B107" s="354" t="s">
        <v>479</v>
      </c>
      <c r="C107" s="355" t="e">
        <f t="shared" si="32"/>
        <v>#VALUE!</v>
      </c>
      <c r="D107" s="356" t="e">
        <f t="shared" si="33"/>
        <v>#VALUE!</v>
      </c>
      <c r="E107" s="357" t="e">
        <f t="shared" si="48"/>
        <v>#VALUE!</v>
      </c>
      <c r="F107" s="358" t="e">
        <f t="shared" si="48"/>
        <v>#VALUE!</v>
      </c>
      <c r="G107" s="359" t="e">
        <f t="shared" si="35"/>
        <v>#VALUE!</v>
      </c>
      <c r="J107" s="354" t="str">
        <f t="shared" si="31"/>
        <v>M98</v>
      </c>
      <c r="K107" s="355">
        <f t="shared" si="36"/>
        <v>1659.7333432010889</v>
      </c>
      <c r="L107" s="356">
        <f t="shared" si="44"/>
        <v>349.05036291750548</v>
      </c>
      <c r="M107" s="357">
        <f t="shared" si="49"/>
        <v>111780.68979310041</v>
      </c>
      <c r="N107" s="358">
        <f t="shared" si="49"/>
        <v>85080.113406521807</v>
      </c>
      <c r="O107" s="359">
        <f t="shared" si="38"/>
        <v>40226.310206899572</v>
      </c>
      <c r="R107" s="354"/>
      <c r="S107" s="355">
        <f t="shared" si="39"/>
        <v>4231.0696435594873</v>
      </c>
      <c r="T107" s="356">
        <f t="shared" si="45"/>
        <v>3207.3039865310261</v>
      </c>
      <c r="U107" s="357">
        <f t="shared" si="50"/>
        <v>289354.59125983645</v>
      </c>
      <c r="V107" s="358">
        <f t="shared" si="50"/>
        <v>439606.02448903391</v>
      </c>
      <c r="W107" s="359">
        <f t="shared" si="40"/>
        <v>380645.40874016366</v>
      </c>
      <c r="Z107" s="354"/>
      <c r="AA107" s="355" t="e">
        <f t="shared" si="41"/>
        <v>#NUM!</v>
      </c>
      <c r="AB107" s="356" t="e">
        <f t="shared" si="42"/>
        <v>#NUM!</v>
      </c>
      <c r="AC107" s="357" t="e">
        <f t="shared" si="51"/>
        <v>#NUM!</v>
      </c>
      <c r="AD107" s="358" t="e">
        <f t="shared" si="51"/>
        <v>#NUM!</v>
      </c>
      <c r="AE107" s="359" t="e">
        <f t="shared" si="43"/>
        <v>#NUM!</v>
      </c>
    </row>
    <row r="108" spans="2:31" x14ac:dyDescent="0.25">
      <c r="B108" s="354" t="s">
        <v>480</v>
      </c>
      <c r="C108" s="355" t="e">
        <f t="shared" si="32"/>
        <v>#VALUE!</v>
      </c>
      <c r="D108" s="356" t="e">
        <f t="shared" si="33"/>
        <v>#VALUE!</v>
      </c>
      <c r="E108" s="357" t="e">
        <f t="shared" ref="E108:F123" si="52">E107+C108</f>
        <v>#VALUE!</v>
      </c>
      <c r="F108" s="358" t="e">
        <f t="shared" si="52"/>
        <v>#VALUE!</v>
      </c>
      <c r="G108" s="359" t="e">
        <f t="shared" si="35"/>
        <v>#VALUE!</v>
      </c>
      <c r="J108" s="354" t="str">
        <f t="shared" si="31"/>
        <v>M99</v>
      </c>
      <c r="K108" s="355">
        <f t="shared" si="36"/>
        <v>1673.5644543944313</v>
      </c>
      <c r="L108" s="356">
        <f t="shared" si="44"/>
        <v>335.21925172416309</v>
      </c>
      <c r="M108" s="357">
        <f t="shared" ref="M108:N123" si="53">M107+K108</f>
        <v>113454.25424749484</v>
      </c>
      <c r="N108" s="358">
        <f t="shared" si="53"/>
        <v>85415.33265824597</v>
      </c>
      <c r="O108" s="359">
        <f t="shared" si="38"/>
        <v>38552.745752505143</v>
      </c>
      <c r="R108" s="354"/>
      <c r="S108" s="355">
        <f t="shared" si="39"/>
        <v>4266.3285572558161</v>
      </c>
      <c r="T108" s="356">
        <f t="shared" si="45"/>
        <v>3172.0450728346973</v>
      </c>
      <c r="U108" s="357">
        <f t="shared" si="50"/>
        <v>293620.91981709225</v>
      </c>
      <c r="V108" s="358">
        <f t="shared" si="50"/>
        <v>442778.06956186861</v>
      </c>
      <c r="W108" s="359">
        <f t="shared" si="40"/>
        <v>376379.08018290787</v>
      </c>
      <c r="Z108" s="354"/>
      <c r="AA108" s="355" t="e">
        <f t="shared" si="41"/>
        <v>#NUM!</v>
      </c>
      <c r="AB108" s="356" t="e">
        <f t="shared" si="42"/>
        <v>#NUM!</v>
      </c>
      <c r="AC108" s="357" t="e">
        <f t="shared" si="51"/>
        <v>#NUM!</v>
      </c>
      <c r="AD108" s="358" t="e">
        <f t="shared" si="51"/>
        <v>#NUM!</v>
      </c>
      <c r="AE108" s="359" t="e">
        <f t="shared" si="43"/>
        <v>#NUM!</v>
      </c>
    </row>
    <row r="109" spans="2:31" x14ac:dyDescent="0.25">
      <c r="B109" s="354" t="s">
        <v>481</v>
      </c>
      <c r="C109" s="355" t="e">
        <f t="shared" si="32"/>
        <v>#VALUE!</v>
      </c>
      <c r="D109" s="356" t="e">
        <f t="shared" si="33"/>
        <v>#VALUE!</v>
      </c>
      <c r="E109" s="357" t="e">
        <f t="shared" si="52"/>
        <v>#VALUE!</v>
      </c>
      <c r="F109" s="358" t="e">
        <f t="shared" si="52"/>
        <v>#VALUE!</v>
      </c>
      <c r="G109" s="359" t="e">
        <f t="shared" si="35"/>
        <v>#VALUE!</v>
      </c>
      <c r="J109" s="354" t="str">
        <f t="shared" si="31"/>
        <v>M100</v>
      </c>
      <c r="K109" s="355">
        <f t="shared" si="36"/>
        <v>1687.5108248477181</v>
      </c>
      <c r="L109" s="356">
        <f t="shared" si="44"/>
        <v>321.27288127087621</v>
      </c>
      <c r="M109" s="357">
        <f t="shared" si="53"/>
        <v>115141.76507234256</v>
      </c>
      <c r="N109" s="358">
        <f t="shared" si="53"/>
        <v>85736.605539516851</v>
      </c>
      <c r="O109" s="359">
        <f t="shared" si="38"/>
        <v>36865.234927657424</v>
      </c>
      <c r="R109" s="354"/>
      <c r="S109" s="355">
        <f t="shared" si="39"/>
        <v>4301.8812952329472</v>
      </c>
      <c r="T109" s="356">
        <f t="shared" si="45"/>
        <v>3136.4923348575658</v>
      </c>
      <c r="U109" s="357">
        <f t="shared" si="50"/>
        <v>297922.80111232522</v>
      </c>
      <c r="V109" s="358">
        <f t="shared" si="50"/>
        <v>445914.5618967262</v>
      </c>
      <c r="W109" s="359">
        <f t="shared" si="40"/>
        <v>372077.19888767489</v>
      </c>
      <c r="Z109" s="354"/>
      <c r="AA109" s="355" t="e">
        <f t="shared" si="41"/>
        <v>#NUM!</v>
      </c>
      <c r="AB109" s="356" t="e">
        <f t="shared" si="42"/>
        <v>#NUM!</v>
      </c>
      <c r="AC109" s="357" t="e">
        <f t="shared" si="51"/>
        <v>#NUM!</v>
      </c>
      <c r="AD109" s="358" t="e">
        <f t="shared" si="51"/>
        <v>#NUM!</v>
      </c>
      <c r="AE109" s="359" t="e">
        <f t="shared" si="43"/>
        <v>#NUM!</v>
      </c>
    </row>
    <row r="110" spans="2:31" x14ac:dyDescent="0.25">
      <c r="B110" s="354" t="s">
        <v>482</v>
      </c>
      <c r="C110" s="355" t="e">
        <f t="shared" si="32"/>
        <v>#VALUE!</v>
      </c>
      <c r="D110" s="356" t="e">
        <f t="shared" si="33"/>
        <v>#VALUE!</v>
      </c>
      <c r="E110" s="357" t="e">
        <f t="shared" si="52"/>
        <v>#VALUE!</v>
      </c>
      <c r="F110" s="358" t="e">
        <f t="shared" si="52"/>
        <v>#VALUE!</v>
      </c>
      <c r="G110" s="359" t="e">
        <f t="shared" si="35"/>
        <v>#VALUE!</v>
      </c>
      <c r="J110" s="354" t="str">
        <f t="shared" si="31"/>
        <v>M101</v>
      </c>
      <c r="K110" s="355">
        <f t="shared" si="36"/>
        <v>1701.5734150547826</v>
      </c>
      <c r="L110" s="356">
        <f t="shared" si="44"/>
        <v>307.21029106381184</v>
      </c>
      <c r="M110" s="357">
        <f t="shared" si="53"/>
        <v>116843.33848739734</v>
      </c>
      <c r="N110" s="358">
        <f t="shared" si="53"/>
        <v>86043.815830580657</v>
      </c>
      <c r="O110" s="359">
        <f t="shared" si="38"/>
        <v>35163.661512602645</v>
      </c>
      <c r="R110" s="354"/>
      <c r="S110" s="355">
        <f t="shared" si="39"/>
        <v>4337.7303060265549</v>
      </c>
      <c r="T110" s="356">
        <f t="shared" si="45"/>
        <v>3100.6433240639576</v>
      </c>
      <c r="U110" s="357">
        <f t="shared" si="50"/>
        <v>302260.53141835181</v>
      </c>
      <c r="V110" s="358">
        <f t="shared" si="50"/>
        <v>449015.20522079017</v>
      </c>
      <c r="W110" s="359">
        <f t="shared" si="40"/>
        <v>367739.46858164831</v>
      </c>
      <c r="Z110" s="354"/>
      <c r="AA110" s="355" t="e">
        <f t="shared" si="41"/>
        <v>#NUM!</v>
      </c>
      <c r="AB110" s="356" t="e">
        <f t="shared" si="42"/>
        <v>#NUM!</v>
      </c>
      <c r="AC110" s="357" t="e">
        <f t="shared" si="51"/>
        <v>#NUM!</v>
      </c>
      <c r="AD110" s="358" t="e">
        <f t="shared" si="51"/>
        <v>#NUM!</v>
      </c>
      <c r="AE110" s="359" t="e">
        <f t="shared" si="43"/>
        <v>#NUM!</v>
      </c>
    </row>
    <row r="111" spans="2:31" x14ac:dyDescent="0.25">
      <c r="B111" s="354" t="s">
        <v>483</v>
      </c>
      <c r="C111" s="355" t="e">
        <f t="shared" si="32"/>
        <v>#VALUE!</v>
      </c>
      <c r="D111" s="356" t="e">
        <f t="shared" si="33"/>
        <v>#VALUE!</v>
      </c>
      <c r="E111" s="357" t="e">
        <f t="shared" si="52"/>
        <v>#VALUE!</v>
      </c>
      <c r="F111" s="358" t="e">
        <f t="shared" si="52"/>
        <v>#VALUE!</v>
      </c>
      <c r="G111" s="359" t="e">
        <f t="shared" si="35"/>
        <v>#VALUE!</v>
      </c>
      <c r="J111" s="354" t="str">
        <f t="shared" si="31"/>
        <v>M102</v>
      </c>
      <c r="K111" s="355">
        <f t="shared" si="36"/>
        <v>1715.7531935135723</v>
      </c>
      <c r="L111" s="356">
        <f t="shared" si="44"/>
        <v>293.03051260502201</v>
      </c>
      <c r="M111" s="357">
        <f t="shared" si="53"/>
        <v>118559.09168091092</v>
      </c>
      <c r="N111" s="358">
        <f t="shared" si="53"/>
        <v>86336.84634318568</v>
      </c>
      <c r="O111" s="359">
        <f t="shared" si="38"/>
        <v>33447.908319089074</v>
      </c>
      <c r="R111" s="354"/>
      <c r="S111" s="355">
        <f t="shared" si="39"/>
        <v>4373.8780585767772</v>
      </c>
      <c r="T111" s="356">
        <f t="shared" si="45"/>
        <v>3064.4955715137357</v>
      </c>
      <c r="U111" s="357">
        <f t="shared" si="50"/>
        <v>306634.40947692859</v>
      </c>
      <c r="V111" s="358">
        <f t="shared" si="50"/>
        <v>452079.70079230389</v>
      </c>
      <c r="W111" s="359">
        <f t="shared" si="40"/>
        <v>363365.59052307153</v>
      </c>
      <c r="Z111" s="354"/>
      <c r="AA111" s="355" t="e">
        <f t="shared" si="41"/>
        <v>#NUM!</v>
      </c>
      <c r="AB111" s="356" t="e">
        <f t="shared" si="42"/>
        <v>#NUM!</v>
      </c>
      <c r="AC111" s="357" t="e">
        <f t="shared" si="51"/>
        <v>#NUM!</v>
      </c>
      <c r="AD111" s="358" t="e">
        <f t="shared" si="51"/>
        <v>#NUM!</v>
      </c>
      <c r="AE111" s="359" t="e">
        <f t="shared" si="43"/>
        <v>#NUM!</v>
      </c>
    </row>
    <row r="112" spans="2:31" x14ac:dyDescent="0.25">
      <c r="B112" s="354" t="s">
        <v>484</v>
      </c>
      <c r="C112" s="355" t="e">
        <f t="shared" si="32"/>
        <v>#VALUE!</v>
      </c>
      <c r="D112" s="356" t="e">
        <f t="shared" si="33"/>
        <v>#VALUE!</v>
      </c>
      <c r="E112" s="357" t="e">
        <f t="shared" si="52"/>
        <v>#VALUE!</v>
      </c>
      <c r="F112" s="358" t="e">
        <f t="shared" si="52"/>
        <v>#VALUE!</v>
      </c>
      <c r="G112" s="359" t="e">
        <f t="shared" si="35"/>
        <v>#VALUE!</v>
      </c>
      <c r="J112" s="354" t="str">
        <f t="shared" si="31"/>
        <v>M103</v>
      </c>
      <c r="K112" s="355">
        <f t="shared" si="36"/>
        <v>1730.051136792852</v>
      </c>
      <c r="L112" s="356">
        <f t="shared" si="44"/>
        <v>278.7325693257423</v>
      </c>
      <c r="M112" s="357">
        <f t="shared" si="53"/>
        <v>120289.14281770377</v>
      </c>
      <c r="N112" s="358">
        <f t="shared" si="53"/>
        <v>86615.578912511424</v>
      </c>
      <c r="O112" s="359">
        <f t="shared" si="38"/>
        <v>31717.857182296222</v>
      </c>
      <c r="R112" s="354"/>
      <c r="S112" s="355">
        <f t="shared" si="39"/>
        <v>4410.3270423982503</v>
      </c>
      <c r="T112" s="356">
        <f t="shared" si="45"/>
        <v>3028.0465876922626</v>
      </c>
      <c r="U112" s="357">
        <f t="shared" ref="U112:V127" si="54">U111+S112</f>
        <v>311044.73651932686</v>
      </c>
      <c r="V112" s="358">
        <f t="shared" si="54"/>
        <v>455107.74737999617</v>
      </c>
      <c r="W112" s="359">
        <f t="shared" si="40"/>
        <v>358955.26348067325</v>
      </c>
      <c r="Z112" s="354"/>
      <c r="AA112" s="355" t="e">
        <f t="shared" si="41"/>
        <v>#NUM!</v>
      </c>
      <c r="AB112" s="356" t="e">
        <f t="shared" si="42"/>
        <v>#NUM!</v>
      </c>
      <c r="AC112" s="357" t="e">
        <f t="shared" ref="AC112:AD127" si="55">AC111+AA112</f>
        <v>#NUM!</v>
      </c>
      <c r="AD112" s="358" t="e">
        <f t="shared" si="55"/>
        <v>#NUM!</v>
      </c>
      <c r="AE112" s="359" t="e">
        <f t="shared" si="43"/>
        <v>#NUM!</v>
      </c>
    </row>
    <row r="113" spans="2:31" x14ac:dyDescent="0.25">
      <c r="B113" s="354" t="s">
        <v>485</v>
      </c>
      <c r="C113" s="355" t="e">
        <f t="shared" si="32"/>
        <v>#VALUE!</v>
      </c>
      <c r="D113" s="356" t="e">
        <f t="shared" si="33"/>
        <v>#VALUE!</v>
      </c>
      <c r="E113" s="357" t="e">
        <f t="shared" si="52"/>
        <v>#VALUE!</v>
      </c>
      <c r="F113" s="358" t="e">
        <f t="shared" si="52"/>
        <v>#VALUE!</v>
      </c>
      <c r="G113" s="359" t="e">
        <f t="shared" si="35"/>
        <v>#VALUE!</v>
      </c>
      <c r="J113" s="354" t="str">
        <f t="shared" si="31"/>
        <v>M104</v>
      </c>
      <c r="K113" s="355">
        <f t="shared" si="36"/>
        <v>1744.4682295994592</v>
      </c>
      <c r="L113" s="356">
        <f t="shared" si="44"/>
        <v>264.31547651913519</v>
      </c>
      <c r="M113" s="357">
        <f t="shared" si="53"/>
        <v>122033.61104730323</v>
      </c>
      <c r="N113" s="358">
        <f t="shared" si="53"/>
        <v>86879.894389030553</v>
      </c>
      <c r="O113" s="359">
        <f t="shared" si="38"/>
        <v>29973.388952696761</v>
      </c>
      <c r="R113" s="354"/>
      <c r="S113" s="355">
        <f t="shared" si="39"/>
        <v>4447.0797677515693</v>
      </c>
      <c r="T113" s="356">
        <f t="shared" si="45"/>
        <v>2991.2938623389437</v>
      </c>
      <c r="U113" s="357">
        <f t="shared" si="54"/>
        <v>315491.81628707843</v>
      </c>
      <c r="V113" s="358">
        <f t="shared" si="54"/>
        <v>458099.04124233511</v>
      </c>
      <c r="W113" s="359">
        <f t="shared" si="40"/>
        <v>354508.18371292169</v>
      </c>
      <c r="Z113" s="354"/>
      <c r="AA113" s="355" t="e">
        <f t="shared" si="41"/>
        <v>#NUM!</v>
      </c>
      <c r="AB113" s="356" t="e">
        <f t="shared" si="42"/>
        <v>#NUM!</v>
      </c>
      <c r="AC113" s="357" t="e">
        <f t="shared" si="55"/>
        <v>#NUM!</v>
      </c>
      <c r="AD113" s="358" t="e">
        <f t="shared" si="55"/>
        <v>#NUM!</v>
      </c>
      <c r="AE113" s="359" t="e">
        <f t="shared" si="43"/>
        <v>#NUM!</v>
      </c>
    </row>
    <row r="114" spans="2:31" x14ac:dyDescent="0.25">
      <c r="B114" s="354" t="s">
        <v>486</v>
      </c>
      <c r="C114" s="355" t="e">
        <f t="shared" si="32"/>
        <v>#VALUE!</v>
      </c>
      <c r="D114" s="356" t="e">
        <f t="shared" si="33"/>
        <v>#VALUE!</v>
      </c>
      <c r="E114" s="357" t="e">
        <f t="shared" si="52"/>
        <v>#VALUE!</v>
      </c>
      <c r="F114" s="358" t="e">
        <f t="shared" si="52"/>
        <v>#VALUE!</v>
      </c>
      <c r="G114" s="359" t="e">
        <f t="shared" si="35"/>
        <v>#VALUE!</v>
      </c>
      <c r="J114" s="354" t="str">
        <f t="shared" si="31"/>
        <v>M105</v>
      </c>
      <c r="K114" s="355">
        <f t="shared" si="36"/>
        <v>1759.0054648461214</v>
      </c>
      <c r="L114" s="356">
        <f t="shared" si="44"/>
        <v>249.778241272473</v>
      </c>
      <c r="M114" s="357">
        <f t="shared" si="53"/>
        <v>123792.61651214935</v>
      </c>
      <c r="N114" s="358">
        <f t="shared" si="53"/>
        <v>87129.67263030303</v>
      </c>
      <c r="O114" s="359">
        <f t="shared" si="38"/>
        <v>28214.383487850639</v>
      </c>
      <c r="R114" s="354"/>
      <c r="S114" s="355">
        <f t="shared" si="39"/>
        <v>4484.1387658161657</v>
      </c>
      <c r="T114" s="356">
        <f t="shared" si="45"/>
        <v>2954.2348642743473</v>
      </c>
      <c r="U114" s="357">
        <f t="shared" si="54"/>
        <v>319975.9550528946</v>
      </c>
      <c r="V114" s="358">
        <f t="shared" si="54"/>
        <v>461053.27610660944</v>
      </c>
      <c r="W114" s="359">
        <f t="shared" si="40"/>
        <v>350024.04494710552</v>
      </c>
      <c r="Z114" s="354"/>
      <c r="AA114" s="355" t="e">
        <f t="shared" si="41"/>
        <v>#NUM!</v>
      </c>
      <c r="AB114" s="356" t="e">
        <f t="shared" si="42"/>
        <v>#NUM!</v>
      </c>
      <c r="AC114" s="357" t="e">
        <f t="shared" si="55"/>
        <v>#NUM!</v>
      </c>
      <c r="AD114" s="358" t="e">
        <f t="shared" si="55"/>
        <v>#NUM!</v>
      </c>
      <c r="AE114" s="359" t="e">
        <f t="shared" si="43"/>
        <v>#NUM!</v>
      </c>
    </row>
    <row r="115" spans="2:31" x14ac:dyDescent="0.25">
      <c r="B115" s="354" t="s">
        <v>487</v>
      </c>
      <c r="C115" s="355" t="e">
        <f t="shared" si="32"/>
        <v>#VALUE!</v>
      </c>
      <c r="D115" s="356" t="e">
        <f t="shared" si="33"/>
        <v>#VALUE!</v>
      </c>
      <c r="E115" s="357" t="e">
        <f t="shared" si="52"/>
        <v>#VALUE!</v>
      </c>
      <c r="F115" s="358" t="e">
        <f t="shared" si="52"/>
        <v>#VALUE!</v>
      </c>
      <c r="G115" s="359" t="e">
        <f t="shared" si="35"/>
        <v>#VALUE!</v>
      </c>
      <c r="J115" s="354" t="str">
        <f t="shared" si="31"/>
        <v>M106</v>
      </c>
      <c r="K115" s="355">
        <f t="shared" si="36"/>
        <v>1773.6638437198392</v>
      </c>
      <c r="L115" s="356">
        <f t="shared" si="44"/>
        <v>235.11986239875532</v>
      </c>
      <c r="M115" s="357">
        <f t="shared" si="53"/>
        <v>125566.2803558692</v>
      </c>
      <c r="N115" s="358">
        <f t="shared" si="53"/>
        <v>87364.792492701788</v>
      </c>
      <c r="O115" s="359">
        <f t="shared" si="38"/>
        <v>26440.719644130801</v>
      </c>
      <c r="R115" s="354"/>
      <c r="S115" s="355">
        <f t="shared" si="39"/>
        <v>4521.5065888646332</v>
      </c>
      <c r="T115" s="356">
        <f t="shared" si="45"/>
        <v>2916.8670412258793</v>
      </c>
      <c r="U115" s="357">
        <f t="shared" si="54"/>
        <v>324497.4616417592</v>
      </c>
      <c r="V115" s="358">
        <f t="shared" si="54"/>
        <v>463970.14314783533</v>
      </c>
      <c r="W115" s="359">
        <f t="shared" si="40"/>
        <v>345502.53835824091</v>
      </c>
      <c r="Z115" s="354"/>
      <c r="AA115" s="355" t="e">
        <f t="shared" si="41"/>
        <v>#NUM!</v>
      </c>
      <c r="AB115" s="356" t="e">
        <f t="shared" si="42"/>
        <v>#NUM!</v>
      </c>
      <c r="AC115" s="357" t="e">
        <f t="shared" si="55"/>
        <v>#NUM!</v>
      </c>
      <c r="AD115" s="358" t="e">
        <f t="shared" si="55"/>
        <v>#NUM!</v>
      </c>
      <c r="AE115" s="359" t="e">
        <f t="shared" si="43"/>
        <v>#NUM!</v>
      </c>
    </row>
    <row r="116" spans="2:31" x14ac:dyDescent="0.25">
      <c r="B116" s="354" t="s">
        <v>488</v>
      </c>
      <c r="C116" s="355" t="e">
        <f t="shared" si="32"/>
        <v>#VALUE!</v>
      </c>
      <c r="D116" s="356" t="e">
        <f t="shared" si="33"/>
        <v>#VALUE!</v>
      </c>
      <c r="E116" s="357" t="e">
        <f t="shared" si="52"/>
        <v>#VALUE!</v>
      </c>
      <c r="F116" s="358" t="e">
        <f t="shared" si="52"/>
        <v>#VALUE!</v>
      </c>
      <c r="G116" s="359" t="e">
        <f t="shared" si="35"/>
        <v>#VALUE!</v>
      </c>
      <c r="J116" s="354" t="str">
        <f t="shared" si="31"/>
        <v>M107</v>
      </c>
      <c r="K116" s="355">
        <f t="shared" si="36"/>
        <v>1788.4443757508377</v>
      </c>
      <c r="L116" s="356">
        <f t="shared" si="44"/>
        <v>220.33933036775667</v>
      </c>
      <c r="M116" s="357">
        <f t="shared" si="53"/>
        <v>127354.72473162004</v>
      </c>
      <c r="N116" s="358">
        <f t="shared" si="53"/>
        <v>87585.131823069547</v>
      </c>
      <c r="O116" s="359">
        <f t="shared" si="38"/>
        <v>24652.275268379963</v>
      </c>
      <c r="R116" s="354"/>
      <c r="S116" s="355">
        <f t="shared" si="39"/>
        <v>4559.1858104385055</v>
      </c>
      <c r="T116" s="356">
        <f t="shared" si="45"/>
        <v>2879.1878196520074</v>
      </c>
      <c r="U116" s="357">
        <f t="shared" si="54"/>
        <v>329056.64745219774</v>
      </c>
      <c r="V116" s="358">
        <f t="shared" si="54"/>
        <v>466849.33096748736</v>
      </c>
      <c r="W116" s="359">
        <f t="shared" si="40"/>
        <v>340943.35254780238</v>
      </c>
      <c r="Z116" s="354"/>
      <c r="AA116" s="355" t="e">
        <f t="shared" si="41"/>
        <v>#NUM!</v>
      </c>
      <c r="AB116" s="356" t="e">
        <f t="shared" si="42"/>
        <v>#NUM!</v>
      </c>
      <c r="AC116" s="357" t="e">
        <f t="shared" si="55"/>
        <v>#NUM!</v>
      </c>
      <c r="AD116" s="358" t="e">
        <f t="shared" si="55"/>
        <v>#NUM!</v>
      </c>
      <c r="AE116" s="359" t="e">
        <f t="shared" si="43"/>
        <v>#NUM!</v>
      </c>
    </row>
    <row r="117" spans="2:31" x14ac:dyDescent="0.25">
      <c r="B117" s="354" t="s">
        <v>489</v>
      </c>
      <c r="C117" s="355" t="e">
        <f t="shared" si="32"/>
        <v>#VALUE!</v>
      </c>
      <c r="D117" s="356" t="e">
        <f t="shared" si="33"/>
        <v>#VALUE!</v>
      </c>
      <c r="E117" s="357" t="e">
        <f t="shared" si="52"/>
        <v>#VALUE!</v>
      </c>
      <c r="F117" s="358" t="e">
        <f t="shared" si="52"/>
        <v>#VALUE!</v>
      </c>
      <c r="G117" s="359" t="e">
        <f t="shared" si="35"/>
        <v>#VALUE!</v>
      </c>
      <c r="J117" s="354" t="str">
        <f t="shared" si="31"/>
        <v>M108</v>
      </c>
      <c r="K117" s="355">
        <f t="shared" si="36"/>
        <v>1803.3480788820948</v>
      </c>
      <c r="L117" s="356">
        <f t="shared" si="44"/>
        <v>205.4356272364997</v>
      </c>
      <c r="M117" s="357">
        <f t="shared" si="53"/>
        <v>129158.07281050213</v>
      </c>
      <c r="N117" s="358">
        <f t="shared" si="53"/>
        <v>87790.567450306044</v>
      </c>
      <c r="O117" s="359">
        <f t="shared" si="38"/>
        <v>22848.927189497866</v>
      </c>
      <c r="R117" s="354"/>
      <c r="S117" s="355">
        <f t="shared" si="39"/>
        <v>4597.1790255254928</v>
      </c>
      <c r="T117" s="356">
        <f t="shared" si="45"/>
        <v>2841.1946045650197</v>
      </c>
      <c r="U117" s="357">
        <f t="shared" si="54"/>
        <v>333653.82647772325</v>
      </c>
      <c r="V117" s="358">
        <f t="shared" si="54"/>
        <v>469690.5255720524</v>
      </c>
      <c r="W117" s="359">
        <f t="shared" si="40"/>
        <v>336346.17352227686</v>
      </c>
      <c r="Z117" s="354"/>
      <c r="AA117" s="355" t="e">
        <f t="shared" si="41"/>
        <v>#NUM!</v>
      </c>
      <c r="AB117" s="356" t="e">
        <f t="shared" si="42"/>
        <v>#NUM!</v>
      </c>
      <c r="AC117" s="357" t="e">
        <f t="shared" si="55"/>
        <v>#NUM!</v>
      </c>
      <c r="AD117" s="358" t="e">
        <f t="shared" si="55"/>
        <v>#NUM!</v>
      </c>
      <c r="AE117" s="359" t="e">
        <f t="shared" si="43"/>
        <v>#NUM!</v>
      </c>
    </row>
    <row r="118" spans="2:31" x14ac:dyDescent="0.25">
      <c r="B118" s="354" t="s">
        <v>490</v>
      </c>
      <c r="C118" s="355" t="e">
        <f t="shared" si="32"/>
        <v>#VALUE!</v>
      </c>
      <c r="D118" s="356" t="e">
        <f t="shared" si="33"/>
        <v>#VALUE!</v>
      </c>
      <c r="E118" s="357" t="e">
        <f t="shared" si="52"/>
        <v>#VALUE!</v>
      </c>
      <c r="F118" s="358" t="e">
        <f t="shared" si="52"/>
        <v>#VALUE!</v>
      </c>
      <c r="G118" s="359" t="e">
        <f t="shared" si="35"/>
        <v>#VALUE!</v>
      </c>
      <c r="J118" s="354" t="str">
        <f t="shared" si="31"/>
        <v>M109</v>
      </c>
      <c r="K118" s="355">
        <f t="shared" si="36"/>
        <v>1818.3759795394456</v>
      </c>
      <c r="L118" s="356">
        <f t="shared" si="44"/>
        <v>190.40772657914889</v>
      </c>
      <c r="M118" s="357">
        <f t="shared" si="53"/>
        <v>130976.44879004157</v>
      </c>
      <c r="N118" s="358">
        <f t="shared" si="53"/>
        <v>87980.975176885186</v>
      </c>
      <c r="O118" s="359">
        <f t="shared" si="38"/>
        <v>21030.551209958419</v>
      </c>
      <c r="R118" s="354"/>
      <c r="S118" s="355">
        <f t="shared" si="39"/>
        <v>4635.4888507382057</v>
      </c>
      <c r="T118" s="356">
        <f t="shared" si="45"/>
        <v>2802.8847793523073</v>
      </c>
      <c r="U118" s="357">
        <f t="shared" si="54"/>
        <v>338289.31532846147</v>
      </c>
      <c r="V118" s="358">
        <f t="shared" si="54"/>
        <v>472493.41035140469</v>
      </c>
      <c r="W118" s="359">
        <f t="shared" si="40"/>
        <v>331710.68467153865</v>
      </c>
      <c r="Z118" s="354"/>
      <c r="AA118" s="355" t="e">
        <f t="shared" si="41"/>
        <v>#NUM!</v>
      </c>
      <c r="AB118" s="356" t="e">
        <f t="shared" si="42"/>
        <v>#NUM!</v>
      </c>
      <c r="AC118" s="357" t="e">
        <f t="shared" si="55"/>
        <v>#NUM!</v>
      </c>
      <c r="AD118" s="358" t="e">
        <f t="shared" si="55"/>
        <v>#NUM!</v>
      </c>
      <c r="AE118" s="359" t="e">
        <f t="shared" si="43"/>
        <v>#NUM!</v>
      </c>
    </row>
    <row r="119" spans="2:31" x14ac:dyDescent="0.25">
      <c r="B119" s="354" t="s">
        <v>491</v>
      </c>
      <c r="C119" s="355" t="e">
        <f t="shared" si="32"/>
        <v>#VALUE!</v>
      </c>
      <c r="D119" s="356" t="e">
        <f t="shared" si="33"/>
        <v>#VALUE!</v>
      </c>
      <c r="E119" s="357" t="e">
        <f t="shared" si="52"/>
        <v>#VALUE!</v>
      </c>
      <c r="F119" s="358" t="e">
        <f t="shared" si="52"/>
        <v>#VALUE!</v>
      </c>
      <c r="G119" s="359" t="e">
        <f t="shared" si="35"/>
        <v>#VALUE!</v>
      </c>
      <c r="J119" s="354" t="str">
        <f t="shared" si="31"/>
        <v>M110</v>
      </c>
      <c r="K119" s="355">
        <f t="shared" si="36"/>
        <v>1833.5291127022742</v>
      </c>
      <c r="L119" s="356">
        <f t="shared" si="44"/>
        <v>175.25459341632015</v>
      </c>
      <c r="M119" s="357">
        <f t="shared" si="53"/>
        <v>132809.97790274385</v>
      </c>
      <c r="N119" s="358">
        <f t="shared" si="53"/>
        <v>88156.229770301507</v>
      </c>
      <c r="O119" s="359">
        <f t="shared" si="38"/>
        <v>19197.022097256144</v>
      </c>
      <c r="R119" s="354"/>
      <c r="S119" s="355">
        <f t="shared" si="39"/>
        <v>4674.1179244943578</v>
      </c>
      <c r="T119" s="356">
        <f t="shared" si="45"/>
        <v>2764.2557055961552</v>
      </c>
      <c r="U119" s="357">
        <f t="shared" si="54"/>
        <v>342963.43325295585</v>
      </c>
      <c r="V119" s="358">
        <f t="shared" si="54"/>
        <v>475257.66605700087</v>
      </c>
      <c r="W119" s="359">
        <f t="shared" si="40"/>
        <v>327036.56674704427</v>
      </c>
      <c r="Z119" s="354"/>
      <c r="AA119" s="355" t="e">
        <f t="shared" si="41"/>
        <v>#NUM!</v>
      </c>
      <c r="AB119" s="356" t="e">
        <f t="shared" si="42"/>
        <v>#NUM!</v>
      </c>
      <c r="AC119" s="357" t="e">
        <f t="shared" si="55"/>
        <v>#NUM!</v>
      </c>
      <c r="AD119" s="358" t="e">
        <f t="shared" si="55"/>
        <v>#NUM!</v>
      </c>
      <c r="AE119" s="359" t="e">
        <f t="shared" si="43"/>
        <v>#NUM!</v>
      </c>
    </row>
    <row r="120" spans="2:31" x14ac:dyDescent="0.25">
      <c r="B120" s="354" t="s">
        <v>492</v>
      </c>
      <c r="C120" s="355" t="e">
        <f t="shared" si="32"/>
        <v>#VALUE!</v>
      </c>
      <c r="D120" s="356" t="e">
        <f t="shared" si="33"/>
        <v>#VALUE!</v>
      </c>
      <c r="E120" s="357" t="e">
        <f t="shared" si="52"/>
        <v>#VALUE!</v>
      </c>
      <c r="F120" s="358" t="e">
        <f t="shared" si="52"/>
        <v>#VALUE!</v>
      </c>
      <c r="G120" s="359" t="e">
        <f t="shared" si="35"/>
        <v>#VALUE!</v>
      </c>
      <c r="J120" s="354" t="str">
        <f t="shared" si="31"/>
        <v>M111</v>
      </c>
      <c r="K120" s="355">
        <f t="shared" si="36"/>
        <v>1848.8085219747932</v>
      </c>
      <c r="L120" s="356">
        <f t="shared" si="44"/>
        <v>159.97518414380119</v>
      </c>
      <c r="M120" s="357">
        <f t="shared" si="53"/>
        <v>134658.78642471865</v>
      </c>
      <c r="N120" s="358">
        <f t="shared" si="53"/>
        <v>88316.204954445304</v>
      </c>
      <c r="O120" s="359">
        <f t="shared" si="38"/>
        <v>17348.213575281352</v>
      </c>
      <c r="R120" s="354"/>
      <c r="S120" s="355">
        <f t="shared" si="39"/>
        <v>4713.068907198478</v>
      </c>
      <c r="T120" s="356">
        <f t="shared" si="45"/>
        <v>2725.3047228920354</v>
      </c>
      <c r="U120" s="357">
        <f t="shared" si="54"/>
        <v>347676.50216015434</v>
      </c>
      <c r="V120" s="358">
        <f t="shared" si="54"/>
        <v>477982.97077989293</v>
      </c>
      <c r="W120" s="359">
        <f t="shared" si="40"/>
        <v>322323.49783984578</v>
      </c>
      <c r="Z120" s="354"/>
      <c r="AA120" s="355" t="e">
        <f t="shared" si="41"/>
        <v>#NUM!</v>
      </c>
      <c r="AB120" s="356" t="e">
        <f t="shared" si="42"/>
        <v>#NUM!</v>
      </c>
      <c r="AC120" s="357" t="e">
        <f t="shared" si="55"/>
        <v>#NUM!</v>
      </c>
      <c r="AD120" s="358" t="e">
        <f t="shared" si="55"/>
        <v>#NUM!</v>
      </c>
      <c r="AE120" s="359" t="e">
        <f t="shared" si="43"/>
        <v>#NUM!</v>
      </c>
    </row>
    <row r="121" spans="2:31" x14ac:dyDescent="0.25">
      <c r="B121" s="354" t="s">
        <v>493</v>
      </c>
      <c r="C121" s="355" t="e">
        <f t="shared" si="32"/>
        <v>#VALUE!</v>
      </c>
      <c r="D121" s="356" t="e">
        <f t="shared" si="33"/>
        <v>#VALUE!</v>
      </c>
      <c r="E121" s="357" t="e">
        <f t="shared" si="52"/>
        <v>#VALUE!</v>
      </c>
      <c r="F121" s="358" t="e">
        <f t="shared" si="52"/>
        <v>#VALUE!</v>
      </c>
      <c r="G121" s="359" t="e">
        <f t="shared" si="35"/>
        <v>#VALUE!</v>
      </c>
      <c r="J121" s="354" t="str">
        <f t="shared" si="31"/>
        <v>M112</v>
      </c>
      <c r="K121" s="355">
        <f t="shared" si="36"/>
        <v>1864.2152596579165</v>
      </c>
      <c r="L121" s="356">
        <f t="shared" si="44"/>
        <v>144.56844646067793</v>
      </c>
      <c r="M121" s="357">
        <f t="shared" si="53"/>
        <v>136523.00168437656</v>
      </c>
      <c r="N121" s="358">
        <f t="shared" si="53"/>
        <v>88460.773400905979</v>
      </c>
      <c r="O121" s="359">
        <f t="shared" si="38"/>
        <v>15483.998315623436</v>
      </c>
      <c r="R121" s="354"/>
      <c r="S121" s="355">
        <f t="shared" si="39"/>
        <v>4752.3444814251316</v>
      </c>
      <c r="T121" s="356">
        <f t="shared" si="45"/>
        <v>2686.0291486653814</v>
      </c>
      <c r="U121" s="357">
        <f t="shared" si="54"/>
        <v>352428.84664157947</v>
      </c>
      <c r="V121" s="358">
        <f t="shared" si="54"/>
        <v>480668.9999285583</v>
      </c>
      <c r="W121" s="359">
        <f t="shared" si="40"/>
        <v>317571.15335842065</v>
      </c>
      <c r="Z121" s="354"/>
      <c r="AA121" s="355" t="e">
        <f t="shared" si="41"/>
        <v>#NUM!</v>
      </c>
      <c r="AB121" s="356" t="e">
        <f t="shared" si="42"/>
        <v>#NUM!</v>
      </c>
      <c r="AC121" s="357" t="e">
        <f t="shared" si="55"/>
        <v>#NUM!</v>
      </c>
      <c r="AD121" s="358" t="e">
        <f t="shared" si="55"/>
        <v>#NUM!</v>
      </c>
      <c r="AE121" s="359" t="e">
        <f t="shared" si="43"/>
        <v>#NUM!</v>
      </c>
    </row>
    <row r="122" spans="2:31" x14ac:dyDescent="0.25">
      <c r="B122" s="354" t="s">
        <v>494</v>
      </c>
      <c r="C122" s="355" t="e">
        <f t="shared" si="32"/>
        <v>#VALUE!</v>
      </c>
      <c r="D122" s="356" t="e">
        <f t="shared" si="33"/>
        <v>#VALUE!</v>
      </c>
      <c r="E122" s="357" t="e">
        <f t="shared" si="52"/>
        <v>#VALUE!</v>
      </c>
      <c r="F122" s="358" t="e">
        <f t="shared" si="52"/>
        <v>#VALUE!</v>
      </c>
      <c r="G122" s="359" t="e">
        <f t="shared" si="35"/>
        <v>#VALUE!</v>
      </c>
      <c r="J122" s="354" t="str">
        <f t="shared" si="31"/>
        <v>M113</v>
      </c>
      <c r="K122" s="355">
        <f t="shared" si="36"/>
        <v>1879.7503868217325</v>
      </c>
      <c r="L122" s="356">
        <f t="shared" si="44"/>
        <v>129.03331929686198</v>
      </c>
      <c r="M122" s="357">
        <f t="shared" si="53"/>
        <v>138402.75207119831</v>
      </c>
      <c r="N122" s="358">
        <f t="shared" si="53"/>
        <v>88589.806720202847</v>
      </c>
      <c r="O122" s="359">
        <f t="shared" si="38"/>
        <v>13604.247928801704</v>
      </c>
      <c r="R122" s="354"/>
      <c r="S122" s="355">
        <f t="shared" si="39"/>
        <v>4791.9473521036743</v>
      </c>
      <c r="T122" s="356">
        <f t="shared" si="45"/>
        <v>2646.4262779868386</v>
      </c>
      <c r="U122" s="357">
        <f t="shared" si="54"/>
        <v>357220.79399368312</v>
      </c>
      <c r="V122" s="358">
        <f t="shared" si="54"/>
        <v>483315.42620654515</v>
      </c>
      <c r="W122" s="359">
        <f t="shared" si="40"/>
        <v>312779.20600631699</v>
      </c>
      <c r="Z122" s="354"/>
      <c r="AA122" s="355" t="e">
        <f t="shared" si="41"/>
        <v>#NUM!</v>
      </c>
      <c r="AB122" s="356" t="e">
        <f t="shared" si="42"/>
        <v>#NUM!</v>
      </c>
      <c r="AC122" s="357" t="e">
        <f t="shared" si="55"/>
        <v>#NUM!</v>
      </c>
      <c r="AD122" s="358" t="e">
        <f t="shared" si="55"/>
        <v>#NUM!</v>
      </c>
      <c r="AE122" s="359" t="e">
        <f t="shared" si="43"/>
        <v>#NUM!</v>
      </c>
    </row>
    <row r="123" spans="2:31" x14ac:dyDescent="0.25">
      <c r="B123" s="354" t="s">
        <v>495</v>
      </c>
      <c r="C123" s="355" t="e">
        <f t="shared" si="32"/>
        <v>#VALUE!</v>
      </c>
      <c r="D123" s="356" t="e">
        <f t="shared" si="33"/>
        <v>#VALUE!</v>
      </c>
      <c r="E123" s="357" t="e">
        <f t="shared" si="52"/>
        <v>#VALUE!</v>
      </c>
      <c r="F123" s="358" t="e">
        <f t="shared" si="52"/>
        <v>#VALUE!</v>
      </c>
      <c r="G123" s="359" t="e">
        <f t="shared" si="35"/>
        <v>#VALUE!</v>
      </c>
      <c r="J123" s="354" t="str">
        <f t="shared" si="31"/>
        <v>M114</v>
      </c>
      <c r="K123" s="355">
        <f t="shared" si="36"/>
        <v>1895.4149733785803</v>
      </c>
      <c r="L123" s="356">
        <f t="shared" si="44"/>
        <v>113.3687327400142</v>
      </c>
      <c r="M123" s="357">
        <f t="shared" si="53"/>
        <v>140298.1670445769</v>
      </c>
      <c r="N123" s="358">
        <f t="shared" si="53"/>
        <v>88703.175452942858</v>
      </c>
      <c r="O123" s="359">
        <f t="shared" si="38"/>
        <v>11708.832955423124</v>
      </c>
      <c r="R123" s="354"/>
      <c r="S123" s="355">
        <f t="shared" si="39"/>
        <v>4831.880246704538</v>
      </c>
      <c r="T123" s="356">
        <f t="shared" si="45"/>
        <v>2606.493383385975</v>
      </c>
      <c r="U123" s="357">
        <f t="shared" si="54"/>
        <v>362052.67424038769</v>
      </c>
      <c r="V123" s="358">
        <f t="shared" si="54"/>
        <v>485921.91958993115</v>
      </c>
      <c r="W123" s="359">
        <f t="shared" si="40"/>
        <v>307947.32575961243</v>
      </c>
      <c r="Z123" s="354"/>
      <c r="AA123" s="355" t="e">
        <f t="shared" si="41"/>
        <v>#NUM!</v>
      </c>
      <c r="AB123" s="356" t="e">
        <f t="shared" si="42"/>
        <v>#NUM!</v>
      </c>
      <c r="AC123" s="357" t="e">
        <f t="shared" si="55"/>
        <v>#NUM!</v>
      </c>
      <c r="AD123" s="358" t="e">
        <f t="shared" si="55"/>
        <v>#NUM!</v>
      </c>
      <c r="AE123" s="359" t="e">
        <f t="shared" si="43"/>
        <v>#NUM!</v>
      </c>
    </row>
    <row r="124" spans="2:31" x14ac:dyDescent="0.25">
      <c r="B124" s="354" t="s">
        <v>496</v>
      </c>
      <c r="C124" s="355" t="e">
        <f t="shared" si="32"/>
        <v>#VALUE!</v>
      </c>
      <c r="D124" s="356" t="e">
        <f t="shared" si="33"/>
        <v>#VALUE!</v>
      </c>
      <c r="E124" s="357" t="e">
        <f t="shared" ref="E124:F139" si="56">E123+C124</f>
        <v>#VALUE!</v>
      </c>
      <c r="F124" s="358" t="e">
        <f t="shared" si="56"/>
        <v>#VALUE!</v>
      </c>
      <c r="G124" s="359" t="e">
        <f t="shared" si="35"/>
        <v>#VALUE!</v>
      </c>
      <c r="J124" s="354" t="str">
        <f t="shared" si="31"/>
        <v>M115</v>
      </c>
      <c r="K124" s="355">
        <f t="shared" si="36"/>
        <v>1911.2100981567351</v>
      </c>
      <c r="L124" s="356">
        <f t="shared" si="44"/>
        <v>97.573607961859366</v>
      </c>
      <c r="M124" s="357">
        <f t="shared" ref="M124:N139" si="57">M123+K124</f>
        <v>142209.37714273363</v>
      </c>
      <c r="N124" s="358">
        <f t="shared" si="57"/>
        <v>88800.749060904724</v>
      </c>
      <c r="O124" s="359">
        <f t="shared" si="38"/>
        <v>9797.6228572663895</v>
      </c>
      <c r="R124" s="354"/>
      <c r="S124" s="355">
        <f t="shared" si="39"/>
        <v>4872.145915427076</v>
      </c>
      <c r="T124" s="356">
        <f t="shared" si="45"/>
        <v>2566.2277146634369</v>
      </c>
      <c r="U124" s="357">
        <f t="shared" si="54"/>
        <v>366924.82015581476</v>
      </c>
      <c r="V124" s="358">
        <f t="shared" si="54"/>
        <v>488488.14730459457</v>
      </c>
      <c r="W124" s="359">
        <f t="shared" si="40"/>
        <v>303075.17984418536</v>
      </c>
      <c r="Z124" s="354"/>
      <c r="AA124" s="355" t="e">
        <f t="shared" si="41"/>
        <v>#NUM!</v>
      </c>
      <c r="AB124" s="356" t="e">
        <f t="shared" si="42"/>
        <v>#NUM!</v>
      </c>
      <c r="AC124" s="357" t="e">
        <f t="shared" si="55"/>
        <v>#NUM!</v>
      </c>
      <c r="AD124" s="358" t="e">
        <f t="shared" si="55"/>
        <v>#NUM!</v>
      </c>
      <c r="AE124" s="359" t="e">
        <f t="shared" si="43"/>
        <v>#NUM!</v>
      </c>
    </row>
    <row r="125" spans="2:31" x14ac:dyDescent="0.25">
      <c r="B125" s="354" t="s">
        <v>497</v>
      </c>
      <c r="C125" s="355" t="e">
        <f t="shared" si="32"/>
        <v>#VALUE!</v>
      </c>
      <c r="D125" s="356" t="e">
        <f t="shared" si="33"/>
        <v>#VALUE!</v>
      </c>
      <c r="E125" s="357" t="e">
        <f t="shared" si="56"/>
        <v>#VALUE!</v>
      </c>
      <c r="F125" s="358" t="e">
        <f t="shared" si="56"/>
        <v>#VALUE!</v>
      </c>
      <c r="G125" s="359" t="e">
        <f t="shared" si="35"/>
        <v>#VALUE!</v>
      </c>
      <c r="J125" s="354" t="str">
        <f t="shared" si="31"/>
        <v>M116</v>
      </c>
      <c r="K125" s="355">
        <f t="shared" si="36"/>
        <v>1927.1368489747078</v>
      </c>
      <c r="L125" s="356">
        <f t="shared" si="44"/>
        <v>81.646857143886578</v>
      </c>
      <c r="M125" s="357">
        <f t="shared" si="57"/>
        <v>144136.51399170834</v>
      </c>
      <c r="N125" s="358">
        <f t="shared" si="57"/>
        <v>88882.395918048613</v>
      </c>
      <c r="O125" s="359">
        <f t="shared" si="38"/>
        <v>7870.4860082916821</v>
      </c>
      <c r="R125" s="354"/>
      <c r="S125" s="355">
        <f t="shared" si="39"/>
        <v>4912.7471313889682</v>
      </c>
      <c r="T125" s="356">
        <f t="shared" si="45"/>
        <v>2525.6264987015447</v>
      </c>
      <c r="U125" s="357">
        <f t="shared" si="54"/>
        <v>371837.56728720374</v>
      </c>
      <c r="V125" s="358">
        <f t="shared" si="54"/>
        <v>491013.77380329609</v>
      </c>
      <c r="W125" s="359">
        <f t="shared" si="40"/>
        <v>298162.43271279638</v>
      </c>
      <c r="Z125" s="354"/>
      <c r="AA125" s="355" t="e">
        <f t="shared" si="41"/>
        <v>#NUM!</v>
      </c>
      <c r="AB125" s="356" t="e">
        <f t="shared" si="42"/>
        <v>#NUM!</v>
      </c>
      <c r="AC125" s="357" t="e">
        <f t="shared" si="55"/>
        <v>#NUM!</v>
      </c>
      <c r="AD125" s="358" t="e">
        <f t="shared" si="55"/>
        <v>#NUM!</v>
      </c>
      <c r="AE125" s="359" t="e">
        <f t="shared" si="43"/>
        <v>#NUM!</v>
      </c>
    </row>
    <row r="126" spans="2:31" x14ac:dyDescent="0.25">
      <c r="B126" s="354" t="s">
        <v>498</v>
      </c>
      <c r="C126" s="355" t="e">
        <f t="shared" si="32"/>
        <v>#VALUE!</v>
      </c>
      <c r="D126" s="356" t="e">
        <f t="shared" si="33"/>
        <v>#VALUE!</v>
      </c>
      <c r="E126" s="357" t="e">
        <f t="shared" si="56"/>
        <v>#VALUE!</v>
      </c>
      <c r="F126" s="358" t="e">
        <f t="shared" si="56"/>
        <v>#VALUE!</v>
      </c>
      <c r="G126" s="359" t="e">
        <f t="shared" si="35"/>
        <v>#VALUE!</v>
      </c>
      <c r="J126" s="354" t="str">
        <f t="shared" si="31"/>
        <v>M117</v>
      </c>
      <c r="K126" s="355">
        <f t="shared" si="36"/>
        <v>1943.1963227161636</v>
      </c>
      <c r="L126" s="356">
        <f t="shared" si="44"/>
        <v>65.587383402430689</v>
      </c>
      <c r="M126" s="357">
        <f t="shared" si="57"/>
        <v>146079.7103144245</v>
      </c>
      <c r="N126" s="358">
        <f t="shared" si="57"/>
        <v>88947.983301451037</v>
      </c>
      <c r="O126" s="359">
        <f t="shared" si="38"/>
        <v>5927.2896855755189</v>
      </c>
      <c r="R126" s="354"/>
      <c r="S126" s="355">
        <f t="shared" si="39"/>
        <v>4953.6866908172096</v>
      </c>
      <c r="T126" s="356">
        <f t="shared" si="45"/>
        <v>2484.6869392733033</v>
      </c>
      <c r="U126" s="357">
        <f t="shared" si="54"/>
        <v>376791.25397802098</v>
      </c>
      <c r="V126" s="358">
        <f t="shared" si="54"/>
        <v>493498.46074256941</v>
      </c>
      <c r="W126" s="359">
        <f t="shared" si="40"/>
        <v>293208.74602197914</v>
      </c>
      <c r="Z126" s="354"/>
      <c r="AA126" s="355" t="e">
        <f t="shared" si="41"/>
        <v>#NUM!</v>
      </c>
      <c r="AB126" s="356" t="e">
        <f t="shared" si="42"/>
        <v>#NUM!</v>
      </c>
      <c r="AC126" s="357" t="e">
        <f t="shared" si="55"/>
        <v>#NUM!</v>
      </c>
      <c r="AD126" s="358" t="e">
        <f t="shared" si="55"/>
        <v>#NUM!</v>
      </c>
      <c r="AE126" s="359" t="e">
        <f t="shared" si="43"/>
        <v>#NUM!</v>
      </c>
    </row>
    <row r="127" spans="2:31" x14ac:dyDescent="0.25">
      <c r="B127" s="354" t="s">
        <v>499</v>
      </c>
      <c r="C127" s="355" t="e">
        <f t="shared" si="32"/>
        <v>#VALUE!</v>
      </c>
      <c r="D127" s="356" t="e">
        <f t="shared" si="33"/>
        <v>#VALUE!</v>
      </c>
      <c r="E127" s="357" t="e">
        <f t="shared" si="56"/>
        <v>#VALUE!</v>
      </c>
      <c r="F127" s="358" t="e">
        <f t="shared" si="56"/>
        <v>#VALUE!</v>
      </c>
      <c r="G127" s="359" t="e">
        <f t="shared" si="35"/>
        <v>#VALUE!</v>
      </c>
      <c r="J127" s="354" t="str">
        <f t="shared" si="31"/>
        <v>M118</v>
      </c>
      <c r="K127" s="355">
        <f t="shared" si="36"/>
        <v>1959.389625405465</v>
      </c>
      <c r="L127" s="356">
        <f t="shared" si="44"/>
        <v>49.394080713129327</v>
      </c>
      <c r="M127" s="357">
        <f t="shared" si="57"/>
        <v>148039.09993982996</v>
      </c>
      <c r="N127" s="358">
        <f t="shared" si="57"/>
        <v>88997.377382164166</v>
      </c>
      <c r="O127" s="359">
        <f t="shared" si="38"/>
        <v>3967.9000601700536</v>
      </c>
      <c r="R127" s="354"/>
      <c r="S127" s="355">
        <f t="shared" si="39"/>
        <v>4994.9674132406872</v>
      </c>
      <c r="T127" s="356">
        <f t="shared" si="45"/>
        <v>2443.4062168498263</v>
      </c>
      <c r="U127" s="357">
        <f t="shared" si="54"/>
        <v>381786.22139126167</v>
      </c>
      <c r="V127" s="358">
        <f t="shared" si="54"/>
        <v>495941.86695941922</v>
      </c>
      <c r="W127" s="359">
        <f t="shared" si="40"/>
        <v>288213.77860873844</v>
      </c>
      <c r="Z127" s="354"/>
      <c r="AA127" s="355" t="e">
        <f t="shared" si="41"/>
        <v>#NUM!</v>
      </c>
      <c r="AB127" s="356" t="e">
        <f t="shared" si="42"/>
        <v>#NUM!</v>
      </c>
      <c r="AC127" s="357" t="e">
        <f t="shared" si="55"/>
        <v>#NUM!</v>
      </c>
      <c r="AD127" s="358" t="e">
        <f t="shared" si="55"/>
        <v>#NUM!</v>
      </c>
      <c r="AE127" s="359" t="e">
        <f t="shared" si="43"/>
        <v>#NUM!</v>
      </c>
    </row>
    <row r="128" spans="2:31" x14ac:dyDescent="0.25">
      <c r="B128" s="354" t="s">
        <v>500</v>
      </c>
      <c r="C128" s="355" t="e">
        <f t="shared" si="32"/>
        <v>#VALUE!</v>
      </c>
      <c r="D128" s="356" t="e">
        <f t="shared" si="33"/>
        <v>#VALUE!</v>
      </c>
      <c r="E128" s="357" t="e">
        <f t="shared" si="56"/>
        <v>#VALUE!</v>
      </c>
      <c r="F128" s="358" t="e">
        <f t="shared" si="56"/>
        <v>#VALUE!</v>
      </c>
      <c r="G128" s="359" t="e">
        <f t="shared" si="35"/>
        <v>#VALUE!</v>
      </c>
      <c r="J128" s="354" t="str">
        <f t="shared" si="31"/>
        <v>M119</v>
      </c>
      <c r="K128" s="355">
        <f t="shared" si="36"/>
        <v>1975.7178722838439</v>
      </c>
      <c r="L128" s="356">
        <f t="shared" si="44"/>
        <v>33.06583383475045</v>
      </c>
      <c r="M128" s="357">
        <f t="shared" si="57"/>
        <v>150014.81781211382</v>
      </c>
      <c r="N128" s="358">
        <f t="shared" si="57"/>
        <v>89030.443215998923</v>
      </c>
      <c r="O128" s="359">
        <f t="shared" si="38"/>
        <v>1992.1821878862097</v>
      </c>
      <c r="R128" s="354"/>
      <c r="S128" s="355">
        <f t="shared" si="39"/>
        <v>5036.5921416843594</v>
      </c>
      <c r="T128" s="356">
        <f t="shared" si="45"/>
        <v>2401.7814884061536</v>
      </c>
      <c r="U128" s="357">
        <f t="shared" ref="U128:V143" si="58">U127+S128</f>
        <v>386822.81353294605</v>
      </c>
      <c r="V128" s="358">
        <f t="shared" si="58"/>
        <v>498343.6484478254</v>
      </c>
      <c r="W128" s="359">
        <f t="shared" si="40"/>
        <v>283177.18646705407</v>
      </c>
      <c r="Z128" s="354"/>
      <c r="AA128" s="355" t="e">
        <f t="shared" si="41"/>
        <v>#NUM!</v>
      </c>
      <c r="AB128" s="356" t="e">
        <f t="shared" si="42"/>
        <v>#NUM!</v>
      </c>
      <c r="AC128" s="357" t="e">
        <f t="shared" ref="AC128:AD143" si="59">AC127+AA128</f>
        <v>#NUM!</v>
      </c>
      <c r="AD128" s="358" t="e">
        <f t="shared" si="59"/>
        <v>#NUM!</v>
      </c>
      <c r="AE128" s="359" t="e">
        <f t="shared" si="43"/>
        <v>#NUM!</v>
      </c>
    </row>
    <row r="129" spans="2:31" x14ac:dyDescent="0.25">
      <c r="B129" s="354" t="s">
        <v>501</v>
      </c>
      <c r="C129" s="355" t="e">
        <f t="shared" si="32"/>
        <v>#VALUE!</v>
      </c>
      <c r="D129" s="356" t="e">
        <f t="shared" si="33"/>
        <v>#VALUE!</v>
      </c>
      <c r="E129" s="357" t="e">
        <f t="shared" si="56"/>
        <v>#VALUE!</v>
      </c>
      <c r="F129" s="358" t="e">
        <f t="shared" si="56"/>
        <v>#VALUE!</v>
      </c>
      <c r="G129" s="359" t="e">
        <f t="shared" si="35"/>
        <v>#VALUE!</v>
      </c>
      <c r="J129" s="354" t="str">
        <f t="shared" si="31"/>
        <v>M120</v>
      </c>
      <c r="K129" s="355">
        <f t="shared" si="36"/>
        <v>1992.1821878862092</v>
      </c>
      <c r="L129" s="356">
        <f t="shared" si="44"/>
        <v>16.601518232385082</v>
      </c>
      <c r="M129" s="357">
        <f t="shared" si="57"/>
        <v>152007.00000000003</v>
      </c>
      <c r="N129" s="358">
        <f t="shared" si="57"/>
        <v>89047.044734231313</v>
      </c>
      <c r="O129" s="359">
        <f t="shared" si="38"/>
        <v>0</v>
      </c>
      <c r="R129" s="354"/>
      <c r="S129" s="355">
        <f t="shared" si="39"/>
        <v>5078.5637428650625</v>
      </c>
      <c r="T129" s="356">
        <f t="shared" si="45"/>
        <v>2359.8098872254504</v>
      </c>
      <c r="U129" s="357">
        <f t="shared" si="58"/>
        <v>391901.3772758111</v>
      </c>
      <c r="V129" s="358">
        <f t="shared" si="58"/>
        <v>500703.45833505085</v>
      </c>
      <c r="W129" s="359">
        <f t="shared" si="40"/>
        <v>278098.62272418902</v>
      </c>
      <c r="Z129" s="354"/>
      <c r="AA129" s="355" t="e">
        <f t="shared" si="41"/>
        <v>#NUM!</v>
      </c>
      <c r="AB129" s="356" t="e">
        <f t="shared" si="42"/>
        <v>#NUM!</v>
      </c>
      <c r="AC129" s="357" t="e">
        <f t="shared" si="59"/>
        <v>#NUM!</v>
      </c>
      <c r="AD129" s="358" t="e">
        <f t="shared" si="59"/>
        <v>#NUM!</v>
      </c>
      <c r="AE129" s="359" t="e">
        <f t="shared" si="43"/>
        <v>#NUM!</v>
      </c>
    </row>
    <row r="130" spans="2:31" x14ac:dyDescent="0.25">
      <c r="B130" s="354" t="s">
        <v>502</v>
      </c>
      <c r="C130" s="355" t="e">
        <f t="shared" si="32"/>
        <v>#VALUE!</v>
      </c>
      <c r="D130" s="356" t="e">
        <f t="shared" si="33"/>
        <v>#VALUE!</v>
      </c>
      <c r="E130" s="357" t="e">
        <f t="shared" si="56"/>
        <v>#VALUE!</v>
      </c>
      <c r="F130" s="358" t="e">
        <f t="shared" si="56"/>
        <v>#VALUE!</v>
      </c>
      <c r="G130" s="359" t="e">
        <f t="shared" si="35"/>
        <v>#VALUE!</v>
      </c>
      <c r="J130" s="354" t="str">
        <f t="shared" si="31"/>
        <v>M121</v>
      </c>
      <c r="K130" s="355">
        <f t="shared" si="36"/>
        <v>2008.7837061185944</v>
      </c>
      <c r="L130" s="356">
        <f t="shared" si="44"/>
        <v>0</v>
      </c>
      <c r="M130" s="357">
        <f t="shared" si="57"/>
        <v>154015.78370611861</v>
      </c>
      <c r="N130" s="358">
        <f t="shared" si="57"/>
        <v>89047.044734231313</v>
      </c>
      <c r="O130" s="359">
        <f t="shared" si="38"/>
        <v>-2008.7837061185944</v>
      </c>
      <c r="R130" s="354"/>
      <c r="S130" s="355">
        <f t="shared" si="39"/>
        <v>5120.8851073889382</v>
      </c>
      <c r="T130" s="356">
        <f t="shared" si="45"/>
        <v>2317.4885227015752</v>
      </c>
      <c r="U130" s="357">
        <f t="shared" si="58"/>
        <v>397022.26238320005</v>
      </c>
      <c r="V130" s="358">
        <f t="shared" si="58"/>
        <v>503020.94685775239</v>
      </c>
      <c r="W130" s="359">
        <f t="shared" si="40"/>
        <v>272977.73761680006</v>
      </c>
      <c r="Z130" s="354"/>
      <c r="AA130" s="355" t="e">
        <f t="shared" si="41"/>
        <v>#NUM!</v>
      </c>
      <c r="AB130" s="356" t="e">
        <f t="shared" si="42"/>
        <v>#NUM!</v>
      </c>
      <c r="AC130" s="357" t="e">
        <f t="shared" si="59"/>
        <v>#NUM!</v>
      </c>
      <c r="AD130" s="358" t="e">
        <f t="shared" si="59"/>
        <v>#NUM!</v>
      </c>
      <c r="AE130" s="359" t="e">
        <f t="shared" si="43"/>
        <v>#NUM!</v>
      </c>
    </row>
    <row r="131" spans="2:31" x14ac:dyDescent="0.25">
      <c r="B131" s="354" t="s">
        <v>503</v>
      </c>
      <c r="C131" s="355" t="e">
        <f t="shared" si="32"/>
        <v>#VALUE!</v>
      </c>
      <c r="D131" s="356" t="e">
        <f t="shared" si="33"/>
        <v>#VALUE!</v>
      </c>
      <c r="E131" s="357" t="e">
        <f t="shared" si="56"/>
        <v>#VALUE!</v>
      </c>
      <c r="F131" s="358" t="e">
        <f t="shared" si="56"/>
        <v>#VALUE!</v>
      </c>
      <c r="G131" s="359" t="e">
        <f t="shared" si="35"/>
        <v>#VALUE!</v>
      </c>
      <c r="J131" s="354" t="str">
        <f t="shared" si="31"/>
        <v>M122</v>
      </c>
      <c r="K131" s="355">
        <f t="shared" si="36"/>
        <v>2025.5235703362493</v>
      </c>
      <c r="L131" s="356">
        <f t="shared" si="44"/>
        <v>-16.739864217654954</v>
      </c>
      <c r="M131" s="357">
        <f t="shared" si="57"/>
        <v>156041.30727645487</v>
      </c>
      <c r="N131" s="358">
        <f t="shared" si="57"/>
        <v>89030.304870013657</v>
      </c>
      <c r="O131" s="359">
        <f t="shared" si="38"/>
        <v>-4034.3072764548438</v>
      </c>
      <c r="R131" s="354"/>
      <c r="S131" s="355">
        <f t="shared" si="39"/>
        <v>5163.5591499505126</v>
      </c>
      <c r="T131" s="356">
        <f t="shared" si="45"/>
        <v>2274.8144801400003</v>
      </c>
      <c r="U131" s="357">
        <f t="shared" si="58"/>
        <v>402185.82153315056</v>
      </c>
      <c r="V131" s="358">
        <f t="shared" si="58"/>
        <v>505295.76133789239</v>
      </c>
      <c r="W131" s="359">
        <f t="shared" si="40"/>
        <v>267814.17846684955</v>
      </c>
      <c r="Z131" s="354"/>
      <c r="AA131" s="355" t="e">
        <f t="shared" si="41"/>
        <v>#NUM!</v>
      </c>
      <c r="AB131" s="356" t="e">
        <f t="shared" si="42"/>
        <v>#NUM!</v>
      </c>
      <c r="AC131" s="357" t="e">
        <f t="shared" si="59"/>
        <v>#NUM!</v>
      </c>
      <c r="AD131" s="358" t="e">
        <f t="shared" si="59"/>
        <v>#NUM!</v>
      </c>
      <c r="AE131" s="359" t="e">
        <f t="shared" si="43"/>
        <v>#NUM!</v>
      </c>
    </row>
    <row r="132" spans="2:31" x14ac:dyDescent="0.25">
      <c r="B132" s="354" t="s">
        <v>504</v>
      </c>
      <c r="C132" s="355" t="e">
        <f t="shared" si="32"/>
        <v>#VALUE!</v>
      </c>
      <c r="D132" s="356" t="e">
        <f t="shared" si="33"/>
        <v>#VALUE!</v>
      </c>
      <c r="E132" s="357" t="e">
        <f t="shared" si="56"/>
        <v>#VALUE!</v>
      </c>
      <c r="F132" s="358" t="e">
        <f t="shared" si="56"/>
        <v>#VALUE!</v>
      </c>
      <c r="G132" s="359" t="e">
        <f t="shared" si="35"/>
        <v>#VALUE!</v>
      </c>
      <c r="J132" s="354" t="str">
        <f t="shared" si="31"/>
        <v>M123</v>
      </c>
      <c r="K132" s="355">
        <f t="shared" si="36"/>
        <v>2042.4029334223849</v>
      </c>
      <c r="L132" s="356">
        <f t="shared" si="44"/>
        <v>-33.619227303790368</v>
      </c>
      <c r="M132" s="357">
        <f t="shared" si="57"/>
        <v>158083.71020987726</v>
      </c>
      <c r="N132" s="358">
        <f t="shared" si="57"/>
        <v>88996.685642709868</v>
      </c>
      <c r="O132" s="359">
        <f t="shared" si="38"/>
        <v>-6076.7102098772284</v>
      </c>
      <c r="R132" s="354"/>
      <c r="S132" s="355">
        <f t="shared" si="39"/>
        <v>5206.588809533434</v>
      </c>
      <c r="T132" s="356">
        <f t="shared" si="45"/>
        <v>2231.7848205570795</v>
      </c>
      <c r="U132" s="357">
        <f t="shared" si="58"/>
        <v>407392.41034268402</v>
      </c>
      <c r="V132" s="358">
        <f t="shared" si="58"/>
        <v>507527.54615844949</v>
      </c>
      <c r="W132" s="359">
        <f t="shared" si="40"/>
        <v>262607.5896573161</v>
      </c>
      <c r="Z132" s="354"/>
      <c r="AA132" s="355" t="e">
        <f t="shared" si="41"/>
        <v>#NUM!</v>
      </c>
      <c r="AB132" s="356" t="e">
        <f t="shared" si="42"/>
        <v>#NUM!</v>
      </c>
      <c r="AC132" s="357" t="e">
        <f t="shared" si="59"/>
        <v>#NUM!</v>
      </c>
      <c r="AD132" s="358" t="e">
        <f t="shared" si="59"/>
        <v>#NUM!</v>
      </c>
      <c r="AE132" s="359" t="e">
        <f t="shared" si="43"/>
        <v>#NUM!</v>
      </c>
    </row>
    <row r="133" spans="2:31" x14ac:dyDescent="0.25">
      <c r="B133" s="354" t="s">
        <v>505</v>
      </c>
      <c r="C133" s="355" t="e">
        <f t="shared" si="32"/>
        <v>#VALUE!</v>
      </c>
      <c r="D133" s="356" t="e">
        <f t="shared" si="33"/>
        <v>#VALUE!</v>
      </c>
      <c r="E133" s="357" t="e">
        <f t="shared" si="56"/>
        <v>#VALUE!</v>
      </c>
      <c r="F133" s="358" t="e">
        <f t="shared" si="56"/>
        <v>#VALUE!</v>
      </c>
      <c r="G133" s="359" t="e">
        <f t="shared" si="35"/>
        <v>#VALUE!</v>
      </c>
      <c r="J133" s="354" t="str">
        <f t="shared" si="31"/>
        <v>M124</v>
      </c>
      <c r="K133" s="355">
        <f t="shared" si="36"/>
        <v>2059.4229578675713</v>
      </c>
      <c r="L133" s="356">
        <f t="shared" si="44"/>
        <v>-50.639251748976903</v>
      </c>
      <c r="M133" s="357">
        <f t="shared" si="57"/>
        <v>160143.13316774482</v>
      </c>
      <c r="N133" s="358">
        <f t="shared" si="57"/>
        <v>88946.046390960895</v>
      </c>
      <c r="O133" s="359">
        <f t="shared" si="38"/>
        <v>-8136.1331677447997</v>
      </c>
      <c r="R133" s="354"/>
      <c r="S133" s="355">
        <f t="shared" si="39"/>
        <v>5249.9770496128785</v>
      </c>
      <c r="T133" s="356">
        <f t="shared" si="45"/>
        <v>2188.396580477634</v>
      </c>
      <c r="U133" s="357">
        <f t="shared" si="58"/>
        <v>412642.38739229692</v>
      </c>
      <c r="V133" s="358">
        <f t="shared" si="58"/>
        <v>509715.94273892714</v>
      </c>
      <c r="W133" s="359">
        <f t="shared" si="40"/>
        <v>257357.61260770322</v>
      </c>
      <c r="Z133" s="354"/>
      <c r="AA133" s="355" t="e">
        <f t="shared" si="41"/>
        <v>#NUM!</v>
      </c>
      <c r="AB133" s="356" t="e">
        <f t="shared" si="42"/>
        <v>#NUM!</v>
      </c>
      <c r="AC133" s="357" t="e">
        <f t="shared" si="59"/>
        <v>#NUM!</v>
      </c>
      <c r="AD133" s="358" t="e">
        <f t="shared" si="59"/>
        <v>#NUM!</v>
      </c>
      <c r="AE133" s="359" t="e">
        <f t="shared" si="43"/>
        <v>#NUM!</v>
      </c>
    </row>
    <row r="134" spans="2:31" x14ac:dyDescent="0.25">
      <c r="B134" s="354" t="s">
        <v>506</v>
      </c>
      <c r="C134" s="355" t="e">
        <f t="shared" si="32"/>
        <v>#VALUE!</v>
      </c>
      <c r="D134" s="356" t="e">
        <f t="shared" si="33"/>
        <v>#VALUE!</v>
      </c>
      <c r="E134" s="357" t="e">
        <f t="shared" si="56"/>
        <v>#VALUE!</v>
      </c>
      <c r="F134" s="358" t="e">
        <f t="shared" si="56"/>
        <v>#VALUE!</v>
      </c>
      <c r="G134" s="359" t="e">
        <f t="shared" si="35"/>
        <v>#VALUE!</v>
      </c>
      <c r="J134" s="354" t="str">
        <f t="shared" si="31"/>
        <v>M125</v>
      </c>
      <c r="K134" s="355">
        <f t="shared" si="36"/>
        <v>2076.5848158498011</v>
      </c>
      <c r="L134" s="356">
        <f t="shared" si="44"/>
        <v>-67.801109731206665</v>
      </c>
      <c r="M134" s="357">
        <f t="shared" si="57"/>
        <v>162219.71798359463</v>
      </c>
      <c r="N134" s="358">
        <f t="shared" si="57"/>
        <v>88878.245281229683</v>
      </c>
      <c r="O134" s="359">
        <f t="shared" si="38"/>
        <v>-10212.717983594601</v>
      </c>
      <c r="R134" s="354"/>
      <c r="S134" s="355">
        <f t="shared" si="39"/>
        <v>5293.7268583596524</v>
      </c>
      <c r="T134" s="356">
        <f t="shared" si="45"/>
        <v>2144.6467717308601</v>
      </c>
      <c r="U134" s="357">
        <f t="shared" si="58"/>
        <v>417936.11425065657</v>
      </c>
      <c r="V134" s="358">
        <f t="shared" si="58"/>
        <v>511860.589510658</v>
      </c>
      <c r="W134" s="359">
        <f t="shared" si="40"/>
        <v>252063.88574934358</v>
      </c>
      <c r="Z134" s="354"/>
      <c r="AA134" s="355" t="e">
        <f t="shared" si="41"/>
        <v>#NUM!</v>
      </c>
      <c r="AB134" s="356" t="e">
        <f t="shared" si="42"/>
        <v>#NUM!</v>
      </c>
      <c r="AC134" s="357" t="e">
        <f t="shared" si="59"/>
        <v>#NUM!</v>
      </c>
      <c r="AD134" s="358" t="e">
        <f t="shared" si="59"/>
        <v>#NUM!</v>
      </c>
      <c r="AE134" s="359" t="e">
        <f t="shared" si="43"/>
        <v>#NUM!</v>
      </c>
    </row>
    <row r="135" spans="2:31" x14ac:dyDescent="0.25">
      <c r="B135" s="354" t="s">
        <v>507</v>
      </c>
      <c r="C135" s="355" t="e">
        <f t="shared" si="32"/>
        <v>#VALUE!</v>
      </c>
      <c r="D135" s="356" t="e">
        <f t="shared" si="33"/>
        <v>#VALUE!</v>
      </c>
      <c r="E135" s="357" t="e">
        <f t="shared" si="56"/>
        <v>#VALUE!</v>
      </c>
      <c r="F135" s="358" t="e">
        <f t="shared" si="56"/>
        <v>#VALUE!</v>
      </c>
      <c r="G135" s="359" t="e">
        <f t="shared" si="35"/>
        <v>#VALUE!</v>
      </c>
      <c r="J135" s="354" t="str">
        <f t="shared" si="31"/>
        <v>M126</v>
      </c>
      <c r="K135" s="355">
        <f t="shared" si="36"/>
        <v>2093.8896893152159</v>
      </c>
      <c r="L135" s="356">
        <f t="shared" si="44"/>
        <v>-85.105983196621679</v>
      </c>
      <c r="M135" s="357">
        <f t="shared" si="57"/>
        <v>164313.60767290986</v>
      </c>
      <c r="N135" s="358">
        <f t="shared" si="57"/>
        <v>88793.139298033057</v>
      </c>
      <c r="O135" s="359">
        <f t="shared" si="38"/>
        <v>-12306.607672909817</v>
      </c>
      <c r="R135" s="354"/>
      <c r="S135" s="355">
        <f t="shared" si="39"/>
        <v>5337.8412488459835</v>
      </c>
      <c r="T135" s="356">
        <f t="shared" si="45"/>
        <v>2100.5323812445299</v>
      </c>
      <c r="U135" s="357">
        <f t="shared" si="58"/>
        <v>423273.95549950254</v>
      </c>
      <c r="V135" s="358">
        <f t="shared" si="58"/>
        <v>513961.12189190253</v>
      </c>
      <c r="W135" s="359">
        <f t="shared" si="40"/>
        <v>246726.04450049761</v>
      </c>
      <c r="Z135" s="354"/>
      <c r="AA135" s="355" t="e">
        <f t="shared" si="41"/>
        <v>#NUM!</v>
      </c>
      <c r="AB135" s="356" t="e">
        <f t="shared" si="42"/>
        <v>#NUM!</v>
      </c>
      <c r="AC135" s="357" t="e">
        <f t="shared" si="59"/>
        <v>#NUM!</v>
      </c>
      <c r="AD135" s="358" t="e">
        <f t="shared" si="59"/>
        <v>#NUM!</v>
      </c>
      <c r="AE135" s="359" t="e">
        <f t="shared" si="43"/>
        <v>#NUM!</v>
      </c>
    </row>
    <row r="136" spans="2:31" x14ac:dyDescent="0.25">
      <c r="B136" s="354" t="s">
        <v>508</v>
      </c>
      <c r="C136" s="355" t="e">
        <f t="shared" si="32"/>
        <v>#VALUE!</v>
      </c>
      <c r="D136" s="356" t="e">
        <f t="shared" si="33"/>
        <v>#VALUE!</v>
      </c>
      <c r="E136" s="357" t="e">
        <f t="shared" si="56"/>
        <v>#VALUE!</v>
      </c>
      <c r="F136" s="358" t="e">
        <f t="shared" si="56"/>
        <v>#VALUE!</v>
      </c>
      <c r="G136" s="359" t="e">
        <f t="shared" si="35"/>
        <v>#VALUE!</v>
      </c>
      <c r="J136" s="354" t="str">
        <f t="shared" si="31"/>
        <v>M127</v>
      </c>
      <c r="K136" s="355">
        <f t="shared" si="36"/>
        <v>2111.3387700595094</v>
      </c>
      <c r="L136" s="356">
        <f t="shared" si="44"/>
        <v>-102.55506394091513</v>
      </c>
      <c r="M136" s="357">
        <f t="shared" si="57"/>
        <v>166424.94644296938</v>
      </c>
      <c r="N136" s="358">
        <f t="shared" si="57"/>
        <v>88690.584234092137</v>
      </c>
      <c r="O136" s="359">
        <f t="shared" si="38"/>
        <v>-14417.946442969325</v>
      </c>
      <c r="R136" s="354"/>
      <c r="S136" s="355">
        <f t="shared" si="39"/>
        <v>5382.323259253033</v>
      </c>
      <c r="T136" s="356">
        <f t="shared" si="45"/>
        <v>2056.0503708374799</v>
      </c>
      <c r="U136" s="357">
        <f t="shared" si="58"/>
        <v>428656.27875875559</v>
      </c>
      <c r="V136" s="358">
        <f t="shared" si="58"/>
        <v>516017.17226274003</v>
      </c>
      <c r="W136" s="359">
        <f t="shared" si="40"/>
        <v>241343.72124124458</v>
      </c>
      <c r="Z136" s="354"/>
      <c r="AA136" s="355" t="e">
        <f t="shared" si="41"/>
        <v>#NUM!</v>
      </c>
      <c r="AB136" s="356" t="e">
        <f t="shared" si="42"/>
        <v>#NUM!</v>
      </c>
      <c r="AC136" s="357" t="e">
        <f t="shared" si="59"/>
        <v>#NUM!</v>
      </c>
      <c r="AD136" s="358" t="e">
        <f t="shared" si="59"/>
        <v>#NUM!</v>
      </c>
      <c r="AE136" s="359" t="e">
        <f t="shared" si="43"/>
        <v>#NUM!</v>
      </c>
    </row>
    <row r="137" spans="2:31" x14ac:dyDescent="0.25">
      <c r="B137" s="354" t="s">
        <v>509</v>
      </c>
      <c r="C137" s="355" t="e">
        <f t="shared" si="32"/>
        <v>#VALUE!</v>
      </c>
      <c r="D137" s="356" t="e">
        <f t="shared" si="33"/>
        <v>#VALUE!</v>
      </c>
      <c r="E137" s="357" t="e">
        <f t="shared" si="56"/>
        <v>#VALUE!</v>
      </c>
      <c r="F137" s="358" t="e">
        <f t="shared" si="56"/>
        <v>#VALUE!</v>
      </c>
      <c r="G137" s="359" t="e">
        <f t="shared" si="35"/>
        <v>#VALUE!</v>
      </c>
      <c r="J137" s="354" t="str">
        <f t="shared" si="31"/>
        <v>M128</v>
      </c>
      <c r="K137" s="355">
        <f t="shared" si="36"/>
        <v>2128.9332598100054</v>
      </c>
      <c r="L137" s="356">
        <f t="shared" si="44"/>
        <v>-120.14955369141104</v>
      </c>
      <c r="M137" s="357">
        <f t="shared" si="57"/>
        <v>168553.87970277938</v>
      </c>
      <c r="N137" s="358">
        <f t="shared" si="57"/>
        <v>88570.434680400722</v>
      </c>
      <c r="O137" s="359">
        <f t="shared" si="38"/>
        <v>-16546.87970277933</v>
      </c>
      <c r="R137" s="354"/>
      <c r="S137" s="355">
        <f t="shared" si="39"/>
        <v>5427.175953080141</v>
      </c>
      <c r="T137" s="356">
        <f t="shared" si="45"/>
        <v>2011.1976770103715</v>
      </c>
      <c r="U137" s="357">
        <f t="shared" si="58"/>
        <v>434083.45471183571</v>
      </c>
      <c r="V137" s="358">
        <f t="shared" si="58"/>
        <v>518028.36993975041</v>
      </c>
      <c r="W137" s="359">
        <f t="shared" si="40"/>
        <v>235916.54528816443</v>
      </c>
      <c r="Z137" s="354"/>
      <c r="AA137" s="355" t="e">
        <f t="shared" si="41"/>
        <v>#NUM!</v>
      </c>
      <c r="AB137" s="356" t="e">
        <f t="shared" si="42"/>
        <v>#NUM!</v>
      </c>
      <c r="AC137" s="357" t="e">
        <f t="shared" si="59"/>
        <v>#NUM!</v>
      </c>
      <c r="AD137" s="358" t="e">
        <f t="shared" si="59"/>
        <v>#NUM!</v>
      </c>
      <c r="AE137" s="359" t="e">
        <f t="shared" si="43"/>
        <v>#NUM!</v>
      </c>
    </row>
    <row r="138" spans="2:31" x14ac:dyDescent="0.25">
      <c r="B138" s="354" t="s">
        <v>510</v>
      </c>
      <c r="C138" s="355" t="e">
        <f t="shared" si="32"/>
        <v>#VALUE!</v>
      </c>
      <c r="D138" s="356" t="e">
        <f t="shared" si="33"/>
        <v>#VALUE!</v>
      </c>
      <c r="E138" s="357" t="e">
        <f t="shared" si="56"/>
        <v>#VALUE!</v>
      </c>
      <c r="F138" s="358" t="e">
        <f t="shared" si="56"/>
        <v>#VALUE!</v>
      </c>
      <c r="G138" s="359" t="e">
        <f t="shared" si="35"/>
        <v>#VALUE!</v>
      </c>
      <c r="J138" s="354" t="str">
        <f t="shared" ref="J138:J201" si="60">B138</f>
        <v>M129</v>
      </c>
      <c r="K138" s="355">
        <f t="shared" si="36"/>
        <v>2146.6743703084221</v>
      </c>
      <c r="L138" s="356">
        <f t="shared" si="44"/>
        <v>-137.89066418982776</v>
      </c>
      <c r="M138" s="357">
        <f t="shared" si="57"/>
        <v>170700.55407308781</v>
      </c>
      <c r="N138" s="358">
        <f t="shared" si="57"/>
        <v>88432.544016210901</v>
      </c>
      <c r="O138" s="359">
        <f t="shared" si="38"/>
        <v>-18693.554073087751</v>
      </c>
      <c r="R138" s="354"/>
      <c r="S138" s="355">
        <f t="shared" si="39"/>
        <v>5472.4024193558089</v>
      </c>
      <c r="T138" s="356">
        <f t="shared" si="45"/>
        <v>1965.9712107347036</v>
      </c>
      <c r="U138" s="357">
        <f t="shared" si="58"/>
        <v>439555.85713119153</v>
      </c>
      <c r="V138" s="358">
        <f t="shared" si="58"/>
        <v>519994.3411504851</v>
      </c>
      <c r="W138" s="359">
        <f t="shared" si="40"/>
        <v>230444.14286880862</v>
      </c>
      <c r="Z138" s="354"/>
      <c r="AA138" s="355" t="e">
        <f t="shared" si="41"/>
        <v>#NUM!</v>
      </c>
      <c r="AB138" s="356" t="e">
        <f t="shared" si="42"/>
        <v>#NUM!</v>
      </c>
      <c r="AC138" s="357" t="e">
        <f t="shared" si="59"/>
        <v>#NUM!</v>
      </c>
      <c r="AD138" s="358" t="e">
        <f t="shared" si="59"/>
        <v>#NUM!</v>
      </c>
      <c r="AE138" s="359" t="e">
        <f t="shared" si="43"/>
        <v>#NUM!</v>
      </c>
    </row>
    <row r="139" spans="2:31" x14ac:dyDescent="0.25">
      <c r="B139" s="354" t="s">
        <v>511</v>
      </c>
      <c r="C139" s="355" t="e">
        <f t="shared" si="32"/>
        <v>#VALUE!</v>
      </c>
      <c r="D139" s="356" t="e">
        <f t="shared" si="33"/>
        <v>#VALUE!</v>
      </c>
      <c r="E139" s="357" t="e">
        <f t="shared" si="56"/>
        <v>#VALUE!</v>
      </c>
      <c r="F139" s="358" t="e">
        <f t="shared" si="56"/>
        <v>#VALUE!</v>
      </c>
      <c r="G139" s="359" t="e">
        <f t="shared" si="35"/>
        <v>#VALUE!</v>
      </c>
      <c r="J139" s="354" t="str">
        <f t="shared" si="60"/>
        <v>M130</v>
      </c>
      <c r="K139" s="355">
        <f t="shared" si="36"/>
        <v>2164.5633233943258</v>
      </c>
      <c r="L139" s="356">
        <f t="shared" si="44"/>
        <v>-155.77961727573125</v>
      </c>
      <c r="M139" s="357">
        <f t="shared" si="57"/>
        <v>172865.11739648215</v>
      </c>
      <c r="N139" s="358">
        <f t="shared" si="57"/>
        <v>88276.764398935164</v>
      </c>
      <c r="O139" s="359">
        <f t="shared" si="38"/>
        <v>-20858.117396482077</v>
      </c>
      <c r="R139" s="354"/>
      <c r="S139" s="355">
        <f t="shared" si="39"/>
        <v>5518.0057728504416</v>
      </c>
      <c r="T139" s="356">
        <f t="shared" si="45"/>
        <v>1920.3678572400718</v>
      </c>
      <c r="U139" s="357">
        <f t="shared" si="58"/>
        <v>445073.86290404195</v>
      </c>
      <c r="V139" s="358">
        <f t="shared" si="58"/>
        <v>521914.70900772518</v>
      </c>
      <c r="W139" s="359">
        <f t="shared" si="40"/>
        <v>224926.13709595817</v>
      </c>
      <c r="Z139" s="354"/>
      <c r="AA139" s="355" t="e">
        <f t="shared" si="41"/>
        <v>#NUM!</v>
      </c>
      <c r="AB139" s="356" t="e">
        <f t="shared" si="42"/>
        <v>#NUM!</v>
      </c>
      <c r="AC139" s="357" t="e">
        <f t="shared" si="59"/>
        <v>#NUM!</v>
      </c>
      <c r="AD139" s="358" t="e">
        <f t="shared" si="59"/>
        <v>#NUM!</v>
      </c>
      <c r="AE139" s="359" t="e">
        <f t="shared" si="43"/>
        <v>#NUM!</v>
      </c>
    </row>
    <row r="140" spans="2:31" x14ac:dyDescent="0.25">
      <c r="B140" s="354" t="s">
        <v>512</v>
      </c>
      <c r="C140" s="355" t="e">
        <f t="shared" ref="C140:C203" si="61">$D$6-D140</f>
        <v>#VALUE!</v>
      </c>
      <c r="D140" s="356" t="e">
        <f t="shared" ref="D140:D203" si="62">$D$4/12*G139</f>
        <v>#VALUE!</v>
      </c>
      <c r="E140" s="357" t="e">
        <f t="shared" ref="E140:F155" si="63">E139+C140</f>
        <v>#VALUE!</v>
      </c>
      <c r="F140" s="358" t="e">
        <f t="shared" si="63"/>
        <v>#VALUE!</v>
      </c>
      <c r="G140" s="359" t="e">
        <f t="shared" ref="G140:G203" si="64">G139-C140</f>
        <v>#VALUE!</v>
      </c>
      <c r="J140" s="354" t="str">
        <f t="shared" si="60"/>
        <v>M131</v>
      </c>
      <c r="K140" s="355">
        <f t="shared" ref="K140:K203" si="65">$L$6-L140</f>
        <v>2182.6013510892785</v>
      </c>
      <c r="L140" s="356">
        <f t="shared" si="44"/>
        <v>-173.81764497068397</v>
      </c>
      <c r="M140" s="357">
        <f t="shared" ref="M140:N155" si="66">M139+K140</f>
        <v>175047.71874757143</v>
      </c>
      <c r="N140" s="358">
        <f t="shared" si="66"/>
        <v>88102.946753964483</v>
      </c>
      <c r="O140" s="359">
        <f t="shared" ref="O140:O203" si="67">O139-K140</f>
        <v>-23040.718747571354</v>
      </c>
      <c r="R140" s="354"/>
      <c r="S140" s="355">
        <f t="shared" ref="S140:S203" si="68">$T$6-T140</f>
        <v>5563.9891542908617</v>
      </c>
      <c r="T140" s="356">
        <f t="shared" si="45"/>
        <v>1874.3844757996515</v>
      </c>
      <c r="U140" s="357">
        <f t="shared" si="58"/>
        <v>450637.85205833282</v>
      </c>
      <c r="V140" s="358">
        <f t="shared" si="58"/>
        <v>523789.0934835248</v>
      </c>
      <c r="W140" s="359">
        <f t="shared" ref="W140:W203" si="69">W139-S140</f>
        <v>219362.1479416673</v>
      </c>
      <c r="Z140" s="354"/>
      <c r="AA140" s="355" t="e">
        <f t="shared" ref="AA140:AA203" si="70">$T$6-AB140</f>
        <v>#NUM!</v>
      </c>
      <c r="AB140" s="356" t="e">
        <f t="shared" ref="AB140:AB203" si="71">$AB$4/12*AE139</f>
        <v>#NUM!</v>
      </c>
      <c r="AC140" s="357" t="e">
        <f t="shared" si="59"/>
        <v>#NUM!</v>
      </c>
      <c r="AD140" s="358" t="e">
        <f t="shared" si="59"/>
        <v>#NUM!</v>
      </c>
      <c r="AE140" s="359" t="e">
        <f t="shared" ref="AE140:AE203" si="72">AE139-AA140</f>
        <v>#NUM!</v>
      </c>
    </row>
    <row r="141" spans="2:31" x14ac:dyDescent="0.25">
      <c r="B141" s="354" t="s">
        <v>513</v>
      </c>
      <c r="C141" s="355" t="e">
        <f t="shared" si="61"/>
        <v>#VALUE!</v>
      </c>
      <c r="D141" s="356" t="e">
        <f t="shared" si="62"/>
        <v>#VALUE!</v>
      </c>
      <c r="E141" s="357" t="e">
        <f t="shared" si="63"/>
        <v>#VALUE!</v>
      </c>
      <c r="F141" s="358" t="e">
        <f t="shared" si="63"/>
        <v>#VALUE!</v>
      </c>
      <c r="G141" s="359" t="e">
        <f t="shared" si="64"/>
        <v>#VALUE!</v>
      </c>
      <c r="J141" s="354" t="str">
        <f t="shared" si="60"/>
        <v>M132</v>
      </c>
      <c r="K141" s="355">
        <f t="shared" si="65"/>
        <v>2200.789695681689</v>
      </c>
      <c r="L141" s="356">
        <f t="shared" ref="L141:L204" si="73">$L$4/12*O140</f>
        <v>-192.00598956309463</v>
      </c>
      <c r="M141" s="357">
        <f t="shared" si="66"/>
        <v>177248.50844325311</v>
      </c>
      <c r="N141" s="358">
        <f t="shared" si="66"/>
        <v>87910.940764401385</v>
      </c>
      <c r="O141" s="359">
        <f t="shared" si="67"/>
        <v>-25241.508443253042</v>
      </c>
      <c r="R141" s="354"/>
      <c r="S141" s="355">
        <f t="shared" si="68"/>
        <v>5610.355730576619</v>
      </c>
      <c r="T141" s="356">
        <f t="shared" ref="T141:T204" si="74">$L$4/12*W140</f>
        <v>1828.017899513894</v>
      </c>
      <c r="U141" s="357">
        <f t="shared" si="58"/>
        <v>456248.20778890944</v>
      </c>
      <c r="V141" s="358">
        <f t="shared" si="58"/>
        <v>525617.11138303869</v>
      </c>
      <c r="W141" s="359">
        <f t="shared" si="69"/>
        <v>213751.79221109068</v>
      </c>
      <c r="Z141" s="354"/>
      <c r="AA141" s="355" t="e">
        <f t="shared" si="70"/>
        <v>#NUM!</v>
      </c>
      <c r="AB141" s="356" t="e">
        <f t="shared" si="71"/>
        <v>#NUM!</v>
      </c>
      <c r="AC141" s="357" t="e">
        <f t="shared" si="59"/>
        <v>#NUM!</v>
      </c>
      <c r="AD141" s="358" t="e">
        <f t="shared" si="59"/>
        <v>#NUM!</v>
      </c>
      <c r="AE141" s="359" t="e">
        <f t="shared" si="72"/>
        <v>#NUM!</v>
      </c>
    </row>
    <row r="142" spans="2:31" x14ac:dyDescent="0.25">
      <c r="B142" s="354" t="s">
        <v>514</v>
      </c>
      <c r="C142" s="355" t="e">
        <f t="shared" si="61"/>
        <v>#VALUE!</v>
      </c>
      <c r="D142" s="356" t="e">
        <f t="shared" si="62"/>
        <v>#VALUE!</v>
      </c>
      <c r="E142" s="357" t="e">
        <f t="shared" si="63"/>
        <v>#VALUE!</v>
      </c>
      <c r="F142" s="358" t="e">
        <f t="shared" si="63"/>
        <v>#VALUE!</v>
      </c>
      <c r="G142" s="359" t="e">
        <f t="shared" si="64"/>
        <v>#VALUE!</v>
      </c>
      <c r="J142" s="354" t="str">
        <f t="shared" si="60"/>
        <v>M133</v>
      </c>
      <c r="K142" s="355">
        <f t="shared" si="65"/>
        <v>2219.1296098123698</v>
      </c>
      <c r="L142" s="356">
        <f t="shared" si="73"/>
        <v>-210.34590369377534</v>
      </c>
      <c r="M142" s="357">
        <f t="shared" si="66"/>
        <v>179467.63805306549</v>
      </c>
      <c r="N142" s="358">
        <f t="shared" si="66"/>
        <v>87700.594860707613</v>
      </c>
      <c r="O142" s="359">
        <f t="shared" si="67"/>
        <v>-27460.638053065413</v>
      </c>
      <c r="R142" s="354"/>
      <c r="S142" s="355">
        <f t="shared" si="68"/>
        <v>5657.1086949980909</v>
      </c>
      <c r="T142" s="356">
        <f t="shared" si="74"/>
        <v>1781.2649350924223</v>
      </c>
      <c r="U142" s="357">
        <f t="shared" si="58"/>
        <v>461905.31648390752</v>
      </c>
      <c r="V142" s="358">
        <f t="shared" si="58"/>
        <v>527398.37631813111</v>
      </c>
      <c r="W142" s="359">
        <f t="shared" si="69"/>
        <v>208094.6835160926</v>
      </c>
      <c r="Z142" s="354"/>
      <c r="AA142" s="355" t="e">
        <f t="shared" si="70"/>
        <v>#NUM!</v>
      </c>
      <c r="AB142" s="356" t="e">
        <f t="shared" si="71"/>
        <v>#NUM!</v>
      </c>
      <c r="AC142" s="357" t="e">
        <f t="shared" si="59"/>
        <v>#NUM!</v>
      </c>
      <c r="AD142" s="358" t="e">
        <f t="shared" si="59"/>
        <v>#NUM!</v>
      </c>
      <c r="AE142" s="359" t="e">
        <f t="shared" si="72"/>
        <v>#NUM!</v>
      </c>
    </row>
    <row r="143" spans="2:31" x14ac:dyDescent="0.25">
      <c r="B143" s="354" t="s">
        <v>515</v>
      </c>
      <c r="C143" s="355" t="e">
        <f t="shared" si="61"/>
        <v>#VALUE!</v>
      </c>
      <c r="D143" s="356" t="e">
        <f t="shared" si="62"/>
        <v>#VALUE!</v>
      </c>
      <c r="E143" s="357" t="e">
        <f t="shared" si="63"/>
        <v>#VALUE!</v>
      </c>
      <c r="F143" s="358" t="e">
        <f t="shared" si="63"/>
        <v>#VALUE!</v>
      </c>
      <c r="G143" s="359" t="e">
        <f t="shared" si="64"/>
        <v>#VALUE!</v>
      </c>
      <c r="J143" s="354" t="str">
        <f t="shared" si="60"/>
        <v>M134</v>
      </c>
      <c r="K143" s="355">
        <f t="shared" si="65"/>
        <v>2237.6223565608061</v>
      </c>
      <c r="L143" s="356">
        <f t="shared" si="73"/>
        <v>-228.83865044221179</v>
      </c>
      <c r="M143" s="357">
        <f t="shared" si="66"/>
        <v>181705.26040962629</v>
      </c>
      <c r="N143" s="358">
        <f t="shared" si="66"/>
        <v>87471.756210265405</v>
      </c>
      <c r="O143" s="359">
        <f t="shared" si="67"/>
        <v>-29698.260409626218</v>
      </c>
      <c r="R143" s="354"/>
      <c r="S143" s="355">
        <f t="shared" si="68"/>
        <v>5704.2512674564077</v>
      </c>
      <c r="T143" s="356">
        <f t="shared" si="74"/>
        <v>1734.122362634105</v>
      </c>
      <c r="U143" s="357">
        <f t="shared" si="58"/>
        <v>467609.56775136391</v>
      </c>
      <c r="V143" s="358">
        <f t="shared" si="58"/>
        <v>529132.49868076516</v>
      </c>
      <c r="W143" s="359">
        <f t="shared" si="69"/>
        <v>202390.43224863618</v>
      </c>
      <c r="Z143" s="354"/>
      <c r="AA143" s="355" t="e">
        <f t="shared" si="70"/>
        <v>#NUM!</v>
      </c>
      <c r="AB143" s="356" t="e">
        <f t="shared" si="71"/>
        <v>#NUM!</v>
      </c>
      <c r="AC143" s="357" t="e">
        <f t="shared" si="59"/>
        <v>#NUM!</v>
      </c>
      <c r="AD143" s="358" t="e">
        <f t="shared" si="59"/>
        <v>#NUM!</v>
      </c>
      <c r="AE143" s="359" t="e">
        <f t="shared" si="72"/>
        <v>#NUM!</v>
      </c>
    </row>
    <row r="144" spans="2:31" x14ac:dyDescent="0.25">
      <c r="B144" s="354" t="s">
        <v>516</v>
      </c>
      <c r="C144" s="355" t="e">
        <f t="shared" si="61"/>
        <v>#VALUE!</v>
      </c>
      <c r="D144" s="356" t="e">
        <f t="shared" si="62"/>
        <v>#VALUE!</v>
      </c>
      <c r="E144" s="357" t="e">
        <f t="shared" si="63"/>
        <v>#VALUE!</v>
      </c>
      <c r="F144" s="358" t="e">
        <f t="shared" si="63"/>
        <v>#VALUE!</v>
      </c>
      <c r="G144" s="359" t="e">
        <f t="shared" si="64"/>
        <v>#VALUE!</v>
      </c>
      <c r="J144" s="354" t="str">
        <f t="shared" si="60"/>
        <v>M135</v>
      </c>
      <c r="K144" s="355">
        <f t="shared" si="65"/>
        <v>2256.2692095321463</v>
      </c>
      <c r="L144" s="356">
        <f t="shared" si="73"/>
        <v>-247.48550341355181</v>
      </c>
      <c r="M144" s="357">
        <f t="shared" si="66"/>
        <v>183961.52961915845</v>
      </c>
      <c r="N144" s="358">
        <f t="shared" si="66"/>
        <v>87224.27070685185</v>
      </c>
      <c r="O144" s="359">
        <f t="shared" si="67"/>
        <v>-31954.529619158366</v>
      </c>
      <c r="R144" s="354"/>
      <c r="S144" s="355">
        <f t="shared" si="68"/>
        <v>5751.7866946852118</v>
      </c>
      <c r="T144" s="356">
        <f t="shared" si="74"/>
        <v>1686.5869354053013</v>
      </c>
      <c r="U144" s="357">
        <f t="shared" ref="U144:V159" si="75">U143+S144</f>
        <v>473361.35444604914</v>
      </c>
      <c r="V144" s="358">
        <f t="shared" si="75"/>
        <v>530819.08561617043</v>
      </c>
      <c r="W144" s="359">
        <f t="shared" si="69"/>
        <v>196638.64555395098</v>
      </c>
      <c r="Z144" s="354"/>
      <c r="AA144" s="355" t="e">
        <f t="shared" si="70"/>
        <v>#NUM!</v>
      </c>
      <c r="AB144" s="356" t="e">
        <f t="shared" si="71"/>
        <v>#NUM!</v>
      </c>
      <c r="AC144" s="357" t="e">
        <f t="shared" ref="AC144:AD159" si="76">AC143+AA144</f>
        <v>#NUM!</v>
      </c>
      <c r="AD144" s="358" t="e">
        <f t="shared" si="76"/>
        <v>#NUM!</v>
      </c>
      <c r="AE144" s="359" t="e">
        <f t="shared" si="72"/>
        <v>#NUM!</v>
      </c>
    </row>
    <row r="145" spans="2:31" x14ac:dyDescent="0.25">
      <c r="B145" s="354" t="s">
        <v>517</v>
      </c>
      <c r="C145" s="355" t="e">
        <f t="shared" si="61"/>
        <v>#VALUE!</v>
      </c>
      <c r="D145" s="356" t="e">
        <f t="shared" si="62"/>
        <v>#VALUE!</v>
      </c>
      <c r="E145" s="357" t="e">
        <f t="shared" si="63"/>
        <v>#VALUE!</v>
      </c>
      <c r="F145" s="358" t="e">
        <f t="shared" si="63"/>
        <v>#VALUE!</v>
      </c>
      <c r="G145" s="359" t="e">
        <f t="shared" si="64"/>
        <v>#VALUE!</v>
      </c>
      <c r="J145" s="354" t="str">
        <f t="shared" si="60"/>
        <v>M136</v>
      </c>
      <c r="K145" s="355">
        <f t="shared" si="65"/>
        <v>2275.0714529449142</v>
      </c>
      <c r="L145" s="356">
        <f t="shared" si="73"/>
        <v>-266.28774682631973</v>
      </c>
      <c r="M145" s="357">
        <f t="shared" si="66"/>
        <v>186236.60107210337</v>
      </c>
      <c r="N145" s="358">
        <f t="shared" si="66"/>
        <v>86957.982960025533</v>
      </c>
      <c r="O145" s="359">
        <f t="shared" si="67"/>
        <v>-34229.60107210328</v>
      </c>
      <c r="R145" s="354"/>
      <c r="S145" s="355">
        <f t="shared" si="68"/>
        <v>5799.718250474255</v>
      </c>
      <c r="T145" s="356">
        <f t="shared" si="74"/>
        <v>1638.6553796162582</v>
      </c>
      <c r="U145" s="357">
        <f t="shared" si="75"/>
        <v>479161.07269652339</v>
      </c>
      <c r="V145" s="358">
        <f t="shared" si="75"/>
        <v>532457.74099578673</v>
      </c>
      <c r="W145" s="359">
        <f t="shared" si="69"/>
        <v>190838.92730347672</v>
      </c>
      <c r="Z145" s="354"/>
      <c r="AA145" s="355" t="e">
        <f t="shared" si="70"/>
        <v>#NUM!</v>
      </c>
      <c r="AB145" s="356" t="e">
        <f t="shared" si="71"/>
        <v>#NUM!</v>
      </c>
      <c r="AC145" s="357" t="e">
        <f t="shared" si="76"/>
        <v>#NUM!</v>
      </c>
      <c r="AD145" s="358" t="e">
        <f t="shared" si="76"/>
        <v>#NUM!</v>
      </c>
      <c r="AE145" s="359" t="e">
        <f t="shared" si="72"/>
        <v>#NUM!</v>
      </c>
    </row>
    <row r="146" spans="2:31" x14ac:dyDescent="0.25">
      <c r="B146" s="354" t="s">
        <v>518</v>
      </c>
      <c r="C146" s="355" t="e">
        <f t="shared" si="61"/>
        <v>#VALUE!</v>
      </c>
      <c r="D146" s="356" t="e">
        <f t="shared" si="62"/>
        <v>#VALUE!</v>
      </c>
      <c r="E146" s="357" t="e">
        <f t="shared" si="63"/>
        <v>#VALUE!</v>
      </c>
      <c r="F146" s="358" t="e">
        <f t="shared" si="63"/>
        <v>#VALUE!</v>
      </c>
      <c r="G146" s="359" t="e">
        <f t="shared" si="64"/>
        <v>#VALUE!</v>
      </c>
      <c r="J146" s="354" t="str">
        <f t="shared" si="60"/>
        <v>M137</v>
      </c>
      <c r="K146" s="355">
        <f t="shared" si="65"/>
        <v>2294.0303817194549</v>
      </c>
      <c r="L146" s="356">
        <f t="shared" si="73"/>
        <v>-285.24667560086067</v>
      </c>
      <c r="M146" s="357">
        <f t="shared" si="66"/>
        <v>188530.63145382283</v>
      </c>
      <c r="N146" s="358">
        <f t="shared" si="66"/>
        <v>86672.736284424667</v>
      </c>
      <c r="O146" s="359">
        <f t="shared" si="67"/>
        <v>-36523.631453822738</v>
      </c>
      <c r="R146" s="354"/>
      <c r="S146" s="355">
        <f t="shared" si="68"/>
        <v>5848.0492358948741</v>
      </c>
      <c r="T146" s="356">
        <f t="shared" si="74"/>
        <v>1590.3243941956393</v>
      </c>
      <c r="U146" s="357">
        <f t="shared" si="75"/>
        <v>485009.12193241826</v>
      </c>
      <c r="V146" s="358">
        <f t="shared" si="75"/>
        <v>534048.06538998242</v>
      </c>
      <c r="W146" s="359">
        <f t="shared" si="69"/>
        <v>184990.87806758186</v>
      </c>
      <c r="Z146" s="354"/>
      <c r="AA146" s="355" t="e">
        <f t="shared" si="70"/>
        <v>#NUM!</v>
      </c>
      <c r="AB146" s="356" t="e">
        <f t="shared" si="71"/>
        <v>#NUM!</v>
      </c>
      <c r="AC146" s="357" t="e">
        <f t="shared" si="76"/>
        <v>#NUM!</v>
      </c>
      <c r="AD146" s="358" t="e">
        <f t="shared" si="76"/>
        <v>#NUM!</v>
      </c>
      <c r="AE146" s="359" t="e">
        <f t="shared" si="72"/>
        <v>#NUM!</v>
      </c>
    </row>
    <row r="147" spans="2:31" x14ac:dyDescent="0.25">
      <c r="B147" s="354" t="s">
        <v>519</v>
      </c>
      <c r="C147" s="355" t="e">
        <f t="shared" si="61"/>
        <v>#VALUE!</v>
      </c>
      <c r="D147" s="356" t="e">
        <f t="shared" si="62"/>
        <v>#VALUE!</v>
      </c>
      <c r="E147" s="357" t="e">
        <f t="shared" si="63"/>
        <v>#VALUE!</v>
      </c>
      <c r="F147" s="358" t="e">
        <f t="shared" si="63"/>
        <v>#VALUE!</v>
      </c>
      <c r="G147" s="359" t="e">
        <f t="shared" si="64"/>
        <v>#VALUE!</v>
      </c>
      <c r="J147" s="354" t="str">
        <f t="shared" si="60"/>
        <v>M138</v>
      </c>
      <c r="K147" s="355">
        <f t="shared" si="65"/>
        <v>2313.1473015671172</v>
      </c>
      <c r="L147" s="356">
        <f t="shared" si="73"/>
        <v>-304.3635954485228</v>
      </c>
      <c r="M147" s="357">
        <f t="shared" si="66"/>
        <v>190843.77875538994</v>
      </c>
      <c r="N147" s="358">
        <f t="shared" si="66"/>
        <v>86368.372688976146</v>
      </c>
      <c r="O147" s="359">
        <f t="shared" si="67"/>
        <v>-38836.778755389852</v>
      </c>
      <c r="R147" s="354"/>
      <c r="S147" s="355">
        <f t="shared" si="68"/>
        <v>5896.782979527331</v>
      </c>
      <c r="T147" s="356">
        <f t="shared" si="74"/>
        <v>1541.5906505631822</v>
      </c>
      <c r="U147" s="357">
        <f t="shared" si="75"/>
        <v>490905.90491194557</v>
      </c>
      <c r="V147" s="358">
        <f t="shared" si="75"/>
        <v>535589.65604054555</v>
      </c>
      <c r="W147" s="359">
        <f t="shared" si="69"/>
        <v>179094.09508805451</v>
      </c>
      <c r="Z147" s="354"/>
      <c r="AA147" s="355" t="e">
        <f t="shared" si="70"/>
        <v>#NUM!</v>
      </c>
      <c r="AB147" s="356" t="e">
        <f t="shared" si="71"/>
        <v>#NUM!</v>
      </c>
      <c r="AC147" s="357" t="e">
        <f t="shared" si="76"/>
        <v>#NUM!</v>
      </c>
      <c r="AD147" s="358" t="e">
        <f t="shared" si="76"/>
        <v>#NUM!</v>
      </c>
      <c r="AE147" s="359" t="e">
        <f t="shared" si="72"/>
        <v>#NUM!</v>
      </c>
    </row>
    <row r="148" spans="2:31" x14ac:dyDescent="0.25">
      <c r="B148" s="354" t="s">
        <v>520</v>
      </c>
      <c r="C148" s="355" t="e">
        <f t="shared" si="61"/>
        <v>#VALUE!</v>
      </c>
      <c r="D148" s="356" t="e">
        <f t="shared" si="62"/>
        <v>#VALUE!</v>
      </c>
      <c r="E148" s="357" t="e">
        <f t="shared" si="63"/>
        <v>#VALUE!</v>
      </c>
      <c r="F148" s="358" t="e">
        <f t="shared" si="63"/>
        <v>#VALUE!</v>
      </c>
      <c r="G148" s="359" t="e">
        <f t="shared" si="64"/>
        <v>#VALUE!</v>
      </c>
      <c r="J148" s="354" t="str">
        <f t="shared" si="60"/>
        <v>M139</v>
      </c>
      <c r="K148" s="355">
        <f t="shared" si="65"/>
        <v>2332.4235290801766</v>
      </c>
      <c r="L148" s="356">
        <f t="shared" si="73"/>
        <v>-323.63982296158213</v>
      </c>
      <c r="M148" s="357">
        <f t="shared" si="66"/>
        <v>193176.20228447011</v>
      </c>
      <c r="N148" s="358">
        <f t="shared" si="66"/>
        <v>86044.732866014558</v>
      </c>
      <c r="O148" s="359">
        <f t="shared" si="67"/>
        <v>-41169.202284470026</v>
      </c>
      <c r="R148" s="354"/>
      <c r="S148" s="355">
        <f t="shared" si="68"/>
        <v>5945.9228376900592</v>
      </c>
      <c r="T148" s="356">
        <f t="shared" si="74"/>
        <v>1492.4507924004542</v>
      </c>
      <c r="U148" s="357">
        <f t="shared" si="75"/>
        <v>496851.82774963562</v>
      </c>
      <c r="V148" s="358">
        <f t="shared" si="75"/>
        <v>537082.10683294595</v>
      </c>
      <c r="W148" s="359">
        <f t="shared" si="69"/>
        <v>173148.17225036444</v>
      </c>
      <c r="Z148" s="354"/>
      <c r="AA148" s="355" t="e">
        <f t="shared" si="70"/>
        <v>#NUM!</v>
      </c>
      <c r="AB148" s="356" t="e">
        <f t="shared" si="71"/>
        <v>#NUM!</v>
      </c>
      <c r="AC148" s="357" t="e">
        <f t="shared" si="76"/>
        <v>#NUM!</v>
      </c>
      <c r="AD148" s="358" t="e">
        <f t="shared" si="76"/>
        <v>#NUM!</v>
      </c>
      <c r="AE148" s="359" t="e">
        <f t="shared" si="72"/>
        <v>#NUM!</v>
      </c>
    </row>
    <row r="149" spans="2:31" x14ac:dyDescent="0.25">
      <c r="B149" s="354" t="s">
        <v>521</v>
      </c>
      <c r="C149" s="355" t="e">
        <f t="shared" si="61"/>
        <v>#VALUE!</v>
      </c>
      <c r="D149" s="356" t="e">
        <f t="shared" si="62"/>
        <v>#VALUE!</v>
      </c>
      <c r="E149" s="357" t="e">
        <f t="shared" si="63"/>
        <v>#VALUE!</v>
      </c>
      <c r="F149" s="358" t="e">
        <f t="shared" si="63"/>
        <v>#VALUE!</v>
      </c>
      <c r="G149" s="359" t="e">
        <f t="shared" si="64"/>
        <v>#VALUE!</v>
      </c>
      <c r="J149" s="354" t="str">
        <f t="shared" si="60"/>
        <v>M140</v>
      </c>
      <c r="K149" s="355">
        <f t="shared" si="65"/>
        <v>2351.8603918225112</v>
      </c>
      <c r="L149" s="356">
        <f t="shared" si="73"/>
        <v>-343.07668570391689</v>
      </c>
      <c r="M149" s="357">
        <f t="shared" si="66"/>
        <v>195528.06267629261</v>
      </c>
      <c r="N149" s="358">
        <f t="shared" si="66"/>
        <v>85701.656180310645</v>
      </c>
      <c r="O149" s="359">
        <f t="shared" si="67"/>
        <v>-43521.062676292539</v>
      </c>
      <c r="R149" s="354"/>
      <c r="S149" s="355">
        <f t="shared" si="68"/>
        <v>5995.4721946708096</v>
      </c>
      <c r="T149" s="356">
        <f t="shared" si="74"/>
        <v>1442.9014354197036</v>
      </c>
      <c r="U149" s="357">
        <f t="shared" si="75"/>
        <v>502847.29994430643</v>
      </c>
      <c r="V149" s="358">
        <f t="shared" si="75"/>
        <v>538525.00826836564</v>
      </c>
      <c r="W149" s="359">
        <f t="shared" si="69"/>
        <v>167152.70005569363</v>
      </c>
      <c r="Z149" s="354"/>
      <c r="AA149" s="355" t="e">
        <f t="shared" si="70"/>
        <v>#NUM!</v>
      </c>
      <c r="AB149" s="356" t="e">
        <f t="shared" si="71"/>
        <v>#NUM!</v>
      </c>
      <c r="AC149" s="357" t="e">
        <f t="shared" si="76"/>
        <v>#NUM!</v>
      </c>
      <c r="AD149" s="358" t="e">
        <f t="shared" si="76"/>
        <v>#NUM!</v>
      </c>
      <c r="AE149" s="359" t="e">
        <f t="shared" si="72"/>
        <v>#NUM!</v>
      </c>
    </row>
    <row r="150" spans="2:31" x14ac:dyDescent="0.25">
      <c r="B150" s="354" t="s">
        <v>522</v>
      </c>
      <c r="C150" s="355" t="e">
        <f t="shared" si="61"/>
        <v>#VALUE!</v>
      </c>
      <c r="D150" s="356" t="e">
        <f t="shared" si="62"/>
        <v>#VALUE!</v>
      </c>
      <c r="E150" s="357" t="e">
        <f t="shared" si="63"/>
        <v>#VALUE!</v>
      </c>
      <c r="F150" s="358" t="e">
        <f t="shared" si="63"/>
        <v>#VALUE!</v>
      </c>
      <c r="G150" s="359" t="e">
        <f t="shared" si="64"/>
        <v>#VALUE!</v>
      </c>
      <c r="J150" s="354" t="str">
        <f t="shared" si="60"/>
        <v>M141</v>
      </c>
      <c r="K150" s="355">
        <f t="shared" si="65"/>
        <v>2371.4592284210321</v>
      </c>
      <c r="L150" s="356">
        <f t="shared" si="73"/>
        <v>-362.6755223024378</v>
      </c>
      <c r="M150" s="357">
        <f t="shared" si="66"/>
        <v>197899.52190471365</v>
      </c>
      <c r="N150" s="358">
        <f t="shared" si="66"/>
        <v>85338.980658008208</v>
      </c>
      <c r="O150" s="359">
        <f t="shared" si="67"/>
        <v>-45892.521904713569</v>
      </c>
      <c r="R150" s="354"/>
      <c r="S150" s="355">
        <f t="shared" si="68"/>
        <v>6045.4344629597326</v>
      </c>
      <c r="T150" s="356">
        <f t="shared" si="74"/>
        <v>1392.9391671307801</v>
      </c>
      <c r="U150" s="357">
        <f t="shared" si="75"/>
        <v>508892.73440726614</v>
      </c>
      <c r="V150" s="358">
        <f t="shared" si="75"/>
        <v>539917.94743549637</v>
      </c>
      <c r="W150" s="359">
        <f t="shared" si="69"/>
        <v>161107.26559273389</v>
      </c>
      <c r="Z150" s="354"/>
      <c r="AA150" s="355" t="e">
        <f t="shared" si="70"/>
        <v>#NUM!</v>
      </c>
      <c r="AB150" s="356" t="e">
        <f t="shared" si="71"/>
        <v>#NUM!</v>
      </c>
      <c r="AC150" s="357" t="e">
        <f t="shared" si="76"/>
        <v>#NUM!</v>
      </c>
      <c r="AD150" s="358" t="e">
        <f t="shared" si="76"/>
        <v>#NUM!</v>
      </c>
      <c r="AE150" s="359" t="e">
        <f t="shared" si="72"/>
        <v>#NUM!</v>
      </c>
    </row>
    <row r="151" spans="2:31" x14ac:dyDescent="0.25">
      <c r="B151" s="354" t="s">
        <v>523</v>
      </c>
      <c r="C151" s="355" t="e">
        <f t="shared" si="61"/>
        <v>#VALUE!</v>
      </c>
      <c r="D151" s="356" t="e">
        <f t="shared" si="62"/>
        <v>#VALUE!</v>
      </c>
      <c r="E151" s="357" t="e">
        <f t="shared" si="63"/>
        <v>#VALUE!</v>
      </c>
      <c r="F151" s="358" t="e">
        <f t="shared" si="63"/>
        <v>#VALUE!</v>
      </c>
      <c r="G151" s="359" t="e">
        <f t="shared" si="64"/>
        <v>#VALUE!</v>
      </c>
      <c r="J151" s="354" t="str">
        <f t="shared" si="60"/>
        <v>M142</v>
      </c>
      <c r="K151" s="355">
        <f t="shared" si="65"/>
        <v>2391.2213886578743</v>
      </c>
      <c r="L151" s="356">
        <f t="shared" si="73"/>
        <v>-382.43768253927976</v>
      </c>
      <c r="M151" s="357">
        <f t="shared" si="66"/>
        <v>200290.74329337152</v>
      </c>
      <c r="N151" s="358">
        <f t="shared" si="66"/>
        <v>84956.542975468925</v>
      </c>
      <c r="O151" s="359">
        <f t="shared" si="67"/>
        <v>-48283.743293371444</v>
      </c>
      <c r="R151" s="354"/>
      <c r="S151" s="355">
        <f t="shared" si="68"/>
        <v>6095.8130834843969</v>
      </c>
      <c r="T151" s="356">
        <f t="shared" si="74"/>
        <v>1342.5605466061158</v>
      </c>
      <c r="U151" s="357">
        <f t="shared" si="75"/>
        <v>514988.54749075056</v>
      </c>
      <c r="V151" s="358">
        <f t="shared" si="75"/>
        <v>541260.50798210246</v>
      </c>
      <c r="W151" s="359">
        <f t="shared" si="69"/>
        <v>155011.4525092495</v>
      </c>
      <c r="Z151" s="354"/>
      <c r="AA151" s="355" t="e">
        <f t="shared" si="70"/>
        <v>#NUM!</v>
      </c>
      <c r="AB151" s="356" t="e">
        <f t="shared" si="71"/>
        <v>#NUM!</v>
      </c>
      <c r="AC151" s="357" t="e">
        <f t="shared" si="76"/>
        <v>#NUM!</v>
      </c>
      <c r="AD151" s="358" t="e">
        <f t="shared" si="76"/>
        <v>#NUM!</v>
      </c>
      <c r="AE151" s="359" t="e">
        <f t="shared" si="72"/>
        <v>#NUM!</v>
      </c>
    </row>
    <row r="152" spans="2:31" x14ac:dyDescent="0.25">
      <c r="B152" s="354" t="s">
        <v>524</v>
      </c>
      <c r="C152" s="355" t="e">
        <f t="shared" si="61"/>
        <v>#VALUE!</v>
      </c>
      <c r="D152" s="356" t="e">
        <f t="shared" si="62"/>
        <v>#VALUE!</v>
      </c>
      <c r="E152" s="357" t="e">
        <f t="shared" si="63"/>
        <v>#VALUE!</v>
      </c>
      <c r="F152" s="358" t="e">
        <f t="shared" si="63"/>
        <v>#VALUE!</v>
      </c>
      <c r="G152" s="359" t="e">
        <f t="shared" si="64"/>
        <v>#VALUE!</v>
      </c>
      <c r="J152" s="354" t="str">
        <f t="shared" si="60"/>
        <v>M143</v>
      </c>
      <c r="K152" s="355">
        <f t="shared" si="65"/>
        <v>2411.1482335633564</v>
      </c>
      <c r="L152" s="356">
        <f t="shared" si="73"/>
        <v>-402.36452744476202</v>
      </c>
      <c r="M152" s="357">
        <f t="shared" si="66"/>
        <v>202701.89152693487</v>
      </c>
      <c r="N152" s="358">
        <f t="shared" si="66"/>
        <v>84554.178448024162</v>
      </c>
      <c r="O152" s="359">
        <f t="shared" si="67"/>
        <v>-50694.8915269348</v>
      </c>
      <c r="R152" s="354"/>
      <c r="S152" s="355">
        <f t="shared" si="68"/>
        <v>6146.6115258467671</v>
      </c>
      <c r="T152" s="356">
        <f t="shared" si="74"/>
        <v>1291.7621042437459</v>
      </c>
      <c r="U152" s="357">
        <f t="shared" si="75"/>
        <v>521135.15901659732</v>
      </c>
      <c r="V152" s="358">
        <f t="shared" si="75"/>
        <v>542552.27008634619</v>
      </c>
      <c r="W152" s="359">
        <f t="shared" si="69"/>
        <v>148864.84098340274</v>
      </c>
      <c r="Z152" s="354"/>
      <c r="AA152" s="355" t="e">
        <f t="shared" si="70"/>
        <v>#NUM!</v>
      </c>
      <c r="AB152" s="356" t="e">
        <f t="shared" si="71"/>
        <v>#NUM!</v>
      </c>
      <c r="AC152" s="357" t="e">
        <f t="shared" si="76"/>
        <v>#NUM!</v>
      </c>
      <c r="AD152" s="358" t="e">
        <f t="shared" si="76"/>
        <v>#NUM!</v>
      </c>
      <c r="AE152" s="359" t="e">
        <f t="shared" si="72"/>
        <v>#NUM!</v>
      </c>
    </row>
    <row r="153" spans="2:31" x14ac:dyDescent="0.25">
      <c r="B153" s="354" t="s">
        <v>525</v>
      </c>
      <c r="C153" s="355" t="e">
        <f t="shared" si="61"/>
        <v>#VALUE!</v>
      </c>
      <c r="D153" s="356" t="e">
        <f t="shared" si="62"/>
        <v>#VALUE!</v>
      </c>
      <c r="E153" s="357" t="e">
        <f t="shared" si="63"/>
        <v>#VALUE!</v>
      </c>
      <c r="F153" s="358" t="e">
        <f t="shared" si="63"/>
        <v>#VALUE!</v>
      </c>
      <c r="G153" s="359" t="e">
        <f t="shared" si="64"/>
        <v>#VALUE!</v>
      </c>
      <c r="J153" s="354" t="str">
        <f t="shared" si="60"/>
        <v>M144</v>
      </c>
      <c r="K153" s="355">
        <f t="shared" si="65"/>
        <v>2431.2411355097179</v>
      </c>
      <c r="L153" s="356">
        <f t="shared" si="73"/>
        <v>-422.4574293911233</v>
      </c>
      <c r="M153" s="357">
        <f t="shared" si="66"/>
        <v>205133.13266244458</v>
      </c>
      <c r="N153" s="358">
        <f t="shared" si="66"/>
        <v>84131.721018633034</v>
      </c>
      <c r="O153" s="359">
        <f t="shared" si="67"/>
        <v>-53126.132662444521</v>
      </c>
      <c r="R153" s="354"/>
      <c r="S153" s="355">
        <f t="shared" si="68"/>
        <v>6197.8332885621567</v>
      </c>
      <c r="T153" s="356">
        <f t="shared" si="74"/>
        <v>1240.5403415283561</v>
      </c>
      <c r="U153" s="357">
        <f t="shared" si="75"/>
        <v>527332.99230515945</v>
      </c>
      <c r="V153" s="358">
        <f t="shared" si="75"/>
        <v>543792.81042787456</v>
      </c>
      <c r="W153" s="359">
        <f t="shared" si="69"/>
        <v>142667.00769484058</v>
      </c>
      <c r="Z153" s="354"/>
      <c r="AA153" s="355" t="e">
        <f t="shared" si="70"/>
        <v>#NUM!</v>
      </c>
      <c r="AB153" s="356" t="e">
        <f t="shared" si="71"/>
        <v>#NUM!</v>
      </c>
      <c r="AC153" s="357" t="e">
        <f t="shared" si="76"/>
        <v>#NUM!</v>
      </c>
      <c r="AD153" s="358" t="e">
        <f t="shared" si="76"/>
        <v>#NUM!</v>
      </c>
      <c r="AE153" s="359" t="e">
        <f t="shared" si="72"/>
        <v>#NUM!</v>
      </c>
    </row>
    <row r="154" spans="2:31" x14ac:dyDescent="0.25">
      <c r="B154" s="354" t="s">
        <v>526</v>
      </c>
      <c r="C154" s="355" t="e">
        <f t="shared" si="61"/>
        <v>#VALUE!</v>
      </c>
      <c r="D154" s="356" t="e">
        <f t="shared" si="62"/>
        <v>#VALUE!</v>
      </c>
      <c r="E154" s="357" t="e">
        <f t="shared" si="63"/>
        <v>#VALUE!</v>
      </c>
      <c r="F154" s="358" t="e">
        <f t="shared" si="63"/>
        <v>#VALUE!</v>
      </c>
      <c r="G154" s="359" t="e">
        <f t="shared" si="64"/>
        <v>#VALUE!</v>
      </c>
      <c r="J154" s="354" t="str">
        <f t="shared" si="60"/>
        <v>M145</v>
      </c>
      <c r="K154" s="355">
        <f t="shared" si="65"/>
        <v>2451.5014783056322</v>
      </c>
      <c r="L154" s="356">
        <f t="shared" si="73"/>
        <v>-442.71777218703767</v>
      </c>
      <c r="M154" s="357">
        <f t="shared" si="66"/>
        <v>207584.63414075022</v>
      </c>
      <c r="N154" s="358">
        <f t="shared" si="66"/>
        <v>83689.003246445995</v>
      </c>
      <c r="O154" s="359">
        <f t="shared" si="67"/>
        <v>-55577.634140750153</v>
      </c>
      <c r="R154" s="354"/>
      <c r="S154" s="355">
        <f t="shared" si="68"/>
        <v>6249.4818993001745</v>
      </c>
      <c r="T154" s="356">
        <f t="shared" si="74"/>
        <v>1188.8917307903382</v>
      </c>
      <c r="U154" s="357">
        <f t="shared" si="75"/>
        <v>533582.47420445958</v>
      </c>
      <c r="V154" s="358">
        <f t="shared" si="75"/>
        <v>544981.70215866494</v>
      </c>
      <c r="W154" s="359">
        <f t="shared" si="69"/>
        <v>136417.52579554039</v>
      </c>
      <c r="Z154" s="354"/>
      <c r="AA154" s="355" t="e">
        <f t="shared" si="70"/>
        <v>#NUM!</v>
      </c>
      <c r="AB154" s="356" t="e">
        <f t="shared" si="71"/>
        <v>#NUM!</v>
      </c>
      <c r="AC154" s="357" t="e">
        <f t="shared" si="76"/>
        <v>#NUM!</v>
      </c>
      <c r="AD154" s="358" t="e">
        <f t="shared" si="76"/>
        <v>#NUM!</v>
      </c>
      <c r="AE154" s="359" t="e">
        <f t="shared" si="72"/>
        <v>#NUM!</v>
      </c>
    </row>
    <row r="155" spans="2:31" x14ac:dyDescent="0.25">
      <c r="B155" s="354" t="s">
        <v>527</v>
      </c>
      <c r="C155" s="355" t="e">
        <f t="shared" si="61"/>
        <v>#VALUE!</v>
      </c>
      <c r="D155" s="356" t="e">
        <f t="shared" si="62"/>
        <v>#VALUE!</v>
      </c>
      <c r="E155" s="357" t="e">
        <f t="shared" si="63"/>
        <v>#VALUE!</v>
      </c>
      <c r="F155" s="358" t="e">
        <f t="shared" si="63"/>
        <v>#VALUE!</v>
      </c>
      <c r="G155" s="359" t="e">
        <f t="shared" si="64"/>
        <v>#VALUE!</v>
      </c>
      <c r="J155" s="354" t="str">
        <f t="shared" si="60"/>
        <v>M146</v>
      </c>
      <c r="K155" s="355">
        <f t="shared" si="65"/>
        <v>2471.9306572915125</v>
      </c>
      <c r="L155" s="356">
        <f t="shared" si="73"/>
        <v>-463.14695117291791</v>
      </c>
      <c r="M155" s="357">
        <f t="shared" si="66"/>
        <v>210056.56479804174</v>
      </c>
      <c r="N155" s="358">
        <f t="shared" si="66"/>
        <v>83225.856295273072</v>
      </c>
      <c r="O155" s="359">
        <f t="shared" si="67"/>
        <v>-58049.564798041669</v>
      </c>
      <c r="R155" s="354"/>
      <c r="S155" s="355">
        <f t="shared" si="68"/>
        <v>6301.5609151276767</v>
      </c>
      <c r="T155" s="356">
        <f t="shared" si="74"/>
        <v>1136.8127149628367</v>
      </c>
      <c r="U155" s="357">
        <f t="shared" si="75"/>
        <v>539884.03511958721</v>
      </c>
      <c r="V155" s="358">
        <f t="shared" si="75"/>
        <v>546118.51487362781</v>
      </c>
      <c r="W155" s="359">
        <f t="shared" si="69"/>
        <v>130115.96488041272</v>
      </c>
      <c r="Z155" s="354"/>
      <c r="AA155" s="355" t="e">
        <f t="shared" si="70"/>
        <v>#NUM!</v>
      </c>
      <c r="AB155" s="356" t="e">
        <f t="shared" si="71"/>
        <v>#NUM!</v>
      </c>
      <c r="AC155" s="357" t="e">
        <f t="shared" si="76"/>
        <v>#NUM!</v>
      </c>
      <c r="AD155" s="358" t="e">
        <f t="shared" si="76"/>
        <v>#NUM!</v>
      </c>
      <c r="AE155" s="359" t="e">
        <f t="shared" si="72"/>
        <v>#NUM!</v>
      </c>
    </row>
    <row r="156" spans="2:31" x14ac:dyDescent="0.25">
      <c r="B156" s="354" t="s">
        <v>528</v>
      </c>
      <c r="C156" s="355" t="e">
        <f t="shared" si="61"/>
        <v>#VALUE!</v>
      </c>
      <c r="D156" s="356" t="e">
        <f t="shared" si="62"/>
        <v>#VALUE!</v>
      </c>
      <c r="E156" s="357" t="e">
        <f t="shared" ref="E156:F171" si="77">E155+C156</f>
        <v>#VALUE!</v>
      </c>
      <c r="F156" s="358" t="e">
        <f t="shared" si="77"/>
        <v>#VALUE!</v>
      </c>
      <c r="G156" s="359" t="e">
        <f t="shared" si="64"/>
        <v>#VALUE!</v>
      </c>
      <c r="J156" s="354" t="str">
        <f t="shared" si="60"/>
        <v>M147</v>
      </c>
      <c r="K156" s="355">
        <f t="shared" si="65"/>
        <v>2492.5300794356081</v>
      </c>
      <c r="L156" s="356">
        <f t="shared" si="73"/>
        <v>-483.74637331701388</v>
      </c>
      <c r="M156" s="357">
        <f t="shared" ref="M156:N171" si="78">M155+K156</f>
        <v>212549.09487747736</v>
      </c>
      <c r="N156" s="358">
        <f t="shared" si="78"/>
        <v>82742.109921956056</v>
      </c>
      <c r="O156" s="359">
        <f t="shared" si="67"/>
        <v>-60542.094877477277</v>
      </c>
      <c r="R156" s="354"/>
      <c r="S156" s="355">
        <f t="shared" si="68"/>
        <v>6354.0739227537406</v>
      </c>
      <c r="T156" s="356">
        <f t="shared" si="74"/>
        <v>1084.2997073367726</v>
      </c>
      <c r="U156" s="357">
        <f t="shared" si="75"/>
        <v>546238.10904234089</v>
      </c>
      <c r="V156" s="358">
        <f t="shared" si="75"/>
        <v>547202.81458096462</v>
      </c>
      <c r="W156" s="359">
        <f t="shared" si="69"/>
        <v>123761.89095765898</v>
      </c>
      <c r="Z156" s="354"/>
      <c r="AA156" s="355" t="e">
        <f t="shared" si="70"/>
        <v>#NUM!</v>
      </c>
      <c r="AB156" s="356" t="e">
        <f t="shared" si="71"/>
        <v>#NUM!</v>
      </c>
      <c r="AC156" s="357" t="e">
        <f t="shared" si="76"/>
        <v>#NUM!</v>
      </c>
      <c r="AD156" s="358" t="e">
        <f t="shared" si="76"/>
        <v>#NUM!</v>
      </c>
      <c r="AE156" s="359" t="e">
        <f t="shared" si="72"/>
        <v>#NUM!</v>
      </c>
    </row>
    <row r="157" spans="2:31" x14ac:dyDescent="0.25">
      <c r="B157" s="354" t="s">
        <v>529</v>
      </c>
      <c r="C157" s="355" t="e">
        <f t="shared" si="61"/>
        <v>#VALUE!</v>
      </c>
      <c r="D157" s="356" t="e">
        <f t="shared" si="62"/>
        <v>#VALUE!</v>
      </c>
      <c r="E157" s="357" t="e">
        <f t="shared" si="77"/>
        <v>#VALUE!</v>
      </c>
      <c r="F157" s="358" t="e">
        <f t="shared" si="77"/>
        <v>#VALUE!</v>
      </c>
      <c r="G157" s="359" t="e">
        <f t="shared" si="64"/>
        <v>#VALUE!</v>
      </c>
      <c r="J157" s="354" t="str">
        <f t="shared" si="60"/>
        <v>M148</v>
      </c>
      <c r="K157" s="355">
        <f t="shared" si="65"/>
        <v>2513.301163430905</v>
      </c>
      <c r="L157" s="356">
        <f t="shared" si="73"/>
        <v>-504.51745731231063</v>
      </c>
      <c r="M157" s="357">
        <f t="shared" si="78"/>
        <v>215062.39604090826</v>
      </c>
      <c r="N157" s="358">
        <f t="shared" si="78"/>
        <v>82237.592464643749</v>
      </c>
      <c r="O157" s="359">
        <f t="shared" si="67"/>
        <v>-63055.396040908185</v>
      </c>
      <c r="R157" s="354"/>
      <c r="S157" s="355">
        <f t="shared" si="68"/>
        <v>6407.0245387766881</v>
      </c>
      <c r="T157" s="356">
        <f t="shared" si="74"/>
        <v>1031.3490913138248</v>
      </c>
      <c r="U157" s="357">
        <f t="shared" si="75"/>
        <v>552645.13358111761</v>
      </c>
      <c r="V157" s="358">
        <f t="shared" si="75"/>
        <v>548234.1636722784</v>
      </c>
      <c r="W157" s="359">
        <f t="shared" si="69"/>
        <v>117354.86641888229</v>
      </c>
      <c r="Z157" s="354"/>
      <c r="AA157" s="355" t="e">
        <f t="shared" si="70"/>
        <v>#NUM!</v>
      </c>
      <c r="AB157" s="356" t="e">
        <f t="shared" si="71"/>
        <v>#NUM!</v>
      </c>
      <c r="AC157" s="357" t="e">
        <f t="shared" si="76"/>
        <v>#NUM!</v>
      </c>
      <c r="AD157" s="358" t="e">
        <f t="shared" si="76"/>
        <v>#NUM!</v>
      </c>
      <c r="AE157" s="359" t="e">
        <f t="shared" si="72"/>
        <v>#NUM!</v>
      </c>
    </row>
    <row r="158" spans="2:31" x14ac:dyDescent="0.25">
      <c r="B158" s="354" t="s">
        <v>530</v>
      </c>
      <c r="C158" s="355" t="e">
        <f t="shared" si="61"/>
        <v>#VALUE!</v>
      </c>
      <c r="D158" s="356" t="e">
        <f t="shared" si="62"/>
        <v>#VALUE!</v>
      </c>
      <c r="E158" s="357" t="e">
        <f t="shared" si="77"/>
        <v>#VALUE!</v>
      </c>
      <c r="F158" s="358" t="e">
        <f t="shared" si="77"/>
        <v>#VALUE!</v>
      </c>
      <c r="G158" s="359" t="e">
        <f t="shared" si="64"/>
        <v>#VALUE!</v>
      </c>
      <c r="J158" s="354" t="str">
        <f t="shared" si="60"/>
        <v>M149</v>
      </c>
      <c r="K158" s="355">
        <f t="shared" si="65"/>
        <v>2534.2453397928293</v>
      </c>
      <c r="L158" s="356">
        <f t="shared" si="73"/>
        <v>-525.46163367423492</v>
      </c>
      <c r="M158" s="357">
        <f t="shared" si="78"/>
        <v>217596.6413807011</v>
      </c>
      <c r="N158" s="358">
        <f t="shared" si="78"/>
        <v>81712.130830969516</v>
      </c>
      <c r="O158" s="359">
        <f t="shared" si="67"/>
        <v>-65589.64138070101</v>
      </c>
      <c r="R158" s="354"/>
      <c r="S158" s="355">
        <f t="shared" si="68"/>
        <v>6460.416409933161</v>
      </c>
      <c r="T158" s="356">
        <f t="shared" si="74"/>
        <v>977.95722015735237</v>
      </c>
      <c r="U158" s="357">
        <f t="shared" si="75"/>
        <v>559105.54999105074</v>
      </c>
      <c r="V158" s="358">
        <f t="shared" si="75"/>
        <v>549212.12089243578</v>
      </c>
      <c r="W158" s="359">
        <f t="shared" si="69"/>
        <v>110894.45000894912</v>
      </c>
      <c r="Z158" s="354"/>
      <c r="AA158" s="355" t="e">
        <f t="shared" si="70"/>
        <v>#NUM!</v>
      </c>
      <c r="AB158" s="356" t="e">
        <f t="shared" si="71"/>
        <v>#NUM!</v>
      </c>
      <c r="AC158" s="357" t="e">
        <f t="shared" si="76"/>
        <v>#NUM!</v>
      </c>
      <c r="AD158" s="358" t="e">
        <f t="shared" si="76"/>
        <v>#NUM!</v>
      </c>
      <c r="AE158" s="359" t="e">
        <f t="shared" si="72"/>
        <v>#NUM!</v>
      </c>
    </row>
    <row r="159" spans="2:31" x14ac:dyDescent="0.25">
      <c r="B159" s="354" t="s">
        <v>531</v>
      </c>
      <c r="C159" s="355" t="e">
        <f t="shared" si="61"/>
        <v>#VALUE!</v>
      </c>
      <c r="D159" s="356" t="e">
        <f t="shared" si="62"/>
        <v>#VALUE!</v>
      </c>
      <c r="E159" s="357" t="e">
        <f t="shared" si="77"/>
        <v>#VALUE!</v>
      </c>
      <c r="F159" s="358" t="e">
        <f t="shared" si="77"/>
        <v>#VALUE!</v>
      </c>
      <c r="G159" s="359" t="e">
        <f t="shared" si="64"/>
        <v>#VALUE!</v>
      </c>
      <c r="J159" s="354" t="str">
        <f t="shared" si="60"/>
        <v>M150</v>
      </c>
      <c r="K159" s="355">
        <f t="shared" si="65"/>
        <v>2555.3640509577695</v>
      </c>
      <c r="L159" s="356">
        <f t="shared" si="73"/>
        <v>-546.58034483917504</v>
      </c>
      <c r="M159" s="357">
        <f t="shared" si="78"/>
        <v>220152.00543165888</v>
      </c>
      <c r="N159" s="358">
        <f t="shared" si="78"/>
        <v>81165.550486130334</v>
      </c>
      <c r="O159" s="359">
        <f t="shared" si="67"/>
        <v>-68145.005431658778</v>
      </c>
      <c r="R159" s="354"/>
      <c r="S159" s="355">
        <f t="shared" si="68"/>
        <v>6514.2532133492705</v>
      </c>
      <c r="T159" s="356">
        <f t="shared" si="74"/>
        <v>924.12041674124259</v>
      </c>
      <c r="U159" s="357">
        <f t="shared" si="75"/>
        <v>565619.8032044</v>
      </c>
      <c r="V159" s="358">
        <f t="shared" si="75"/>
        <v>550136.24130917701</v>
      </c>
      <c r="W159" s="359">
        <f t="shared" si="69"/>
        <v>104380.19679559986</v>
      </c>
      <c r="Z159" s="354"/>
      <c r="AA159" s="355" t="e">
        <f t="shared" si="70"/>
        <v>#NUM!</v>
      </c>
      <c r="AB159" s="356" t="e">
        <f t="shared" si="71"/>
        <v>#NUM!</v>
      </c>
      <c r="AC159" s="357" t="e">
        <f t="shared" si="76"/>
        <v>#NUM!</v>
      </c>
      <c r="AD159" s="358" t="e">
        <f t="shared" si="76"/>
        <v>#NUM!</v>
      </c>
      <c r="AE159" s="359" t="e">
        <f t="shared" si="72"/>
        <v>#NUM!</v>
      </c>
    </row>
    <row r="160" spans="2:31" x14ac:dyDescent="0.25">
      <c r="B160" s="354" t="s">
        <v>532</v>
      </c>
      <c r="C160" s="355" t="e">
        <f t="shared" si="61"/>
        <v>#VALUE!</v>
      </c>
      <c r="D160" s="356" t="e">
        <f t="shared" si="62"/>
        <v>#VALUE!</v>
      </c>
      <c r="E160" s="357" t="e">
        <f t="shared" si="77"/>
        <v>#VALUE!</v>
      </c>
      <c r="F160" s="358" t="e">
        <f t="shared" si="77"/>
        <v>#VALUE!</v>
      </c>
      <c r="G160" s="359" t="e">
        <f t="shared" si="64"/>
        <v>#VALUE!</v>
      </c>
      <c r="J160" s="354" t="str">
        <f t="shared" si="60"/>
        <v>M151</v>
      </c>
      <c r="K160" s="355">
        <f t="shared" si="65"/>
        <v>2576.6587513824174</v>
      </c>
      <c r="L160" s="356">
        <f t="shared" si="73"/>
        <v>-567.87504526382315</v>
      </c>
      <c r="M160" s="357">
        <f t="shared" si="78"/>
        <v>222728.66418304128</v>
      </c>
      <c r="N160" s="358">
        <f t="shared" si="78"/>
        <v>80597.675440866515</v>
      </c>
      <c r="O160" s="359">
        <f t="shared" si="67"/>
        <v>-70721.664183041197</v>
      </c>
      <c r="R160" s="354"/>
      <c r="S160" s="355">
        <f t="shared" si="68"/>
        <v>6568.5386567938476</v>
      </c>
      <c r="T160" s="356">
        <f t="shared" si="74"/>
        <v>869.83497329666545</v>
      </c>
      <c r="U160" s="357">
        <f t="shared" ref="U160:V175" si="79">U159+S160</f>
        <v>572188.34186119388</v>
      </c>
      <c r="V160" s="358">
        <f t="shared" si="79"/>
        <v>551006.07628247363</v>
      </c>
      <c r="W160" s="359">
        <f t="shared" si="69"/>
        <v>97811.658138806</v>
      </c>
      <c r="Z160" s="354"/>
      <c r="AA160" s="355" t="e">
        <f t="shared" si="70"/>
        <v>#NUM!</v>
      </c>
      <c r="AB160" s="356" t="e">
        <f t="shared" si="71"/>
        <v>#NUM!</v>
      </c>
      <c r="AC160" s="357" t="e">
        <f t="shared" ref="AC160:AD175" si="80">AC159+AA160</f>
        <v>#NUM!</v>
      </c>
      <c r="AD160" s="358" t="e">
        <f t="shared" si="80"/>
        <v>#NUM!</v>
      </c>
      <c r="AE160" s="359" t="e">
        <f t="shared" si="72"/>
        <v>#NUM!</v>
      </c>
    </row>
    <row r="161" spans="2:31" x14ac:dyDescent="0.25">
      <c r="B161" s="354" t="s">
        <v>533</v>
      </c>
      <c r="C161" s="355" t="e">
        <f t="shared" si="61"/>
        <v>#VALUE!</v>
      </c>
      <c r="D161" s="356" t="e">
        <f t="shared" si="62"/>
        <v>#VALUE!</v>
      </c>
      <c r="E161" s="357" t="e">
        <f t="shared" si="77"/>
        <v>#VALUE!</v>
      </c>
      <c r="F161" s="358" t="e">
        <f t="shared" si="77"/>
        <v>#VALUE!</v>
      </c>
      <c r="G161" s="359" t="e">
        <f t="shared" si="64"/>
        <v>#VALUE!</v>
      </c>
      <c r="J161" s="354" t="str">
        <f t="shared" si="60"/>
        <v>M152</v>
      </c>
      <c r="K161" s="355">
        <f t="shared" si="65"/>
        <v>2598.1309076439375</v>
      </c>
      <c r="L161" s="356">
        <f t="shared" si="73"/>
        <v>-589.34720152534328</v>
      </c>
      <c r="M161" s="357">
        <f t="shared" si="78"/>
        <v>225326.79509068522</v>
      </c>
      <c r="N161" s="358">
        <f t="shared" si="78"/>
        <v>80008.328239341165</v>
      </c>
      <c r="O161" s="359">
        <f t="shared" si="67"/>
        <v>-73319.795090685133</v>
      </c>
      <c r="R161" s="354"/>
      <c r="S161" s="355">
        <f t="shared" si="68"/>
        <v>6623.2764789337962</v>
      </c>
      <c r="T161" s="356">
        <f t="shared" si="74"/>
        <v>815.09715115671668</v>
      </c>
      <c r="U161" s="357">
        <f t="shared" si="79"/>
        <v>578811.61834012764</v>
      </c>
      <c r="V161" s="358">
        <f t="shared" si="79"/>
        <v>551821.17343363038</v>
      </c>
      <c r="W161" s="359">
        <f t="shared" si="69"/>
        <v>91188.381659872204</v>
      </c>
      <c r="Z161" s="354"/>
      <c r="AA161" s="355" t="e">
        <f t="shared" si="70"/>
        <v>#NUM!</v>
      </c>
      <c r="AB161" s="356" t="e">
        <f t="shared" si="71"/>
        <v>#NUM!</v>
      </c>
      <c r="AC161" s="357" t="e">
        <f t="shared" si="80"/>
        <v>#NUM!</v>
      </c>
      <c r="AD161" s="358" t="e">
        <f t="shared" si="80"/>
        <v>#NUM!</v>
      </c>
      <c r="AE161" s="359" t="e">
        <f t="shared" si="72"/>
        <v>#NUM!</v>
      </c>
    </row>
    <row r="162" spans="2:31" x14ac:dyDescent="0.25">
      <c r="B162" s="354" t="s">
        <v>534</v>
      </c>
      <c r="C162" s="355" t="e">
        <f t="shared" si="61"/>
        <v>#VALUE!</v>
      </c>
      <c r="D162" s="356" t="e">
        <f t="shared" si="62"/>
        <v>#VALUE!</v>
      </c>
      <c r="E162" s="357" t="e">
        <f t="shared" si="77"/>
        <v>#VALUE!</v>
      </c>
      <c r="F162" s="358" t="e">
        <f t="shared" si="77"/>
        <v>#VALUE!</v>
      </c>
      <c r="G162" s="359" t="e">
        <f t="shared" si="64"/>
        <v>#VALUE!</v>
      </c>
      <c r="J162" s="354" t="str">
        <f t="shared" si="60"/>
        <v>M153</v>
      </c>
      <c r="K162" s="355">
        <f t="shared" si="65"/>
        <v>2619.7819985409706</v>
      </c>
      <c r="L162" s="356">
        <f t="shared" si="73"/>
        <v>-610.99829242237615</v>
      </c>
      <c r="M162" s="357">
        <f t="shared" si="78"/>
        <v>227946.57708922619</v>
      </c>
      <c r="N162" s="358">
        <f t="shared" si="78"/>
        <v>79397.329946918791</v>
      </c>
      <c r="O162" s="359">
        <f t="shared" si="67"/>
        <v>-75939.577089226106</v>
      </c>
      <c r="R162" s="354"/>
      <c r="S162" s="355">
        <f t="shared" si="68"/>
        <v>6678.4704495915776</v>
      </c>
      <c r="T162" s="356">
        <f t="shared" si="74"/>
        <v>759.90318049893506</v>
      </c>
      <c r="U162" s="357">
        <f t="shared" si="79"/>
        <v>585490.08878971916</v>
      </c>
      <c r="V162" s="358">
        <f t="shared" si="79"/>
        <v>552581.07661412936</v>
      </c>
      <c r="W162" s="359">
        <f t="shared" si="69"/>
        <v>84509.911210280625</v>
      </c>
      <c r="Z162" s="354"/>
      <c r="AA162" s="355" t="e">
        <f t="shared" si="70"/>
        <v>#NUM!</v>
      </c>
      <c r="AB162" s="356" t="e">
        <f t="shared" si="71"/>
        <v>#NUM!</v>
      </c>
      <c r="AC162" s="357" t="e">
        <f t="shared" si="80"/>
        <v>#NUM!</v>
      </c>
      <c r="AD162" s="358" t="e">
        <f t="shared" si="80"/>
        <v>#NUM!</v>
      </c>
      <c r="AE162" s="359" t="e">
        <f t="shared" si="72"/>
        <v>#NUM!</v>
      </c>
    </row>
    <row r="163" spans="2:31" x14ac:dyDescent="0.25">
      <c r="B163" s="354" t="s">
        <v>535</v>
      </c>
      <c r="C163" s="355" t="e">
        <f t="shared" si="61"/>
        <v>#VALUE!</v>
      </c>
      <c r="D163" s="356" t="e">
        <f t="shared" si="62"/>
        <v>#VALUE!</v>
      </c>
      <c r="E163" s="357" t="e">
        <f t="shared" si="77"/>
        <v>#VALUE!</v>
      </c>
      <c r="F163" s="358" t="e">
        <f t="shared" si="77"/>
        <v>#VALUE!</v>
      </c>
      <c r="G163" s="359" t="e">
        <f t="shared" si="64"/>
        <v>#VALUE!</v>
      </c>
      <c r="J163" s="354" t="str">
        <f t="shared" si="60"/>
        <v>M154</v>
      </c>
      <c r="K163" s="355">
        <f t="shared" si="65"/>
        <v>2641.6135151954786</v>
      </c>
      <c r="L163" s="356">
        <f t="shared" si="73"/>
        <v>-632.8298090768842</v>
      </c>
      <c r="M163" s="357">
        <f t="shared" si="78"/>
        <v>230588.19060442166</v>
      </c>
      <c r="N163" s="358">
        <f t="shared" si="78"/>
        <v>78764.500137841911</v>
      </c>
      <c r="O163" s="359">
        <f t="shared" si="67"/>
        <v>-78581.190604421587</v>
      </c>
      <c r="R163" s="354"/>
      <c r="S163" s="355">
        <f t="shared" si="68"/>
        <v>6734.1243700048408</v>
      </c>
      <c r="T163" s="356">
        <f t="shared" si="74"/>
        <v>704.24926008567184</v>
      </c>
      <c r="U163" s="357">
        <f t="shared" si="79"/>
        <v>592224.21315972402</v>
      </c>
      <c r="V163" s="358">
        <f t="shared" si="79"/>
        <v>553285.32587421499</v>
      </c>
      <c r="W163" s="359">
        <f t="shared" si="69"/>
        <v>77775.786840275789</v>
      </c>
      <c r="Z163" s="354"/>
      <c r="AA163" s="355" t="e">
        <f t="shared" si="70"/>
        <v>#NUM!</v>
      </c>
      <c r="AB163" s="356" t="e">
        <f t="shared" si="71"/>
        <v>#NUM!</v>
      </c>
      <c r="AC163" s="357" t="e">
        <f t="shared" si="80"/>
        <v>#NUM!</v>
      </c>
      <c r="AD163" s="358" t="e">
        <f t="shared" si="80"/>
        <v>#NUM!</v>
      </c>
      <c r="AE163" s="359" t="e">
        <f t="shared" si="72"/>
        <v>#NUM!</v>
      </c>
    </row>
    <row r="164" spans="2:31" x14ac:dyDescent="0.25">
      <c r="B164" s="354" t="s">
        <v>536</v>
      </c>
      <c r="C164" s="355" t="e">
        <f t="shared" si="61"/>
        <v>#VALUE!</v>
      </c>
      <c r="D164" s="356" t="e">
        <f t="shared" si="62"/>
        <v>#VALUE!</v>
      </c>
      <c r="E164" s="357" t="e">
        <f t="shared" si="77"/>
        <v>#VALUE!</v>
      </c>
      <c r="F164" s="358" t="e">
        <f t="shared" si="77"/>
        <v>#VALUE!</v>
      </c>
      <c r="G164" s="359" t="e">
        <f t="shared" si="64"/>
        <v>#VALUE!</v>
      </c>
      <c r="J164" s="354" t="str">
        <f t="shared" si="60"/>
        <v>M155</v>
      </c>
      <c r="K164" s="355">
        <f t="shared" si="65"/>
        <v>2663.6269611554408</v>
      </c>
      <c r="L164" s="356">
        <f t="shared" si="73"/>
        <v>-654.84325503684659</v>
      </c>
      <c r="M164" s="357">
        <f t="shared" si="78"/>
        <v>233251.8175655771</v>
      </c>
      <c r="N164" s="358">
        <f t="shared" si="78"/>
        <v>78109.656882805066</v>
      </c>
      <c r="O164" s="359">
        <f t="shared" si="67"/>
        <v>-81244.817565577032</v>
      </c>
      <c r="R164" s="354"/>
      <c r="S164" s="355">
        <f t="shared" si="68"/>
        <v>6790.242073088215</v>
      </c>
      <c r="T164" s="356">
        <f t="shared" si="74"/>
        <v>648.13155700229822</v>
      </c>
      <c r="U164" s="357">
        <f t="shared" si="79"/>
        <v>599014.45523281221</v>
      </c>
      <c r="V164" s="358">
        <f t="shared" si="79"/>
        <v>553933.45743121731</v>
      </c>
      <c r="W164" s="359">
        <f t="shared" si="69"/>
        <v>70985.544767187574</v>
      </c>
      <c r="Z164" s="354"/>
      <c r="AA164" s="355" t="e">
        <f t="shared" si="70"/>
        <v>#NUM!</v>
      </c>
      <c r="AB164" s="356" t="e">
        <f t="shared" si="71"/>
        <v>#NUM!</v>
      </c>
      <c r="AC164" s="357" t="e">
        <f t="shared" si="80"/>
        <v>#NUM!</v>
      </c>
      <c r="AD164" s="358" t="e">
        <f t="shared" si="80"/>
        <v>#NUM!</v>
      </c>
      <c r="AE164" s="359" t="e">
        <f t="shared" si="72"/>
        <v>#NUM!</v>
      </c>
    </row>
    <row r="165" spans="2:31" x14ac:dyDescent="0.25">
      <c r="B165" s="354" t="s">
        <v>537</v>
      </c>
      <c r="C165" s="355" t="e">
        <f t="shared" si="61"/>
        <v>#VALUE!</v>
      </c>
      <c r="D165" s="356" t="e">
        <f t="shared" si="62"/>
        <v>#VALUE!</v>
      </c>
      <c r="E165" s="357" t="e">
        <f t="shared" si="77"/>
        <v>#VALUE!</v>
      </c>
      <c r="F165" s="358" t="e">
        <f t="shared" si="77"/>
        <v>#VALUE!</v>
      </c>
      <c r="G165" s="359" t="e">
        <f t="shared" si="64"/>
        <v>#VALUE!</v>
      </c>
      <c r="J165" s="354" t="str">
        <f t="shared" si="60"/>
        <v>M156</v>
      </c>
      <c r="K165" s="355">
        <f t="shared" si="65"/>
        <v>2685.8238524984031</v>
      </c>
      <c r="L165" s="356">
        <f t="shared" si="73"/>
        <v>-677.04014637980856</v>
      </c>
      <c r="M165" s="357">
        <f t="shared" si="78"/>
        <v>235937.64141807551</v>
      </c>
      <c r="N165" s="358">
        <f t="shared" si="78"/>
        <v>77432.616736425261</v>
      </c>
      <c r="O165" s="359">
        <f t="shared" si="67"/>
        <v>-83930.641418075436</v>
      </c>
      <c r="R165" s="354"/>
      <c r="S165" s="355">
        <f t="shared" si="68"/>
        <v>6846.8274236972829</v>
      </c>
      <c r="T165" s="356">
        <f t="shared" si="74"/>
        <v>591.5462063932298</v>
      </c>
      <c r="U165" s="357">
        <f t="shared" si="79"/>
        <v>605861.28265650955</v>
      </c>
      <c r="V165" s="358">
        <f t="shared" si="79"/>
        <v>554525.00363761059</v>
      </c>
      <c r="W165" s="359">
        <f t="shared" si="69"/>
        <v>64138.717343490294</v>
      </c>
      <c r="Z165" s="354"/>
      <c r="AA165" s="355" t="e">
        <f t="shared" si="70"/>
        <v>#NUM!</v>
      </c>
      <c r="AB165" s="356" t="e">
        <f t="shared" si="71"/>
        <v>#NUM!</v>
      </c>
      <c r="AC165" s="357" t="e">
        <f t="shared" si="80"/>
        <v>#NUM!</v>
      </c>
      <c r="AD165" s="358" t="e">
        <f t="shared" si="80"/>
        <v>#NUM!</v>
      </c>
      <c r="AE165" s="359" t="e">
        <f t="shared" si="72"/>
        <v>#NUM!</v>
      </c>
    </row>
    <row r="166" spans="2:31" x14ac:dyDescent="0.25">
      <c r="B166" s="354" t="s">
        <v>538</v>
      </c>
      <c r="C166" s="355" t="e">
        <f t="shared" si="61"/>
        <v>#VALUE!</v>
      </c>
      <c r="D166" s="356" t="e">
        <f t="shared" si="62"/>
        <v>#VALUE!</v>
      </c>
      <c r="E166" s="357" t="e">
        <f t="shared" si="77"/>
        <v>#VALUE!</v>
      </c>
      <c r="F166" s="358" t="e">
        <f t="shared" si="77"/>
        <v>#VALUE!</v>
      </c>
      <c r="G166" s="359" t="e">
        <f t="shared" si="64"/>
        <v>#VALUE!</v>
      </c>
      <c r="J166" s="354" t="str">
        <f t="shared" si="60"/>
        <v>M157</v>
      </c>
      <c r="K166" s="355">
        <f t="shared" si="65"/>
        <v>2708.2057179358899</v>
      </c>
      <c r="L166" s="356">
        <f t="shared" si="73"/>
        <v>-699.42201181729524</v>
      </c>
      <c r="M166" s="357">
        <f t="shared" si="78"/>
        <v>238645.84713601141</v>
      </c>
      <c r="N166" s="358">
        <f t="shared" si="78"/>
        <v>76733.194724607965</v>
      </c>
      <c r="O166" s="359">
        <f t="shared" si="67"/>
        <v>-86638.847136011333</v>
      </c>
      <c r="R166" s="354"/>
      <c r="S166" s="355">
        <f t="shared" si="68"/>
        <v>6903.8843188947603</v>
      </c>
      <c r="T166" s="356">
        <f t="shared" si="74"/>
        <v>534.48931119575241</v>
      </c>
      <c r="U166" s="357">
        <f t="shared" si="79"/>
        <v>612765.16697540425</v>
      </c>
      <c r="V166" s="358">
        <f t="shared" si="79"/>
        <v>555059.49294880638</v>
      </c>
      <c r="W166" s="359">
        <f t="shared" si="69"/>
        <v>57234.833024595537</v>
      </c>
      <c r="Z166" s="354"/>
      <c r="AA166" s="355" t="e">
        <f t="shared" si="70"/>
        <v>#NUM!</v>
      </c>
      <c r="AB166" s="356" t="e">
        <f t="shared" si="71"/>
        <v>#NUM!</v>
      </c>
      <c r="AC166" s="357" t="e">
        <f t="shared" si="80"/>
        <v>#NUM!</v>
      </c>
      <c r="AD166" s="358" t="e">
        <f t="shared" si="80"/>
        <v>#NUM!</v>
      </c>
      <c r="AE166" s="359" t="e">
        <f t="shared" si="72"/>
        <v>#NUM!</v>
      </c>
    </row>
    <row r="167" spans="2:31" x14ac:dyDescent="0.25">
      <c r="B167" s="354" t="s">
        <v>539</v>
      </c>
      <c r="C167" s="355" t="e">
        <f t="shared" si="61"/>
        <v>#VALUE!</v>
      </c>
      <c r="D167" s="356" t="e">
        <f t="shared" si="62"/>
        <v>#VALUE!</v>
      </c>
      <c r="E167" s="357" t="e">
        <f t="shared" si="77"/>
        <v>#VALUE!</v>
      </c>
      <c r="F167" s="358" t="e">
        <f t="shared" si="77"/>
        <v>#VALUE!</v>
      </c>
      <c r="G167" s="359" t="e">
        <f t="shared" si="64"/>
        <v>#VALUE!</v>
      </c>
      <c r="J167" s="354" t="str">
        <f t="shared" si="60"/>
        <v>M158</v>
      </c>
      <c r="K167" s="355">
        <f t="shared" si="65"/>
        <v>2730.7740989186887</v>
      </c>
      <c r="L167" s="356">
        <f t="shared" si="73"/>
        <v>-721.99039280009447</v>
      </c>
      <c r="M167" s="357">
        <f t="shared" si="78"/>
        <v>241376.62123493009</v>
      </c>
      <c r="N167" s="358">
        <f t="shared" si="78"/>
        <v>76011.204331807865</v>
      </c>
      <c r="O167" s="359">
        <f t="shared" si="67"/>
        <v>-89369.621234930019</v>
      </c>
      <c r="R167" s="354"/>
      <c r="S167" s="355">
        <f t="shared" si="68"/>
        <v>6961.4166882188838</v>
      </c>
      <c r="T167" s="356">
        <f t="shared" si="74"/>
        <v>476.95694187162945</v>
      </c>
      <c r="U167" s="357">
        <f t="shared" si="79"/>
        <v>619726.58366362308</v>
      </c>
      <c r="V167" s="358">
        <f t="shared" si="79"/>
        <v>555536.44989067805</v>
      </c>
      <c r="W167" s="359">
        <f t="shared" si="69"/>
        <v>50273.416336376657</v>
      </c>
      <c r="Z167" s="354"/>
      <c r="AA167" s="355" t="e">
        <f t="shared" si="70"/>
        <v>#NUM!</v>
      </c>
      <c r="AB167" s="356" t="e">
        <f t="shared" si="71"/>
        <v>#NUM!</v>
      </c>
      <c r="AC167" s="357" t="e">
        <f t="shared" si="80"/>
        <v>#NUM!</v>
      </c>
      <c r="AD167" s="358" t="e">
        <f t="shared" si="80"/>
        <v>#NUM!</v>
      </c>
      <c r="AE167" s="359" t="e">
        <f t="shared" si="72"/>
        <v>#NUM!</v>
      </c>
    </row>
    <row r="168" spans="2:31" x14ac:dyDescent="0.25">
      <c r="B168" s="354" t="s">
        <v>540</v>
      </c>
      <c r="C168" s="355" t="e">
        <f t="shared" si="61"/>
        <v>#VALUE!</v>
      </c>
      <c r="D168" s="356" t="e">
        <f t="shared" si="62"/>
        <v>#VALUE!</v>
      </c>
      <c r="E168" s="357" t="e">
        <f t="shared" si="77"/>
        <v>#VALUE!</v>
      </c>
      <c r="F168" s="358" t="e">
        <f t="shared" si="77"/>
        <v>#VALUE!</v>
      </c>
      <c r="G168" s="359" t="e">
        <f t="shared" si="64"/>
        <v>#VALUE!</v>
      </c>
      <c r="J168" s="354" t="str">
        <f t="shared" si="60"/>
        <v>M159</v>
      </c>
      <c r="K168" s="355">
        <f t="shared" si="65"/>
        <v>2753.5305497430113</v>
      </c>
      <c r="L168" s="356">
        <f t="shared" si="73"/>
        <v>-744.74684362441678</v>
      </c>
      <c r="M168" s="357">
        <f t="shared" si="78"/>
        <v>244130.1517846731</v>
      </c>
      <c r="N168" s="358">
        <f t="shared" si="78"/>
        <v>75266.457488183441</v>
      </c>
      <c r="O168" s="359">
        <f t="shared" si="67"/>
        <v>-92123.151784673028</v>
      </c>
      <c r="R168" s="354"/>
      <c r="S168" s="355">
        <f t="shared" si="68"/>
        <v>7019.4284939540412</v>
      </c>
      <c r="T168" s="356">
        <f t="shared" si="74"/>
        <v>418.94513613647212</v>
      </c>
      <c r="U168" s="357">
        <f t="shared" si="79"/>
        <v>626746.01215757709</v>
      </c>
      <c r="V168" s="358">
        <f t="shared" si="79"/>
        <v>555955.39502681454</v>
      </c>
      <c r="W168" s="359">
        <f t="shared" si="69"/>
        <v>43253.987842422619</v>
      </c>
      <c r="Z168" s="354"/>
      <c r="AA168" s="355" t="e">
        <f t="shared" si="70"/>
        <v>#NUM!</v>
      </c>
      <c r="AB168" s="356" t="e">
        <f t="shared" si="71"/>
        <v>#NUM!</v>
      </c>
      <c r="AC168" s="357" t="e">
        <f t="shared" si="80"/>
        <v>#NUM!</v>
      </c>
      <c r="AD168" s="358" t="e">
        <f t="shared" si="80"/>
        <v>#NUM!</v>
      </c>
      <c r="AE168" s="359" t="e">
        <f t="shared" si="72"/>
        <v>#NUM!</v>
      </c>
    </row>
    <row r="169" spans="2:31" x14ac:dyDescent="0.25">
      <c r="B169" s="354" t="s">
        <v>541</v>
      </c>
      <c r="C169" s="355" t="e">
        <f t="shared" si="61"/>
        <v>#VALUE!</v>
      </c>
      <c r="D169" s="356" t="e">
        <f t="shared" si="62"/>
        <v>#VALUE!</v>
      </c>
      <c r="E169" s="357" t="e">
        <f t="shared" si="77"/>
        <v>#VALUE!</v>
      </c>
      <c r="F169" s="358" t="e">
        <f t="shared" si="77"/>
        <v>#VALUE!</v>
      </c>
      <c r="G169" s="359" t="e">
        <f t="shared" si="64"/>
        <v>#VALUE!</v>
      </c>
      <c r="J169" s="354" t="str">
        <f t="shared" si="60"/>
        <v>M160</v>
      </c>
      <c r="K169" s="355">
        <f t="shared" si="65"/>
        <v>2776.4766376575362</v>
      </c>
      <c r="L169" s="356">
        <f t="shared" si="73"/>
        <v>-767.69293153894193</v>
      </c>
      <c r="M169" s="357">
        <f t="shared" si="78"/>
        <v>246906.62842233063</v>
      </c>
      <c r="N169" s="358">
        <f t="shared" si="78"/>
        <v>74498.764556644499</v>
      </c>
      <c r="O169" s="359">
        <f t="shared" si="67"/>
        <v>-94899.62842233057</v>
      </c>
      <c r="R169" s="354"/>
      <c r="S169" s="355">
        <f t="shared" si="68"/>
        <v>7077.9237314036582</v>
      </c>
      <c r="T169" s="356">
        <f t="shared" si="74"/>
        <v>360.44989868685514</v>
      </c>
      <c r="U169" s="357">
        <f t="shared" si="79"/>
        <v>633823.93588898075</v>
      </c>
      <c r="V169" s="358">
        <f t="shared" si="79"/>
        <v>556315.84492550138</v>
      </c>
      <c r="W169" s="359">
        <f t="shared" si="69"/>
        <v>36176.064111018961</v>
      </c>
      <c r="Z169" s="354"/>
      <c r="AA169" s="355" t="e">
        <f t="shared" si="70"/>
        <v>#NUM!</v>
      </c>
      <c r="AB169" s="356" t="e">
        <f t="shared" si="71"/>
        <v>#NUM!</v>
      </c>
      <c r="AC169" s="357" t="e">
        <f t="shared" si="80"/>
        <v>#NUM!</v>
      </c>
      <c r="AD169" s="358" t="e">
        <f t="shared" si="80"/>
        <v>#NUM!</v>
      </c>
      <c r="AE169" s="359" t="e">
        <f t="shared" si="72"/>
        <v>#NUM!</v>
      </c>
    </row>
    <row r="170" spans="2:31" x14ac:dyDescent="0.25">
      <c r="B170" s="354" t="s">
        <v>542</v>
      </c>
      <c r="C170" s="355" t="e">
        <f t="shared" si="61"/>
        <v>#VALUE!</v>
      </c>
      <c r="D170" s="356" t="e">
        <f t="shared" si="62"/>
        <v>#VALUE!</v>
      </c>
      <c r="E170" s="357" t="e">
        <f t="shared" si="77"/>
        <v>#VALUE!</v>
      </c>
      <c r="F170" s="358" t="e">
        <f t="shared" si="77"/>
        <v>#VALUE!</v>
      </c>
      <c r="G170" s="359" t="e">
        <f t="shared" si="64"/>
        <v>#VALUE!</v>
      </c>
      <c r="J170" s="354" t="str">
        <f t="shared" si="60"/>
        <v>M161</v>
      </c>
      <c r="K170" s="355">
        <f t="shared" si="65"/>
        <v>2799.6139429713494</v>
      </c>
      <c r="L170" s="356">
        <f t="shared" si="73"/>
        <v>-790.83023685275475</v>
      </c>
      <c r="M170" s="357">
        <f t="shared" si="78"/>
        <v>249706.24236530197</v>
      </c>
      <c r="N170" s="358">
        <f t="shared" si="78"/>
        <v>73707.934319791748</v>
      </c>
      <c r="O170" s="359">
        <f t="shared" si="67"/>
        <v>-97699.242365301921</v>
      </c>
      <c r="R170" s="354"/>
      <c r="S170" s="355">
        <f t="shared" si="68"/>
        <v>7136.9064291653549</v>
      </c>
      <c r="T170" s="356">
        <f t="shared" si="74"/>
        <v>301.46720092515801</v>
      </c>
      <c r="U170" s="357">
        <f t="shared" si="79"/>
        <v>640960.84231814614</v>
      </c>
      <c r="V170" s="358">
        <f t="shared" si="79"/>
        <v>556617.31212642649</v>
      </c>
      <c r="W170" s="359">
        <f t="shared" si="69"/>
        <v>29039.157681853605</v>
      </c>
      <c r="Z170" s="354"/>
      <c r="AA170" s="355" t="e">
        <f t="shared" si="70"/>
        <v>#NUM!</v>
      </c>
      <c r="AB170" s="356" t="e">
        <f t="shared" si="71"/>
        <v>#NUM!</v>
      </c>
      <c r="AC170" s="357" t="e">
        <f t="shared" si="80"/>
        <v>#NUM!</v>
      </c>
      <c r="AD170" s="358" t="e">
        <f t="shared" si="80"/>
        <v>#NUM!</v>
      </c>
      <c r="AE170" s="359" t="e">
        <f t="shared" si="72"/>
        <v>#NUM!</v>
      </c>
    </row>
    <row r="171" spans="2:31" x14ac:dyDescent="0.25">
      <c r="B171" s="354" t="s">
        <v>543</v>
      </c>
      <c r="C171" s="355" t="e">
        <f t="shared" si="61"/>
        <v>#VALUE!</v>
      </c>
      <c r="D171" s="356" t="e">
        <f t="shared" si="62"/>
        <v>#VALUE!</v>
      </c>
      <c r="E171" s="357" t="e">
        <f t="shared" si="77"/>
        <v>#VALUE!</v>
      </c>
      <c r="F171" s="358" t="e">
        <f t="shared" si="77"/>
        <v>#VALUE!</v>
      </c>
      <c r="G171" s="359" t="e">
        <f t="shared" si="64"/>
        <v>#VALUE!</v>
      </c>
      <c r="J171" s="354" t="str">
        <f t="shared" si="60"/>
        <v>M162</v>
      </c>
      <c r="K171" s="355">
        <f t="shared" si="65"/>
        <v>2822.9440591627772</v>
      </c>
      <c r="L171" s="356">
        <f t="shared" si="73"/>
        <v>-814.16035304418267</v>
      </c>
      <c r="M171" s="357">
        <f t="shared" si="78"/>
        <v>252529.18642446474</v>
      </c>
      <c r="N171" s="358">
        <f t="shared" si="78"/>
        <v>72893.773966747569</v>
      </c>
      <c r="O171" s="359">
        <f t="shared" si="67"/>
        <v>-100522.1864244647</v>
      </c>
      <c r="R171" s="354"/>
      <c r="S171" s="355">
        <f t="shared" si="68"/>
        <v>7196.3806494083992</v>
      </c>
      <c r="T171" s="356">
        <f t="shared" si="74"/>
        <v>241.99298068211337</v>
      </c>
      <c r="U171" s="357">
        <f t="shared" si="79"/>
        <v>648157.22296755458</v>
      </c>
      <c r="V171" s="358">
        <f t="shared" si="79"/>
        <v>556859.30510710855</v>
      </c>
      <c r="W171" s="359">
        <f t="shared" si="69"/>
        <v>21842.777032445207</v>
      </c>
      <c r="Z171" s="354"/>
      <c r="AA171" s="355" t="e">
        <f t="shared" si="70"/>
        <v>#NUM!</v>
      </c>
      <c r="AB171" s="356" t="e">
        <f t="shared" si="71"/>
        <v>#NUM!</v>
      </c>
      <c r="AC171" s="357" t="e">
        <f t="shared" si="80"/>
        <v>#NUM!</v>
      </c>
      <c r="AD171" s="358" t="e">
        <f t="shared" si="80"/>
        <v>#NUM!</v>
      </c>
      <c r="AE171" s="359" t="e">
        <f t="shared" si="72"/>
        <v>#NUM!</v>
      </c>
    </row>
    <row r="172" spans="2:31" x14ac:dyDescent="0.25">
      <c r="B172" s="354" t="s">
        <v>544</v>
      </c>
      <c r="C172" s="355" t="e">
        <f t="shared" si="61"/>
        <v>#VALUE!</v>
      </c>
      <c r="D172" s="356" t="e">
        <f t="shared" si="62"/>
        <v>#VALUE!</v>
      </c>
      <c r="E172" s="357" t="e">
        <f t="shared" ref="E172:F187" si="81">E171+C172</f>
        <v>#VALUE!</v>
      </c>
      <c r="F172" s="358" t="e">
        <f t="shared" si="81"/>
        <v>#VALUE!</v>
      </c>
      <c r="G172" s="359" t="e">
        <f t="shared" si="64"/>
        <v>#VALUE!</v>
      </c>
      <c r="J172" s="354" t="str">
        <f t="shared" si="60"/>
        <v>M163</v>
      </c>
      <c r="K172" s="355">
        <f t="shared" si="65"/>
        <v>2846.4685929891334</v>
      </c>
      <c r="L172" s="356">
        <f t="shared" si="73"/>
        <v>-837.68488687053912</v>
      </c>
      <c r="M172" s="357">
        <f t="shared" ref="M172:N187" si="82">M171+K172</f>
        <v>255375.65501745389</v>
      </c>
      <c r="N172" s="358">
        <f t="shared" si="82"/>
        <v>72056.089079877027</v>
      </c>
      <c r="O172" s="359">
        <f t="shared" si="67"/>
        <v>-103368.65501745383</v>
      </c>
      <c r="R172" s="354"/>
      <c r="S172" s="355">
        <f t="shared" si="68"/>
        <v>7256.35048815347</v>
      </c>
      <c r="T172" s="356">
        <f t="shared" si="74"/>
        <v>182.02314193704339</v>
      </c>
      <c r="U172" s="357">
        <f t="shared" si="79"/>
        <v>655413.5734557081</v>
      </c>
      <c r="V172" s="358">
        <f t="shared" si="79"/>
        <v>557041.32824904565</v>
      </c>
      <c r="W172" s="359">
        <f t="shared" si="69"/>
        <v>14586.426544291737</v>
      </c>
      <c r="Z172" s="354"/>
      <c r="AA172" s="355" t="e">
        <f t="shared" si="70"/>
        <v>#NUM!</v>
      </c>
      <c r="AB172" s="356" t="e">
        <f t="shared" si="71"/>
        <v>#NUM!</v>
      </c>
      <c r="AC172" s="357" t="e">
        <f t="shared" si="80"/>
        <v>#NUM!</v>
      </c>
      <c r="AD172" s="358" t="e">
        <f t="shared" si="80"/>
        <v>#NUM!</v>
      </c>
      <c r="AE172" s="359" t="e">
        <f t="shared" si="72"/>
        <v>#NUM!</v>
      </c>
    </row>
    <row r="173" spans="2:31" x14ac:dyDescent="0.25">
      <c r="B173" s="354" t="s">
        <v>545</v>
      </c>
      <c r="C173" s="355" t="e">
        <f t="shared" si="61"/>
        <v>#VALUE!</v>
      </c>
      <c r="D173" s="356" t="e">
        <f t="shared" si="62"/>
        <v>#VALUE!</v>
      </c>
      <c r="E173" s="357" t="e">
        <f t="shared" si="81"/>
        <v>#VALUE!</v>
      </c>
      <c r="F173" s="358" t="e">
        <f t="shared" si="81"/>
        <v>#VALUE!</v>
      </c>
      <c r="G173" s="359" t="e">
        <f t="shared" si="64"/>
        <v>#VALUE!</v>
      </c>
      <c r="J173" s="354" t="str">
        <f t="shared" si="60"/>
        <v>M164</v>
      </c>
      <c r="K173" s="355">
        <f t="shared" si="65"/>
        <v>2870.1891645973765</v>
      </c>
      <c r="L173" s="356">
        <f t="shared" si="73"/>
        <v>-861.40545847878184</v>
      </c>
      <c r="M173" s="357">
        <f t="shared" si="82"/>
        <v>258245.84418205125</v>
      </c>
      <c r="N173" s="358">
        <f t="shared" si="82"/>
        <v>71194.683621398246</v>
      </c>
      <c r="O173" s="359">
        <f t="shared" si="67"/>
        <v>-106238.84418205121</v>
      </c>
      <c r="R173" s="354"/>
      <c r="S173" s="355">
        <f t="shared" si="68"/>
        <v>7316.8200755547487</v>
      </c>
      <c r="T173" s="356">
        <f t="shared" si="74"/>
        <v>121.55355453576448</v>
      </c>
      <c r="U173" s="357">
        <f t="shared" si="79"/>
        <v>662730.39353126287</v>
      </c>
      <c r="V173" s="358">
        <f t="shared" si="79"/>
        <v>557162.88180358137</v>
      </c>
      <c r="W173" s="359">
        <f t="shared" si="69"/>
        <v>7269.6064687369881</v>
      </c>
      <c r="Z173" s="354"/>
      <c r="AA173" s="355" t="e">
        <f t="shared" si="70"/>
        <v>#NUM!</v>
      </c>
      <c r="AB173" s="356" t="e">
        <f t="shared" si="71"/>
        <v>#NUM!</v>
      </c>
      <c r="AC173" s="357" t="e">
        <f t="shared" si="80"/>
        <v>#NUM!</v>
      </c>
      <c r="AD173" s="358" t="e">
        <f t="shared" si="80"/>
        <v>#NUM!</v>
      </c>
      <c r="AE173" s="359" t="e">
        <f t="shared" si="72"/>
        <v>#NUM!</v>
      </c>
    </row>
    <row r="174" spans="2:31" x14ac:dyDescent="0.25">
      <c r="B174" s="354" t="s">
        <v>546</v>
      </c>
      <c r="C174" s="355" t="e">
        <f t="shared" si="61"/>
        <v>#VALUE!</v>
      </c>
      <c r="D174" s="356" t="e">
        <f t="shared" si="62"/>
        <v>#VALUE!</v>
      </c>
      <c r="E174" s="357" t="e">
        <f t="shared" si="81"/>
        <v>#VALUE!</v>
      </c>
      <c r="F174" s="358" t="e">
        <f t="shared" si="81"/>
        <v>#VALUE!</v>
      </c>
      <c r="G174" s="359" t="e">
        <f t="shared" si="64"/>
        <v>#VALUE!</v>
      </c>
      <c r="J174" s="354" t="str">
        <f t="shared" si="60"/>
        <v>M165</v>
      </c>
      <c r="K174" s="355">
        <f t="shared" si="65"/>
        <v>2894.1074076356877</v>
      </c>
      <c r="L174" s="356">
        <f t="shared" si="73"/>
        <v>-885.32370151709335</v>
      </c>
      <c r="M174" s="357">
        <f t="shared" si="82"/>
        <v>261139.95158968694</v>
      </c>
      <c r="N174" s="358">
        <f t="shared" si="82"/>
        <v>70309.359919881157</v>
      </c>
      <c r="O174" s="359">
        <f t="shared" si="67"/>
        <v>-109132.9515896869</v>
      </c>
      <c r="R174" s="354"/>
      <c r="S174" s="355">
        <f t="shared" si="68"/>
        <v>7377.793576184371</v>
      </c>
      <c r="T174" s="356">
        <f t="shared" si="74"/>
        <v>60.580053906141565</v>
      </c>
      <c r="U174" s="357">
        <f t="shared" si="79"/>
        <v>670108.1871074473</v>
      </c>
      <c r="V174" s="358">
        <f t="shared" si="79"/>
        <v>557223.46185748756</v>
      </c>
      <c r="W174" s="359">
        <f t="shared" si="69"/>
        <v>-108.18710744738291</v>
      </c>
      <c r="Z174" s="354"/>
      <c r="AA174" s="355" t="e">
        <f t="shared" si="70"/>
        <v>#NUM!</v>
      </c>
      <c r="AB174" s="356" t="e">
        <f t="shared" si="71"/>
        <v>#NUM!</v>
      </c>
      <c r="AC174" s="357" t="e">
        <f t="shared" si="80"/>
        <v>#NUM!</v>
      </c>
      <c r="AD174" s="358" t="e">
        <f t="shared" si="80"/>
        <v>#NUM!</v>
      </c>
      <c r="AE174" s="359" t="e">
        <f t="shared" si="72"/>
        <v>#NUM!</v>
      </c>
    </row>
    <row r="175" spans="2:31" x14ac:dyDescent="0.25">
      <c r="B175" s="354" t="s">
        <v>547</v>
      </c>
      <c r="C175" s="355" t="e">
        <f t="shared" si="61"/>
        <v>#VALUE!</v>
      </c>
      <c r="D175" s="356" t="e">
        <f t="shared" si="62"/>
        <v>#VALUE!</v>
      </c>
      <c r="E175" s="357" t="e">
        <f t="shared" si="81"/>
        <v>#VALUE!</v>
      </c>
      <c r="F175" s="358" t="e">
        <f t="shared" si="81"/>
        <v>#VALUE!</v>
      </c>
      <c r="G175" s="359" t="e">
        <f t="shared" si="64"/>
        <v>#VALUE!</v>
      </c>
      <c r="J175" s="354" t="str">
        <f t="shared" si="60"/>
        <v>M166</v>
      </c>
      <c r="K175" s="355">
        <f t="shared" si="65"/>
        <v>2918.2249693659851</v>
      </c>
      <c r="L175" s="356">
        <f t="shared" si="73"/>
        <v>-909.44126324739079</v>
      </c>
      <c r="M175" s="357">
        <f t="shared" si="82"/>
        <v>264058.17655905295</v>
      </c>
      <c r="N175" s="358">
        <f t="shared" si="82"/>
        <v>69399.918656633759</v>
      </c>
      <c r="O175" s="359">
        <f t="shared" si="67"/>
        <v>-112051.17655905288</v>
      </c>
      <c r="R175" s="354"/>
      <c r="S175" s="355">
        <f t="shared" si="68"/>
        <v>7439.2751893192408</v>
      </c>
      <c r="T175" s="356">
        <f t="shared" si="74"/>
        <v>-0.90155922872819094</v>
      </c>
      <c r="U175" s="357">
        <f t="shared" si="79"/>
        <v>677547.46229676658</v>
      </c>
      <c r="V175" s="358">
        <f t="shared" si="79"/>
        <v>557222.56029825879</v>
      </c>
      <c r="W175" s="359">
        <f t="shared" si="69"/>
        <v>-7547.4622967666237</v>
      </c>
      <c r="Z175" s="354"/>
      <c r="AA175" s="355" t="e">
        <f t="shared" si="70"/>
        <v>#NUM!</v>
      </c>
      <c r="AB175" s="356" t="e">
        <f t="shared" si="71"/>
        <v>#NUM!</v>
      </c>
      <c r="AC175" s="357" t="e">
        <f t="shared" si="80"/>
        <v>#NUM!</v>
      </c>
      <c r="AD175" s="358" t="e">
        <f t="shared" si="80"/>
        <v>#NUM!</v>
      </c>
      <c r="AE175" s="359" t="e">
        <f t="shared" si="72"/>
        <v>#NUM!</v>
      </c>
    </row>
    <row r="176" spans="2:31" x14ac:dyDescent="0.25">
      <c r="B176" s="354" t="s">
        <v>548</v>
      </c>
      <c r="C176" s="355" t="e">
        <f t="shared" si="61"/>
        <v>#VALUE!</v>
      </c>
      <c r="D176" s="356" t="e">
        <f t="shared" si="62"/>
        <v>#VALUE!</v>
      </c>
      <c r="E176" s="357" t="e">
        <f t="shared" si="81"/>
        <v>#VALUE!</v>
      </c>
      <c r="F176" s="358" t="e">
        <f t="shared" si="81"/>
        <v>#VALUE!</v>
      </c>
      <c r="G176" s="359" t="e">
        <f t="shared" si="64"/>
        <v>#VALUE!</v>
      </c>
      <c r="J176" s="354" t="str">
        <f t="shared" si="60"/>
        <v>M167</v>
      </c>
      <c r="K176" s="355">
        <f t="shared" si="65"/>
        <v>2942.5435107773683</v>
      </c>
      <c r="L176" s="356">
        <f t="shared" si="73"/>
        <v>-933.75980465877399</v>
      </c>
      <c r="M176" s="357">
        <f t="shared" si="82"/>
        <v>267000.72006983031</v>
      </c>
      <c r="N176" s="358">
        <f t="shared" si="82"/>
        <v>68466.158851974978</v>
      </c>
      <c r="O176" s="359">
        <f t="shared" si="67"/>
        <v>-114993.72006983025</v>
      </c>
      <c r="R176" s="354"/>
      <c r="S176" s="355">
        <f t="shared" si="68"/>
        <v>7501.2691492302347</v>
      </c>
      <c r="T176" s="356">
        <f t="shared" si="74"/>
        <v>-62.895519139721863</v>
      </c>
      <c r="U176" s="357">
        <f t="shared" ref="U176:V191" si="83">U175+S176</f>
        <v>685048.73144599679</v>
      </c>
      <c r="V176" s="358">
        <f t="shared" si="83"/>
        <v>557159.66477911908</v>
      </c>
      <c r="W176" s="359">
        <f t="shared" si="69"/>
        <v>-15048.731445996858</v>
      </c>
      <c r="Z176" s="354"/>
      <c r="AA176" s="355" t="e">
        <f t="shared" si="70"/>
        <v>#NUM!</v>
      </c>
      <c r="AB176" s="356" t="e">
        <f t="shared" si="71"/>
        <v>#NUM!</v>
      </c>
      <c r="AC176" s="357" t="e">
        <f t="shared" ref="AC176:AD191" si="84">AC175+AA176</f>
        <v>#NUM!</v>
      </c>
      <c r="AD176" s="358" t="e">
        <f t="shared" si="84"/>
        <v>#NUM!</v>
      </c>
      <c r="AE176" s="359" t="e">
        <f t="shared" si="72"/>
        <v>#NUM!</v>
      </c>
    </row>
    <row r="177" spans="2:31" x14ac:dyDescent="0.25">
      <c r="B177" s="354" t="s">
        <v>549</v>
      </c>
      <c r="C177" s="355" t="e">
        <f t="shared" si="61"/>
        <v>#VALUE!</v>
      </c>
      <c r="D177" s="356" t="e">
        <f t="shared" si="62"/>
        <v>#VALUE!</v>
      </c>
      <c r="E177" s="357" t="e">
        <f t="shared" si="81"/>
        <v>#VALUE!</v>
      </c>
      <c r="F177" s="358" t="e">
        <f t="shared" si="81"/>
        <v>#VALUE!</v>
      </c>
      <c r="G177" s="359" t="e">
        <f t="shared" si="64"/>
        <v>#VALUE!</v>
      </c>
      <c r="J177" s="354" t="str">
        <f t="shared" si="60"/>
        <v>M168</v>
      </c>
      <c r="K177" s="355">
        <f t="shared" si="65"/>
        <v>2967.0647067005129</v>
      </c>
      <c r="L177" s="356">
        <f t="shared" si="73"/>
        <v>-958.28100058191876</v>
      </c>
      <c r="M177" s="357">
        <f t="shared" si="82"/>
        <v>269967.78477653081</v>
      </c>
      <c r="N177" s="358">
        <f t="shared" si="82"/>
        <v>67507.877851393059</v>
      </c>
      <c r="O177" s="359">
        <f t="shared" si="67"/>
        <v>-117960.78477653077</v>
      </c>
      <c r="R177" s="354"/>
      <c r="S177" s="355">
        <f t="shared" si="68"/>
        <v>7563.7797254738198</v>
      </c>
      <c r="T177" s="356">
        <f t="shared" si="74"/>
        <v>-125.40609538330715</v>
      </c>
      <c r="U177" s="357">
        <f t="shared" si="83"/>
        <v>692612.51117147063</v>
      </c>
      <c r="V177" s="358">
        <f t="shared" si="83"/>
        <v>557034.25868373574</v>
      </c>
      <c r="W177" s="359">
        <f t="shared" si="69"/>
        <v>-22612.51117147068</v>
      </c>
      <c r="Z177" s="354"/>
      <c r="AA177" s="355" t="e">
        <f t="shared" si="70"/>
        <v>#NUM!</v>
      </c>
      <c r="AB177" s="356" t="e">
        <f t="shared" si="71"/>
        <v>#NUM!</v>
      </c>
      <c r="AC177" s="357" t="e">
        <f t="shared" si="84"/>
        <v>#NUM!</v>
      </c>
      <c r="AD177" s="358" t="e">
        <f t="shared" si="84"/>
        <v>#NUM!</v>
      </c>
      <c r="AE177" s="359" t="e">
        <f t="shared" si="72"/>
        <v>#NUM!</v>
      </c>
    </row>
    <row r="178" spans="2:31" x14ac:dyDescent="0.25">
      <c r="B178" s="354" t="s">
        <v>550</v>
      </c>
      <c r="C178" s="355" t="e">
        <f t="shared" si="61"/>
        <v>#VALUE!</v>
      </c>
      <c r="D178" s="356" t="e">
        <f t="shared" si="62"/>
        <v>#VALUE!</v>
      </c>
      <c r="E178" s="357" t="e">
        <f t="shared" si="81"/>
        <v>#VALUE!</v>
      </c>
      <c r="F178" s="358" t="e">
        <f t="shared" si="81"/>
        <v>#VALUE!</v>
      </c>
      <c r="G178" s="359" t="e">
        <f t="shared" si="64"/>
        <v>#VALUE!</v>
      </c>
      <c r="J178" s="354" t="str">
        <f t="shared" si="60"/>
        <v>M169</v>
      </c>
      <c r="K178" s="355">
        <f t="shared" si="65"/>
        <v>2991.7902459230172</v>
      </c>
      <c r="L178" s="356">
        <f t="shared" si="73"/>
        <v>-983.00653980442303</v>
      </c>
      <c r="M178" s="357">
        <f t="shared" si="82"/>
        <v>272959.57502245385</v>
      </c>
      <c r="N178" s="358">
        <f t="shared" si="82"/>
        <v>66524.871311588635</v>
      </c>
      <c r="O178" s="359">
        <f t="shared" si="67"/>
        <v>-120952.57502245379</v>
      </c>
      <c r="R178" s="354"/>
      <c r="S178" s="355">
        <f t="shared" si="68"/>
        <v>7626.8112231861023</v>
      </c>
      <c r="T178" s="356">
        <f t="shared" si="74"/>
        <v>-188.43759309558899</v>
      </c>
      <c r="U178" s="357">
        <f t="shared" si="83"/>
        <v>700239.32239465672</v>
      </c>
      <c r="V178" s="358">
        <f t="shared" si="83"/>
        <v>556845.82109064015</v>
      </c>
      <c r="W178" s="359">
        <f t="shared" si="69"/>
        <v>-30239.322394656781</v>
      </c>
      <c r="Z178" s="354"/>
      <c r="AA178" s="355" t="e">
        <f t="shared" si="70"/>
        <v>#NUM!</v>
      </c>
      <c r="AB178" s="356" t="e">
        <f t="shared" si="71"/>
        <v>#NUM!</v>
      </c>
      <c r="AC178" s="357" t="e">
        <f t="shared" si="84"/>
        <v>#NUM!</v>
      </c>
      <c r="AD178" s="358" t="e">
        <f t="shared" si="84"/>
        <v>#NUM!</v>
      </c>
      <c r="AE178" s="359" t="e">
        <f t="shared" si="72"/>
        <v>#NUM!</v>
      </c>
    </row>
    <row r="179" spans="2:31" x14ac:dyDescent="0.25">
      <c r="B179" s="354" t="s">
        <v>551</v>
      </c>
      <c r="C179" s="355" t="e">
        <f t="shared" si="61"/>
        <v>#VALUE!</v>
      </c>
      <c r="D179" s="356" t="e">
        <f t="shared" si="62"/>
        <v>#VALUE!</v>
      </c>
      <c r="E179" s="357" t="e">
        <f t="shared" si="81"/>
        <v>#VALUE!</v>
      </c>
      <c r="F179" s="358" t="e">
        <f t="shared" si="81"/>
        <v>#VALUE!</v>
      </c>
      <c r="G179" s="359" t="e">
        <f t="shared" si="64"/>
        <v>#VALUE!</v>
      </c>
      <c r="J179" s="354" t="str">
        <f t="shared" si="60"/>
        <v>M170</v>
      </c>
      <c r="K179" s="355">
        <f t="shared" si="65"/>
        <v>3016.7218313057092</v>
      </c>
      <c r="L179" s="356">
        <f t="shared" si="73"/>
        <v>-1007.9381251871149</v>
      </c>
      <c r="M179" s="357">
        <f t="shared" si="82"/>
        <v>275976.29685375956</v>
      </c>
      <c r="N179" s="358">
        <f t="shared" si="82"/>
        <v>65516.933186401518</v>
      </c>
      <c r="O179" s="359">
        <f t="shared" si="67"/>
        <v>-123969.2968537595</v>
      </c>
      <c r="R179" s="354"/>
      <c r="S179" s="355">
        <f t="shared" si="68"/>
        <v>7690.3679833793194</v>
      </c>
      <c r="T179" s="356">
        <f t="shared" si="74"/>
        <v>-251.99435328880651</v>
      </c>
      <c r="U179" s="357">
        <f t="shared" si="83"/>
        <v>707929.690378036</v>
      </c>
      <c r="V179" s="358">
        <f t="shared" si="83"/>
        <v>556593.82673735137</v>
      </c>
      <c r="W179" s="359">
        <f t="shared" si="69"/>
        <v>-37929.690378036103</v>
      </c>
      <c r="Z179" s="354"/>
      <c r="AA179" s="355" t="e">
        <f t="shared" si="70"/>
        <v>#NUM!</v>
      </c>
      <c r="AB179" s="356" t="e">
        <f t="shared" si="71"/>
        <v>#NUM!</v>
      </c>
      <c r="AC179" s="357" t="e">
        <f t="shared" si="84"/>
        <v>#NUM!</v>
      </c>
      <c r="AD179" s="358" t="e">
        <f t="shared" si="84"/>
        <v>#NUM!</v>
      </c>
      <c r="AE179" s="359" t="e">
        <f t="shared" si="72"/>
        <v>#NUM!</v>
      </c>
    </row>
    <row r="180" spans="2:31" x14ac:dyDescent="0.25">
      <c r="B180" s="354" t="s">
        <v>552</v>
      </c>
      <c r="C180" s="355" t="e">
        <f t="shared" si="61"/>
        <v>#VALUE!</v>
      </c>
      <c r="D180" s="356" t="e">
        <f t="shared" si="62"/>
        <v>#VALUE!</v>
      </c>
      <c r="E180" s="357" t="e">
        <f t="shared" si="81"/>
        <v>#VALUE!</v>
      </c>
      <c r="F180" s="358" t="e">
        <f t="shared" si="81"/>
        <v>#VALUE!</v>
      </c>
      <c r="G180" s="359" t="e">
        <f t="shared" si="64"/>
        <v>#VALUE!</v>
      </c>
      <c r="J180" s="354" t="str">
        <f t="shared" si="60"/>
        <v>M171</v>
      </c>
      <c r="K180" s="355">
        <f t="shared" si="65"/>
        <v>3041.8611798999236</v>
      </c>
      <c r="L180" s="356">
        <f t="shared" si="73"/>
        <v>-1033.0774737813292</v>
      </c>
      <c r="M180" s="357">
        <f t="shared" si="82"/>
        <v>279018.15803365951</v>
      </c>
      <c r="N180" s="358">
        <f t="shared" si="82"/>
        <v>64483.855712620192</v>
      </c>
      <c r="O180" s="359">
        <f t="shared" si="67"/>
        <v>-127011.15803365942</v>
      </c>
      <c r="R180" s="354"/>
      <c r="S180" s="355">
        <f t="shared" si="68"/>
        <v>7754.4543832408135</v>
      </c>
      <c r="T180" s="356">
        <f t="shared" si="74"/>
        <v>-316.08075315030084</v>
      </c>
      <c r="U180" s="357">
        <f t="shared" si="83"/>
        <v>715684.14476127678</v>
      </c>
      <c r="V180" s="358">
        <f t="shared" si="83"/>
        <v>556277.74598420109</v>
      </c>
      <c r="W180" s="359">
        <f t="shared" si="69"/>
        <v>-45684.144761276919</v>
      </c>
      <c r="Z180" s="354"/>
      <c r="AA180" s="355" t="e">
        <f t="shared" si="70"/>
        <v>#NUM!</v>
      </c>
      <c r="AB180" s="356" t="e">
        <f t="shared" si="71"/>
        <v>#NUM!</v>
      </c>
      <c r="AC180" s="357" t="e">
        <f t="shared" si="84"/>
        <v>#NUM!</v>
      </c>
      <c r="AD180" s="358" t="e">
        <f t="shared" si="84"/>
        <v>#NUM!</v>
      </c>
      <c r="AE180" s="359" t="e">
        <f t="shared" si="72"/>
        <v>#NUM!</v>
      </c>
    </row>
    <row r="181" spans="2:31" x14ac:dyDescent="0.25">
      <c r="B181" s="354" t="s">
        <v>553</v>
      </c>
      <c r="C181" s="355" t="e">
        <f t="shared" si="61"/>
        <v>#VALUE!</v>
      </c>
      <c r="D181" s="356" t="e">
        <f t="shared" si="62"/>
        <v>#VALUE!</v>
      </c>
      <c r="E181" s="357" t="e">
        <f t="shared" si="81"/>
        <v>#VALUE!</v>
      </c>
      <c r="F181" s="358" t="e">
        <f t="shared" si="81"/>
        <v>#VALUE!</v>
      </c>
      <c r="G181" s="359" t="e">
        <f t="shared" si="64"/>
        <v>#VALUE!</v>
      </c>
      <c r="J181" s="354" t="str">
        <f t="shared" si="60"/>
        <v>M172</v>
      </c>
      <c r="K181" s="355">
        <f t="shared" si="65"/>
        <v>3067.2100230657561</v>
      </c>
      <c r="L181" s="356">
        <f t="shared" si="73"/>
        <v>-1058.4263169471619</v>
      </c>
      <c r="M181" s="357">
        <f t="shared" si="82"/>
        <v>282085.36805672524</v>
      </c>
      <c r="N181" s="358">
        <f t="shared" si="82"/>
        <v>63425.429395673033</v>
      </c>
      <c r="O181" s="359">
        <f t="shared" si="67"/>
        <v>-130078.36805672517</v>
      </c>
      <c r="R181" s="354"/>
      <c r="S181" s="355">
        <f t="shared" si="68"/>
        <v>7819.0748364344872</v>
      </c>
      <c r="T181" s="356">
        <f t="shared" si="74"/>
        <v>-380.70120634397432</v>
      </c>
      <c r="U181" s="357">
        <f t="shared" si="83"/>
        <v>723503.21959771123</v>
      </c>
      <c r="V181" s="358">
        <f t="shared" si="83"/>
        <v>555897.04477785714</v>
      </c>
      <c r="W181" s="359">
        <f t="shared" si="69"/>
        <v>-53503.219597711402</v>
      </c>
      <c r="Z181" s="354"/>
      <c r="AA181" s="355" t="e">
        <f t="shared" si="70"/>
        <v>#NUM!</v>
      </c>
      <c r="AB181" s="356" t="e">
        <f t="shared" si="71"/>
        <v>#NUM!</v>
      </c>
      <c r="AC181" s="357" t="e">
        <f t="shared" si="84"/>
        <v>#NUM!</v>
      </c>
      <c r="AD181" s="358" t="e">
        <f t="shared" si="84"/>
        <v>#NUM!</v>
      </c>
      <c r="AE181" s="359" t="e">
        <f t="shared" si="72"/>
        <v>#NUM!</v>
      </c>
    </row>
    <row r="182" spans="2:31" x14ac:dyDescent="0.25">
      <c r="B182" s="354" t="s">
        <v>554</v>
      </c>
      <c r="C182" s="355" t="e">
        <f t="shared" si="61"/>
        <v>#VALUE!</v>
      </c>
      <c r="D182" s="356" t="e">
        <f t="shared" si="62"/>
        <v>#VALUE!</v>
      </c>
      <c r="E182" s="357" t="e">
        <f t="shared" si="81"/>
        <v>#VALUE!</v>
      </c>
      <c r="F182" s="358" t="e">
        <f t="shared" si="81"/>
        <v>#VALUE!</v>
      </c>
      <c r="G182" s="359" t="e">
        <f t="shared" si="64"/>
        <v>#VALUE!</v>
      </c>
      <c r="J182" s="354" t="str">
        <f t="shared" si="60"/>
        <v>M173</v>
      </c>
      <c r="K182" s="355">
        <f t="shared" si="65"/>
        <v>3092.7701065913043</v>
      </c>
      <c r="L182" s="356">
        <f t="shared" si="73"/>
        <v>-1083.9864004727096</v>
      </c>
      <c r="M182" s="357">
        <f t="shared" si="82"/>
        <v>285178.13816331653</v>
      </c>
      <c r="N182" s="358">
        <f t="shared" si="82"/>
        <v>62341.442995200327</v>
      </c>
      <c r="O182" s="359">
        <f t="shared" si="67"/>
        <v>-133171.13816331647</v>
      </c>
      <c r="R182" s="354"/>
      <c r="S182" s="355">
        <f t="shared" si="68"/>
        <v>7884.2337934047746</v>
      </c>
      <c r="T182" s="356">
        <f t="shared" si="74"/>
        <v>-445.86016331426168</v>
      </c>
      <c r="U182" s="357">
        <f t="shared" si="83"/>
        <v>731387.453391116</v>
      </c>
      <c r="V182" s="358">
        <f t="shared" si="83"/>
        <v>555451.18461454287</v>
      </c>
      <c r="W182" s="359">
        <f t="shared" si="69"/>
        <v>-61387.453391116178</v>
      </c>
      <c r="Z182" s="354"/>
      <c r="AA182" s="355" t="e">
        <f t="shared" si="70"/>
        <v>#NUM!</v>
      </c>
      <c r="AB182" s="356" t="e">
        <f t="shared" si="71"/>
        <v>#NUM!</v>
      </c>
      <c r="AC182" s="357" t="e">
        <f t="shared" si="84"/>
        <v>#NUM!</v>
      </c>
      <c r="AD182" s="358" t="e">
        <f t="shared" si="84"/>
        <v>#NUM!</v>
      </c>
      <c r="AE182" s="359" t="e">
        <f t="shared" si="72"/>
        <v>#NUM!</v>
      </c>
    </row>
    <row r="183" spans="2:31" x14ac:dyDescent="0.25">
      <c r="B183" s="354" t="s">
        <v>555</v>
      </c>
      <c r="C183" s="355" t="e">
        <f t="shared" si="61"/>
        <v>#VALUE!</v>
      </c>
      <c r="D183" s="356" t="e">
        <f t="shared" si="62"/>
        <v>#VALUE!</v>
      </c>
      <c r="E183" s="357" t="e">
        <f t="shared" si="81"/>
        <v>#VALUE!</v>
      </c>
      <c r="F183" s="358" t="e">
        <f t="shared" si="81"/>
        <v>#VALUE!</v>
      </c>
      <c r="G183" s="359" t="e">
        <f t="shared" si="64"/>
        <v>#VALUE!</v>
      </c>
      <c r="J183" s="354" t="str">
        <f t="shared" si="60"/>
        <v>M174</v>
      </c>
      <c r="K183" s="355">
        <f t="shared" si="65"/>
        <v>3118.5431908128985</v>
      </c>
      <c r="L183" s="356">
        <f t="shared" si="73"/>
        <v>-1109.7594846943039</v>
      </c>
      <c r="M183" s="357">
        <f t="shared" si="82"/>
        <v>288296.68135412945</v>
      </c>
      <c r="N183" s="358">
        <f t="shared" si="82"/>
        <v>61231.683510506024</v>
      </c>
      <c r="O183" s="359">
        <f t="shared" si="67"/>
        <v>-136289.68135412937</v>
      </c>
      <c r="R183" s="354"/>
      <c r="S183" s="355">
        <f t="shared" si="68"/>
        <v>7949.9357416831481</v>
      </c>
      <c r="T183" s="356">
        <f t="shared" si="74"/>
        <v>-511.56211159263484</v>
      </c>
      <c r="U183" s="357">
        <f t="shared" si="83"/>
        <v>739337.38913279912</v>
      </c>
      <c r="V183" s="358">
        <f t="shared" si="83"/>
        <v>554939.62250295025</v>
      </c>
      <c r="W183" s="359">
        <f t="shared" si="69"/>
        <v>-69337.389132799319</v>
      </c>
      <c r="Z183" s="354"/>
      <c r="AA183" s="355" t="e">
        <f t="shared" si="70"/>
        <v>#NUM!</v>
      </c>
      <c r="AB183" s="356" t="e">
        <f t="shared" si="71"/>
        <v>#NUM!</v>
      </c>
      <c r="AC183" s="357" t="e">
        <f t="shared" si="84"/>
        <v>#NUM!</v>
      </c>
      <c r="AD183" s="358" t="e">
        <f t="shared" si="84"/>
        <v>#NUM!</v>
      </c>
      <c r="AE183" s="359" t="e">
        <f t="shared" si="72"/>
        <v>#NUM!</v>
      </c>
    </row>
    <row r="184" spans="2:31" x14ac:dyDescent="0.25">
      <c r="B184" s="354" t="s">
        <v>556</v>
      </c>
      <c r="C184" s="355" t="e">
        <f t="shared" si="61"/>
        <v>#VALUE!</v>
      </c>
      <c r="D184" s="356" t="e">
        <f t="shared" si="62"/>
        <v>#VALUE!</v>
      </c>
      <c r="E184" s="357" t="e">
        <f t="shared" si="81"/>
        <v>#VALUE!</v>
      </c>
      <c r="F184" s="358" t="e">
        <f t="shared" si="81"/>
        <v>#VALUE!</v>
      </c>
      <c r="G184" s="359" t="e">
        <f t="shared" si="64"/>
        <v>#VALUE!</v>
      </c>
      <c r="J184" s="354" t="str">
        <f t="shared" si="60"/>
        <v>M175</v>
      </c>
      <c r="K184" s="355">
        <f t="shared" si="65"/>
        <v>3144.5310507363392</v>
      </c>
      <c r="L184" s="356">
        <f t="shared" si="73"/>
        <v>-1135.7473446177446</v>
      </c>
      <c r="M184" s="357">
        <f t="shared" si="82"/>
        <v>291441.21240486577</v>
      </c>
      <c r="N184" s="358">
        <f t="shared" si="82"/>
        <v>60095.936165888277</v>
      </c>
      <c r="O184" s="359">
        <f t="shared" si="67"/>
        <v>-139434.21240486571</v>
      </c>
      <c r="R184" s="354"/>
      <c r="S184" s="355">
        <f t="shared" si="68"/>
        <v>8016.185206197174</v>
      </c>
      <c r="T184" s="356">
        <f t="shared" si="74"/>
        <v>-577.81157610666094</v>
      </c>
      <c r="U184" s="357">
        <f t="shared" si="83"/>
        <v>747353.57433899632</v>
      </c>
      <c r="V184" s="358">
        <f t="shared" si="83"/>
        <v>554361.81092684355</v>
      </c>
      <c r="W184" s="359">
        <f t="shared" si="69"/>
        <v>-77353.574338996492</v>
      </c>
      <c r="Z184" s="354"/>
      <c r="AA184" s="355" t="e">
        <f t="shared" si="70"/>
        <v>#NUM!</v>
      </c>
      <c r="AB184" s="356" t="e">
        <f t="shared" si="71"/>
        <v>#NUM!</v>
      </c>
      <c r="AC184" s="357" t="e">
        <f t="shared" si="84"/>
        <v>#NUM!</v>
      </c>
      <c r="AD184" s="358" t="e">
        <f t="shared" si="84"/>
        <v>#NUM!</v>
      </c>
      <c r="AE184" s="359" t="e">
        <f t="shared" si="72"/>
        <v>#NUM!</v>
      </c>
    </row>
    <row r="185" spans="2:31" x14ac:dyDescent="0.25">
      <c r="B185" s="354" t="s">
        <v>557</v>
      </c>
      <c r="C185" s="355" t="e">
        <f t="shared" si="61"/>
        <v>#VALUE!</v>
      </c>
      <c r="D185" s="356" t="e">
        <f t="shared" si="62"/>
        <v>#VALUE!</v>
      </c>
      <c r="E185" s="357" t="e">
        <f t="shared" si="81"/>
        <v>#VALUE!</v>
      </c>
      <c r="F185" s="358" t="e">
        <f t="shared" si="81"/>
        <v>#VALUE!</v>
      </c>
      <c r="G185" s="359" t="e">
        <f t="shared" si="64"/>
        <v>#VALUE!</v>
      </c>
      <c r="J185" s="354" t="str">
        <f t="shared" si="60"/>
        <v>M176</v>
      </c>
      <c r="K185" s="355">
        <f t="shared" si="65"/>
        <v>3170.7354761591423</v>
      </c>
      <c r="L185" s="356">
        <f t="shared" si="73"/>
        <v>-1161.9517700405477</v>
      </c>
      <c r="M185" s="357">
        <f t="shared" si="82"/>
        <v>294611.94788102491</v>
      </c>
      <c r="N185" s="358">
        <f t="shared" si="82"/>
        <v>58933.984395847729</v>
      </c>
      <c r="O185" s="359">
        <f t="shared" si="67"/>
        <v>-142604.94788102485</v>
      </c>
      <c r="R185" s="354"/>
      <c r="S185" s="355">
        <f t="shared" si="68"/>
        <v>8082.9867495821509</v>
      </c>
      <c r="T185" s="356">
        <f t="shared" si="74"/>
        <v>-644.61311949163746</v>
      </c>
      <c r="U185" s="357">
        <f t="shared" si="83"/>
        <v>755436.56108857843</v>
      </c>
      <c r="V185" s="358">
        <f t="shared" si="83"/>
        <v>553717.19780735194</v>
      </c>
      <c r="W185" s="359">
        <f t="shared" si="69"/>
        <v>-85436.561088578645</v>
      </c>
      <c r="Z185" s="354"/>
      <c r="AA185" s="355" t="e">
        <f t="shared" si="70"/>
        <v>#NUM!</v>
      </c>
      <c r="AB185" s="356" t="e">
        <f t="shared" si="71"/>
        <v>#NUM!</v>
      </c>
      <c r="AC185" s="357" t="e">
        <f t="shared" si="84"/>
        <v>#NUM!</v>
      </c>
      <c r="AD185" s="358" t="e">
        <f t="shared" si="84"/>
        <v>#NUM!</v>
      </c>
      <c r="AE185" s="359" t="e">
        <f t="shared" si="72"/>
        <v>#NUM!</v>
      </c>
    </row>
    <row r="186" spans="2:31" x14ac:dyDescent="0.25">
      <c r="B186" s="354" t="s">
        <v>558</v>
      </c>
      <c r="C186" s="355" t="e">
        <f t="shared" si="61"/>
        <v>#VALUE!</v>
      </c>
      <c r="D186" s="356" t="e">
        <f t="shared" si="62"/>
        <v>#VALUE!</v>
      </c>
      <c r="E186" s="357" t="e">
        <f t="shared" si="81"/>
        <v>#VALUE!</v>
      </c>
      <c r="F186" s="358" t="e">
        <f t="shared" si="81"/>
        <v>#VALUE!</v>
      </c>
      <c r="G186" s="359" t="e">
        <f t="shared" si="64"/>
        <v>#VALUE!</v>
      </c>
      <c r="J186" s="354" t="str">
        <f t="shared" si="60"/>
        <v>M177</v>
      </c>
      <c r="K186" s="355">
        <f t="shared" si="65"/>
        <v>3197.1582717938018</v>
      </c>
      <c r="L186" s="356">
        <f t="shared" si="73"/>
        <v>-1188.3745656752071</v>
      </c>
      <c r="M186" s="357">
        <f t="shared" si="82"/>
        <v>297809.10615281871</v>
      </c>
      <c r="N186" s="358">
        <f t="shared" si="82"/>
        <v>57745.609830172521</v>
      </c>
      <c r="O186" s="359">
        <f t="shared" si="67"/>
        <v>-145802.10615281865</v>
      </c>
      <c r="R186" s="354"/>
      <c r="S186" s="355">
        <f t="shared" si="68"/>
        <v>8150.3449724953352</v>
      </c>
      <c r="T186" s="356">
        <f t="shared" si="74"/>
        <v>-711.97134240482205</v>
      </c>
      <c r="U186" s="357">
        <f t="shared" si="83"/>
        <v>763586.90606107377</v>
      </c>
      <c r="V186" s="358">
        <f t="shared" si="83"/>
        <v>553005.2264649471</v>
      </c>
      <c r="W186" s="359">
        <f t="shared" si="69"/>
        <v>-93586.906061073983</v>
      </c>
      <c r="Z186" s="354"/>
      <c r="AA186" s="355" t="e">
        <f t="shared" si="70"/>
        <v>#NUM!</v>
      </c>
      <c r="AB186" s="356" t="e">
        <f t="shared" si="71"/>
        <v>#NUM!</v>
      </c>
      <c r="AC186" s="357" t="e">
        <f t="shared" si="84"/>
        <v>#NUM!</v>
      </c>
      <c r="AD186" s="358" t="e">
        <f t="shared" si="84"/>
        <v>#NUM!</v>
      </c>
      <c r="AE186" s="359" t="e">
        <f t="shared" si="72"/>
        <v>#NUM!</v>
      </c>
    </row>
    <row r="187" spans="2:31" x14ac:dyDescent="0.25">
      <c r="B187" s="354" t="s">
        <v>559</v>
      </c>
      <c r="C187" s="355" t="e">
        <f t="shared" si="61"/>
        <v>#VALUE!</v>
      </c>
      <c r="D187" s="356" t="e">
        <f t="shared" si="62"/>
        <v>#VALUE!</v>
      </c>
      <c r="E187" s="357" t="e">
        <f t="shared" si="81"/>
        <v>#VALUE!</v>
      </c>
      <c r="F187" s="358" t="e">
        <f t="shared" si="81"/>
        <v>#VALUE!</v>
      </c>
      <c r="G187" s="359" t="e">
        <f t="shared" si="64"/>
        <v>#VALUE!</v>
      </c>
      <c r="J187" s="354" t="str">
        <f t="shared" si="60"/>
        <v>M178</v>
      </c>
      <c r="K187" s="355">
        <f t="shared" si="65"/>
        <v>3223.8012573920832</v>
      </c>
      <c r="L187" s="356">
        <f t="shared" si="73"/>
        <v>-1215.0175512734888</v>
      </c>
      <c r="M187" s="357">
        <f t="shared" si="82"/>
        <v>301032.90741021081</v>
      </c>
      <c r="N187" s="358">
        <f t="shared" si="82"/>
        <v>56530.592278899036</v>
      </c>
      <c r="O187" s="359">
        <f t="shared" si="67"/>
        <v>-149025.90741021073</v>
      </c>
      <c r="R187" s="354"/>
      <c r="S187" s="355">
        <f t="shared" si="68"/>
        <v>8218.264513932796</v>
      </c>
      <c r="T187" s="356">
        <f t="shared" si="74"/>
        <v>-779.89088384228319</v>
      </c>
      <c r="U187" s="357">
        <f t="shared" si="83"/>
        <v>771805.17057500652</v>
      </c>
      <c r="V187" s="358">
        <f t="shared" si="83"/>
        <v>552225.33558110485</v>
      </c>
      <c r="W187" s="359">
        <f t="shared" si="69"/>
        <v>-101805.17057500678</v>
      </c>
      <c r="Z187" s="354"/>
      <c r="AA187" s="355" t="e">
        <f t="shared" si="70"/>
        <v>#NUM!</v>
      </c>
      <c r="AB187" s="356" t="e">
        <f t="shared" si="71"/>
        <v>#NUM!</v>
      </c>
      <c r="AC187" s="357" t="e">
        <f t="shared" si="84"/>
        <v>#NUM!</v>
      </c>
      <c r="AD187" s="358" t="e">
        <f t="shared" si="84"/>
        <v>#NUM!</v>
      </c>
      <c r="AE187" s="359" t="e">
        <f t="shared" si="72"/>
        <v>#NUM!</v>
      </c>
    </row>
    <row r="188" spans="2:31" x14ac:dyDescent="0.25">
      <c r="B188" s="354" t="s">
        <v>560</v>
      </c>
      <c r="C188" s="355" t="e">
        <f t="shared" si="61"/>
        <v>#VALUE!</v>
      </c>
      <c r="D188" s="356" t="e">
        <f t="shared" si="62"/>
        <v>#VALUE!</v>
      </c>
      <c r="E188" s="357" t="e">
        <f t="shared" ref="E188:F203" si="85">E187+C188</f>
        <v>#VALUE!</v>
      </c>
      <c r="F188" s="358" t="e">
        <f t="shared" si="85"/>
        <v>#VALUE!</v>
      </c>
      <c r="G188" s="359" t="e">
        <f t="shared" si="64"/>
        <v>#VALUE!</v>
      </c>
      <c r="J188" s="354" t="str">
        <f t="shared" si="60"/>
        <v>M179</v>
      </c>
      <c r="K188" s="355">
        <f t="shared" si="65"/>
        <v>3250.6662678703506</v>
      </c>
      <c r="L188" s="356">
        <f t="shared" si="73"/>
        <v>-1241.8825617517559</v>
      </c>
      <c r="M188" s="357">
        <f t="shared" ref="M188:N203" si="86">M187+K188</f>
        <v>304283.57367808116</v>
      </c>
      <c r="N188" s="358">
        <f t="shared" si="86"/>
        <v>55288.709717147278</v>
      </c>
      <c r="O188" s="359">
        <f t="shared" si="67"/>
        <v>-152276.57367808107</v>
      </c>
      <c r="R188" s="354"/>
      <c r="S188" s="355">
        <f t="shared" si="68"/>
        <v>8286.7500515489028</v>
      </c>
      <c r="T188" s="356">
        <f t="shared" si="74"/>
        <v>-848.37642145838981</v>
      </c>
      <c r="U188" s="357">
        <f t="shared" si="83"/>
        <v>780091.92062655545</v>
      </c>
      <c r="V188" s="358">
        <f t="shared" si="83"/>
        <v>551376.95915964642</v>
      </c>
      <c r="W188" s="359">
        <f t="shared" si="69"/>
        <v>-110091.92062655569</v>
      </c>
      <c r="Z188" s="354"/>
      <c r="AA188" s="355" t="e">
        <f t="shared" si="70"/>
        <v>#NUM!</v>
      </c>
      <c r="AB188" s="356" t="e">
        <f t="shared" si="71"/>
        <v>#NUM!</v>
      </c>
      <c r="AC188" s="357" t="e">
        <f t="shared" si="84"/>
        <v>#NUM!</v>
      </c>
      <c r="AD188" s="358" t="e">
        <f t="shared" si="84"/>
        <v>#NUM!</v>
      </c>
      <c r="AE188" s="359" t="e">
        <f t="shared" si="72"/>
        <v>#NUM!</v>
      </c>
    </row>
    <row r="189" spans="2:31" x14ac:dyDescent="0.25">
      <c r="B189" s="354" t="s">
        <v>561</v>
      </c>
      <c r="C189" s="355" t="e">
        <f t="shared" si="61"/>
        <v>#VALUE!</v>
      </c>
      <c r="D189" s="356" t="e">
        <f t="shared" si="62"/>
        <v>#VALUE!</v>
      </c>
      <c r="E189" s="357" t="e">
        <f t="shared" si="85"/>
        <v>#VALUE!</v>
      </c>
      <c r="F189" s="358" t="e">
        <f t="shared" si="85"/>
        <v>#VALUE!</v>
      </c>
      <c r="G189" s="359" t="e">
        <f t="shared" si="64"/>
        <v>#VALUE!</v>
      </c>
      <c r="J189" s="354" t="str">
        <f t="shared" si="60"/>
        <v>M180</v>
      </c>
      <c r="K189" s="355">
        <f t="shared" si="65"/>
        <v>3277.7551534359363</v>
      </c>
      <c r="L189" s="356">
        <f t="shared" si="73"/>
        <v>-1268.9714473173422</v>
      </c>
      <c r="M189" s="357">
        <f t="shared" si="86"/>
        <v>307561.32883151708</v>
      </c>
      <c r="N189" s="358">
        <f t="shared" si="86"/>
        <v>54019.738269829933</v>
      </c>
      <c r="O189" s="359">
        <f t="shared" si="67"/>
        <v>-155554.32883151699</v>
      </c>
      <c r="R189" s="354"/>
      <c r="S189" s="355">
        <f t="shared" si="68"/>
        <v>8355.8063019784768</v>
      </c>
      <c r="T189" s="356">
        <f t="shared" si="74"/>
        <v>-917.43267188796403</v>
      </c>
      <c r="U189" s="357">
        <f t="shared" si="83"/>
        <v>788447.72692853399</v>
      </c>
      <c r="V189" s="358">
        <f t="shared" si="83"/>
        <v>550459.5264877585</v>
      </c>
      <c r="W189" s="359">
        <f t="shared" si="69"/>
        <v>-118447.72692853416</v>
      </c>
      <c r="Z189" s="354"/>
      <c r="AA189" s="355" t="e">
        <f t="shared" si="70"/>
        <v>#NUM!</v>
      </c>
      <c r="AB189" s="356" t="e">
        <f t="shared" si="71"/>
        <v>#NUM!</v>
      </c>
      <c r="AC189" s="357" t="e">
        <f t="shared" si="84"/>
        <v>#NUM!</v>
      </c>
      <c r="AD189" s="358" t="e">
        <f t="shared" si="84"/>
        <v>#NUM!</v>
      </c>
      <c r="AE189" s="359" t="e">
        <f t="shared" si="72"/>
        <v>#NUM!</v>
      </c>
    </row>
    <row r="190" spans="2:31" x14ac:dyDescent="0.25">
      <c r="B190" s="354" t="s">
        <v>562</v>
      </c>
      <c r="C190" s="355" t="e">
        <f t="shared" si="61"/>
        <v>#VALUE!</v>
      </c>
      <c r="D190" s="356" t="e">
        <f t="shared" si="62"/>
        <v>#VALUE!</v>
      </c>
      <c r="E190" s="357" t="e">
        <f t="shared" si="85"/>
        <v>#VALUE!</v>
      </c>
      <c r="F190" s="358" t="e">
        <f t="shared" si="85"/>
        <v>#VALUE!</v>
      </c>
      <c r="G190" s="359" t="e">
        <f t="shared" si="64"/>
        <v>#VALUE!</v>
      </c>
      <c r="J190" s="354" t="str">
        <f t="shared" si="60"/>
        <v>M181</v>
      </c>
      <c r="K190" s="355">
        <f t="shared" si="65"/>
        <v>3305.0697797145694</v>
      </c>
      <c r="L190" s="356">
        <f t="shared" si="73"/>
        <v>-1296.2860735959748</v>
      </c>
      <c r="M190" s="357">
        <f t="shared" si="86"/>
        <v>310866.39861123165</v>
      </c>
      <c r="N190" s="358">
        <f t="shared" si="86"/>
        <v>52723.452196233957</v>
      </c>
      <c r="O190" s="359">
        <f t="shared" si="67"/>
        <v>-158859.39861123156</v>
      </c>
      <c r="R190" s="354"/>
      <c r="S190" s="355">
        <f t="shared" si="68"/>
        <v>8425.4380211616317</v>
      </c>
      <c r="T190" s="356">
        <f t="shared" si="74"/>
        <v>-987.06439107111794</v>
      </c>
      <c r="U190" s="357">
        <f t="shared" si="83"/>
        <v>796873.16494969558</v>
      </c>
      <c r="V190" s="358">
        <f t="shared" si="83"/>
        <v>549472.46209668741</v>
      </c>
      <c r="W190" s="359">
        <f t="shared" si="69"/>
        <v>-126873.1649496958</v>
      </c>
      <c r="Z190" s="354"/>
      <c r="AA190" s="355" t="e">
        <f t="shared" si="70"/>
        <v>#NUM!</v>
      </c>
      <c r="AB190" s="356" t="e">
        <f t="shared" si="71"/>
        <v>#NUM!</v>
      </c>
      <c r="AC190" s="357" t="e">
        <f t="shared" si="84"/>
        <v>#NUM!</v>
      </c>
      <c r="AD190" s="358" t="e">
        <f t="shared" si="84"/>
        <v>#NUM!</v>
      </c>
      <c r="AE190" s="359" t="e">
        <f t="shared" si="72"/>
        <v>#NUM!</v>
      </c>
    </row>
    <row r="191" spans="2:31" x14ac:dyDescent="0.25">
      <c r="B191" s="354" t="s">
        <v>563</v>
      </c>
      <c r="C191" s="355" t="e">
        <f t="shared" si="61"/>
        <v>#VALUE!</v>
      </c>
      <c r="D191" s="356" t="e">
        <f t="shared" si="62"/>
        <v>#VALUE!</v>
      </c>
      <c r="E191" s="357" t="e">
        <f t="shared" si="85"/>
        <v>#VALUE!</v>
      </c>
      <c r="F191" s="358" t="e">
        <f t="shared" si="85"/>
        <v>#VALUE!</v>
      </c>
      <c r="G191" s="359" t="e">
        <f t="shared" si="64"/>
        <v>#VALUE!</v>
      </c>
      <c r="J191" s="354" t="str">
        <f t="shared" si="60"/>
        <v>M182</v>
      </c>
      <c r="K191" s="355">
        <f t="shared" si="65"/>
        <v>3332.6120278788576</v>
      </c>
      <c r="L191" s="356">
        <f t="shared" si="73"/>
        <v>-1323.828321760263</v>
      </c>
      <c r="M191" s="357">
        <f t="shared" si="86"/>
        <v>314199.01063911052</v>
      </c>
      <c r="N191" s="358">
        <f t="shared" si="86"/>
        <v>51399.623874473691</v>
      </c>
      <c r="O191" s="359">
        <f t="shared" si="67"/>
        <v>-162192.01063911041</v>
      </c>
      <c r="R191" s="354"/>
      <c r="S191" s="355">
        <f t="shared" si="68"/>
        <v>8495.6500046713118</v>
      </c>
      <c r="T191" s="356">
        <f t="shared" si="74"/>
        <v>-1057.2763745807983</v>
      </c>
      <c r="U191" s="357">
        <f t="shared" si="83"/>
        <v>805368.81495436688</v>
      </c>
      <c r="V191" s="358">
        <f t="shared" si="83"/>
        <v>548415.1857221066</v>
      </c>
      <c r="W191" s="359">
        <f t="shared" si="69"/>
        <v>-135368.81495436712</v>
      </c>
      <c r="Z191" s="354"/>
      <c r="AA191" s="355" t="e">
        <f t="shared" si="70"/>
        <v>#NUM!</v>
      </c>
      <c r="AB191" s="356" t="e">
        <f t="shared" si="71"/>
        <v>#NUM!</v>
      </c>
      <c r="AC191" s="357" t="e">
        <f t="shared" si="84"/>
        <v>#NUM!</v>
      </c>
      <c r="AD191" s="358" t="e">
        <f t="shared" si="84"/>
        <v>#NUM!</v>
      </c>
      <c r="AE191" s="359" t="e">
        <f t="shared" si="72"/>
        <v>#NUM!</v>
      </c>
    </row>
    <row r="192" spans="2:31" x14ac:dyDescent="0.25">
      <c r="B192" s="354" t="s">
        <v>564</v>
      </c>
      <c r="C192" s="355" t="e">
        <f t="shared" si="61"/>
        <v>#VALUE!</v>
      </c>
      <c r="D192" s="356" t="e">
        <f t="shared" si="62"/>
        <v>#VALUE!</v>
      </c>
      <c r="E192" s="357" t="e">
        <f t="shared" si="85"/>
        <v>#VALUE!</v>
      </c>
      <c r="F192" s="358" t="e">
        <f t="shared" si="85"/>
        <v>#VALUE!</v>
      </c>
      <c r="G192" s="359" t="e">
        <f t="shared" si="64"/>
        <v>#VALUE!</v>
      </c>
      <c r="J192" s="354" t="str">
        <f t="shared" si="60"/>
        <v>M183</v>
      </c>
      <c r="K192" s="355">
        <f t="shared" si="65"/>
        <v>3360.3837947778475</v>
      </c>
      <c r="L192" s="356">
        <f t="shared" si="73"/>
        <v>-1351.6000886592533</v>
      </c>
      <c r="M192" s="357">
        <f t="shared" si="86"/>
        <v>317559.39443388837</v>
      </c>
      <c r="N192" s="358">
        <f t="shared" si="86"/>
        <v>50048.023785814439</v>
      </c>
      <c r="O192" s="359">
        <f t="shared" si="67"/>
        <v>-165552.39443388826</v>
      </c>
      <c r="R192" s="354"/>
      <c r="S192" s="355">
        <f t="shared" si="68"/>
        <v>8566.4470880435729</v>
      </c>
      <c r="T192" s="356">
        <f t="shared" si="74"/>
        <v>-1128.0734579530592</v>
      </c>
      <c r="U192" s="357">
        <f t="shared" ref="U192:V207" si="87">U191+S192</f>
        <v>813935.26204241044</v>
      </c>
      <c r="V192" s="358">
        <f t="shared" si="87"/>
        <v>547287.11226415355</v>
      </c>
      <c r="W192" s="359">
        <f t="shared" si="69"/>
        <v>-143935.2620424107</v>
      </c>
      <c r="Z192" s="354"/>
      <c r="AA192" s="355" t="e">
        <f t="shared" si="70"/>
        <v>#NUM!</v>
      </c>
      <c r="AB192" s="356" t="e">
        <f t="shared" si="71"/>
        <v>#NUM!</v>
      </c>
      <c r="AC192" s="357" t="e">
        <f t="shared" ref="AC192:AD207" si="88">AC191+AA192</f>
        <v>#NUM!</v>
      </c>
      <c r="AD192" s="358" t="e">
        <f t="shared" si="88"/>
        <v>#NUM!</v>
      </c>
      <c r="AE192" s="359" t="e">
        <f t="shared" si="72"/>
        <v>#NUM!</v>
      </c>
    </row>
    <row r="193" spans="2:31" x14ac:dyDescent="0.25">
      <c r="B193" s="354" t="s">
        <v>565</v>
      </c>
      <c r="C193" s="355" t="e">
        <f t="shared" si="61"/>
        <v>#VALUE!</v>
      </c>
      <c r="D193" s="356" t="e">
        <f t="shared" si="62"/>
        <v>#VALUE!</v>
      </c>
      <c r="E193" s="357" t="e">
        <f t="shared" si="85"/>
        <v>#VALUE!</v>
      </c>
      <c r="F193" s="358" t="e">
        <f t="shared" si="85"/>
        <v>#VALUE!</v>
      </c>
      <c r="G193" s="359" t="e">
        <f t="shared" si="64"/>
        <v>#VALUE!</v>
      </c>
      <c r="J193" s="354" t="str">
        <f t="shared" si="60"/>
        <v>M184</v>
      </c>
      <c r="K193" s="355">
        <f t="shared" si="65"/>
        <v>3388.3869930676633</v>
      </c>
      <c r="L193" s="356">
        <f t="shared" si="73"/>
        <v>-1379.6032869490689</v>
      </c>
      <c r="M193" s="357">
        <f t="shared" si="86"/>
        <v>320947.78142695606</v>
      </c>
      <c r="N193" s="358">
        <f t="shared" si="86"/>
        <v>48668.420498865373</v>
      </c>
      <c r="O193" s="359">
        <f t="shared" si="67"/>
        <v>-168940.78142695592</v>
      </c>
      <c r="R193" s="354"/>
      <c r="S193" s="355">
        <f t="shared" si="68"/>
        <v>8637.8341471106014</v>
      </c>
      <c r="T193" s="356">
        <f t="shared" si="74"/>
        <v>-1199.4605170200891</v>
      </c>
      <c r="U193" s="357">
        <f t="shared" si="87"/>
        <v>822573.09618952102</v>
      </c>
      <c r="V193" s="358">
        <f t="shared" si="87"/>
        <v>546087.65174713347</v>
      </c>
      <c r="W193" s="359">
        <f t="shared" si="69"/>
        <v>-152573.09618952131</v>
      </c>
      <c r="Z193" s="354"/>
      <c r="AA193" s="355" t="e">
        <f t="shared" si="70"/>
        <v>#NUM!</v>
      </c>
      <c r="AB193" s="356" t="e">
        <f t="shared" si="71"/>
        <v>#NUM!</v>
      </c>
      <c r="AC193" s="357" t="e">
        <f t="shared" si="88"/>
        <v>#NUM!</v>
      </c>
      <c r="AD193" s="358" t="e">
        <f t="shared" si="88"/>
        <v>#NUM!</v>
      </c>
      <c r="AE193" s="359" t="e">
        <f t="shared" si="72"/>
        <v>#NUM!</v>
      </c>
    </row>
    <row r="194" spans="2:31" x14ac:dyDescent="0.25">
      <c r="B194" s="354" t="s">
        <v>566</v>
      </c>
      <c r="C194" s="355" t="e">
        <f t="shared" si="61"/>
        <v>#VALUE!</v>
      </c>
      <c r="D194" s="356" t="e">
        <f t="shared" si="62"/>
        <v>#VALUE!</v>
      </c>
      <c r="E194" s="357" t="e">
        <f t="shared" si="85"/>
        <v>#VALUE!</v>
      </c>
      <c r="F194" s="358" t="e">
        <f t="shared" si="85"/>
        <v>#VALUE!</v>
      </c>
      <c r="G194" s="359" t="e">
        <f t="shared" si="64"/>
        <v>#VALUE!</v>
      </c>
      <c r="J194" s="354" t="str">
        <f t="shared" si="60"/>
        <v>M185</v>
      </c>
      <c r="K194" s="355">
        <f t="shared" si="65"/>
        <v>3416.6235513432271</v>
      </c>
      <c r="L194" s="356">
        <f t="shared" si="73"/>
        <v>-1407.8398452246327</v>
      </c>
      <c r="M194" s="357">
        <f t="shared" si="86"/>
        <v>324364.40497829928</v>
      </c>
      <c r="N194" s="358">
        <f t="shared" si="86"/>
        <v>47260.58065364074</v>
      </c>
      <c r="O194" s="359">
        <f t="shared" si="67"/>
        <v>-172357.40497829914</v>
      </c>
      <c r="R194" s="354"/>
      <c r="S194" s="355">
        <f t="shared" si="68"/>
        <v>8709.8160983365233</v>
      </c>
      <c r="T194" s="356">
        <f t="shared" si="74"/>
        <v>-1271.442468246011</v>
      </c>
      <c r="U194" s="357">
        <f t="shared" si="87"/>
        <v>831282.9122878575</v>
      </c>
      <c r="V194" s="358">
        <f t="shared" si="87"/>
        <v>544816.20927888749</v>
      </c>
      <c r="W194" s="359">
        <f t="shared" si="69"/>
        <v>-161282.91228785785</v>
      </c>
      <c r="Z194" s="354"/>
      <c r="AA194" s="355" t="e">
        <f t="shared" si="70"/>
        <v>#NUM!</v>
      </c>
      <c r="AB194" s="356" t="e">
        <f t="shared" si="71"/>
        <v>#NUM!</v>
      </c>
      <c r="AC194" s="357" t="e">
        <f t="shared" si="88"/>
        <v>#NUM!</v>
      </c>
      <c r="AD194" s="358" t="e">
        <f t="shared" si="88"/>
        <v>#NUM!</v>
      </c>
      <c r="AE194" s="359" t="e">
        <f t="shared" si="72"/>
        <v>#NUM!</v>
      </c>
    </row>
    <row r="195" spans="2:31" x14ac:dyDescent="0.25">
      <c r="B195" s="354" t="s">
        <v>567</v>
      </c>
      <c r="C195" s="355" t="e">
        <f t="shared" si="61"/>
        <v>#VALUE!</v>
      </c>
      <c r="D195" s="356" t="e">
        <f t="shared" si="62"/>
        <v>#VALUE!</v>
      </c>
      <c r="E195" s="357" t="e">
        <f t="shared" si="85"/>
        <v>#VALUE!</v>
      </c>
      <c r="F195" s="358" t="e">
        <f t="shared" si="85"/>
        <v>#VALUE!</v>
      </c>
      <c r="G195" s="359" t="e">
        <f t="shared" si="64"/>
        <v>#VALUE!</v>
      </c>
      <c r="J195" s="354" t="str">
        <f t="shared" si="60"/>
        <v>M186</v>
      </c>
      <c r="K195" s="355">
        <f t="shared" si="65"/>
        <v>3445.0954142710871</v>
      </c>
      <c r="L195" s="356">
        <f t="shared" si="73"/>
        <v>-1436.3117081524929</v>
      </c>
      <c r="M195" s="357">
        <f t="shared" si="86"/>
        <v>327809.50039257039</v>
      </c>
      <c r="N195" s="358">
        <f t="shared" si="86"/>
        <v>45824.268945488249</v>
      </c>
      <c r="O195" s="359">
        <f t="shared" si="67"/>
        <v>-175802.50039257022</v>
      </c>
      <c r="R195" s="354"/>
      <c r="S195" s="355">
        <f t="shared" si="68"/>
        <v>8782.3978991559943</v>
      </c>
      <c r="T195" s="356">
        <f t="shared" si="74"/>
        <v>-1344.024269065482</v>
      </c>
      <c r="U195" s="357">
        <f t="shared" si="87"/>
        <v>840065.31018701347</v>
      </c>
      <c r="V195" s="358">
        <f t="shared" si="87"/>
        <v>543472.18500982202</v>
      </c>
      <c r="W195" s="359">
        <f t="shared" si="69"/>
        <v>-170065.31018701385</v>
      </c>
      <c r="Z195" s="354"/>
      <c r="AA195" s="355" t="e">
        <f t="shared" si="70"/>
        <v>#NUM!</v>
      </c>
      <c r="AB195" s="356" t="e">
        <f t="shared" si="71"/>
        <v>#NUM!</v>
      </c>
      <c r="AC195" s="357" t="e">
        <f t="shared" si="88"/>
        <v>#NUM!</v>
      </c>
      <c r="AD195" s="358" t="e">
        <f t="shared" si="88"/>
        <v>#NUM!</v>
      </c>
      <c r="AE195" s="359" t="e">
        <f t="shared" si="72"/>
        <v>#NUM!</v>
      </c>
    </row>
    <row r="196" spans="2:31" x14ac:dyDescent="0.25">
      <c r="B196" s="354" t="s">
        <v>568</v>
      </c>
      <c r="C196" s="355" t="e">
        <f t="shared" si="61"/>
        <v>#VALUE!</v>
      </c>
      <c r="D196" s="356" t="e">
        <f t="shared" si="62"/>
        <v>#VALUE!</v>
      </c>
      <c r="E196" s="357" t="e">
        <f t="shared" si="85"/>
        <v>#VALUE!</v>
      </c>
      <c r="F196" s="358" t="e">
        <f t="shared" si="85"/>
        <v>#VALUE!</v>
      </c>
      <c r="G196" s="359" t="e">
        <f t="shared" si="64"/>
        <v>#VALUE!</v>
      </c>
      <c r="J196" s="354" t="str">
        <f t="shared" si="60"/>
        <v>M187</v>
      </c>
      <c r="K196" s="355">
        <f t="shared" si="65"/>
        <v>3473.8045427233465</v>
      </c>
      <c r="L196" s="356">
        <f t="shared" si="73"/>
        <v>-1465.0208366047518</v>
      </c>
      <c r="M196" s="357">
        <f t="shared" si="86"/>
        <v>331283.30493529374</v>
      </c>
      <c r="N196" s="358">
        <f t="shared" si="86"/>
        <v>44359.248108883497</v>
      </c>
      <c r="O196" s="359">
        <f t="shared" si="67"/>
        <v>-179276.30493529356</v>
      </c>
      <c r="R196" s="354"/>
      <c r="S196" s="355">
        <f t="shared" si="68"/>
        <v>8855.5845483156281</v>
      </c>
      <c r="T196" s="356">
        <f t="shared" si="74"/>
        <v>-1417.2109182251154</v>
      </c>
      <c r="U196" s="357">
        <f t="shared" si="87"/>
        <v>848920.89473532909</v>
      </c>
      <c r="V196" s="358">
        <f t="shared" si="87"/>
        <v>542054.9740915969</v>
      </c>
      <c r="W196" s="359">
        <f t="shared" si="69"/>
        <v>-178920.89473532946</v>
      </c>
      <c r="Z196" s="354"/>
      <c r="AA196" s="355" t="e">
        <f t="shared" si="70"/>
        <v>#NUM!</v>
      </c>
      <c r="AB196" s="356" t="e">
        <f t="shared" si="71"/>
        <v>#NUM!</v>
      </c>
      <c r="AC196" s="357" t="e">
        <f t="shared" si="88"/>
        <v>#NUM!</v>
      </c>
      <c r="AD196" s="358" t="e">
        <f t="shared" si="88"/>
        <v>#NUM!</v>
      </c>
      <c r="AE196" s="359" t="e">
        <f t="shared" si="72"/>
        <v>#NUM!</v>
      </c>
    </row>
    <row r="197" spans="2:31" x14ac:dyDescent="0.25">
      <c r="B197" s="354" t="s">
        <v>569</v>
      </c>
      <c r="C197" s="355" t="e">
        <f t="shared" si="61"/>
        <v>#VALUE!</v>
      </c>
      <c r="D197" s="356" t="e">
        <f t="shared" si="62"/>
        <v>#VALUE!</v>
      </c>
      <c r="E197" s="357" t="e">
        <f t="shared" si="85"/>
        <v>#VALUE!</v>
      </c>
      <c r="F197" s="358" t="e">
        <f t="shared" si="85"/>
        <v>#VALUE!</v>
      </c>
      <c r="G197" s="359" t="e">
        <f t="shared" si="64"/>
        <v>#VALUE!</v>
      </c>
      <c r="J197" s="354" t="str">
        <f t="shared" si="60"/>
        <v>M188</v>
      </c>
      <c r="K197" s="355">
        <f t="shared" si="65"/>
        <v>3502.7529139127073</v>
      </c>
      <c r="L197" s="356">
        <f t="shared" si="73"/>
        <v>-1493.9692077941131</v>
      </c>
      <c r="M197" s="357">
        <f t="shared" si="86"/>
        <v>334786.05784920644</v>
      </c>
      <c r="N197" s="358">
        <f t="shared" si="86"/>
        <v>42865.278901089383</v>
      </c>
      <c r="O197" s="359">
        <f t="shared" si="67"/>
        <v>-182779.05784920626</v>
      </c>
      <c r="R197" s="354"/>
      <c r="S197" s="355">
        <f t="shared" si="68"/>
        <v>8929.3810862182581</v>
      </c>
      <c r="T197" s="356">
        <f t="shared" si="74"/>
        <v>-1491.0074561277456</v>
      </c>
      <c r="U197" s="357">
        <f t="shared" si="87"/>
        <v>857850.27582154737</v>
      </c>
      <c r="V197" s="358">
        <f t="shared" si="87"/>
        <v>540563.96663546911</v>
      </c>
      <c r="W197" s="359">
        <f t="shared" si="69"/>
        <v>-187850.27582154772</v>
      </c>
      <c r="Z197" s="354"/>
      <c r="AA197" s="355" t="e">
        <f t="shared" si="70"/>
        <v>#NUM!</v>
      </c>
      <c r="AB197" s="356" t="e">
        <f t="shared" si="71"/>
        <v>#NUM!</v>
      </c>
      <c r="AC197" s="357" t="e">
        <f t="shared" si="88"/>
        <v>#NUM!</v>
      </c>
      <c r="AD197" s="358" t="e">
        <f t="shared" si="88"/>
        <v>#NUM!</v>
      </c>
      <c r="AE197" s="359" t="e">
        <f t="shared" si="72"/>
        <v>#NUM!</v>
      </c>
    </row>
    <row r="198" spans="2:31" x14ac:dyDescent="0.25">
      <c r="B198" s="354" t="s">
        <v>570</v>
      </c>
      <c r="C198" s="355" t="e">
        <f t="shared" si="61"/>
        <v>#VALUE!</v>
      </c>
      <c r="D198" s="356" t="e">
        <f t="shared" si="62"/>
        <v>#VALUE!</v>
      </c>
      <c r="E198" s="357" t="e">
        <f t="shared" si="85"/>
        <v>#VALUE!</v>
      </c>
      <c r="F198" s="358" t="e">
        <f t="shared" si="85"/>
        <v>#VALUE!</v>
      </c>
      <c r="G198" s="359" t="e">
        <f t="shared" si="64"/>
        <v>#VALUE!</v>
      </c>
      <c r="J198" s="354" t="str">
        <f t="shared" si="60"/>
        <v>M189</v>
      </c>
      <c r="K198" s="355">
        <f t="shared" si="65"/>
        <v>3531.9425215286465</v>
      </c>
      <c r="L198" s="356">
        <f t="shared" si="73"/>
        <v>-1523.1588154100523</v>
      </c>
      <c r="M198" s="357">
        <f t="shared" si="86"/>
        <v>338318.00037073507</v>
      </c>
      <c r="N198" s="358">
        <f t="shared" si="86"/>
        <v>41342.120085679329</v>
      </c>
      <c r="O198" s="359">
        <f t="shared" si="67"/>
        <v>-186311.0003707349</v>
      </c>
      <c r="R198" s="354"/>
      <c r="S198" s="355">
        <f t="shared" si="68"/>
        <v>9003.7925952700771</v>
      </c>
      <c r="T198" s="356">
        <f t="shared" si="74"/>
        <v>-1565.4189651795643</v>
      </c>
      <c r="U198" s="357">
        <f t="shared" si="87"/>
        <v>866854.06841681746</v>
      </c>
      <c r="V198" s="358">
        <f t="shared" si="87"/>
        <v>538998.54767028952</v>
      </c>
      <c r="W198" s="359">
        <f t="shared" si="69"/>
        <v>-196854.06841681781</v>
      </c>
      <c r="Z198" s="354"/>
      <c r="AA198" s="355" t="e">
        <f t="shared" si="70"/>
        <v>#NUM!</v>
      </c>
      <c r="AB198" s="356" t="e">
        <f t="shared" si="71"/>
        <v>#NUM!</v>
      </c>
      <c r="AC198" s="357" t="e">
        <f t="shared" si="88"/>
        <v>#NUM!</v>
      </c>
      <c r="AD198" s="358" t="e">
        <f t="shared" si="88"/>
        <v>#NUM!</v>
      </c>
      <c r="AE198" s="359" t="e">
        <f t="shared" si="72"/>
        <v>#NUM!</v>
      </c>
    </row>
    <row r="199" spans="2:31" x14ac:dyDescent="0.25">
      <c r="B199" s="354" t="s">
        <v>571</v>
      </c>
      <c r="C199" s="355" t="e">
        <f t="shared" si="61"/>
        <v>#VALUE!</v>
      </c>
      <c r="D199" s="356" t="e">
        <f t="shared" si="62"/>
        <v>#VALUE!</v>
      </c>
      <c r="E199" s="357" t="e">
        <f t="shared" si="85"/>
        <v>#VALUE!</v>
      </c>
      <c r="F199" s="358" t="e">
        <f t="shared" si="85"/>
        <v>#VALUE!</v>
      </c>
      <c r="G199" s="359" t="e">
        <f t="shared" si="64"/>
        <v>#VALUE!</v>
      </c>
      <c r="J199" s="354" t="str">
        <f t="shared" si="60"/>
        <v>M190</v>
      </c>
      <c r="K199" s="355">
        <f t="shared" si="65"/>
        <v>3561.3753758747184</v>
      </c>
      <c r="L199" s="356">
        <f t="shared" si="73"/>
        <v>-1552.591669756124</v>
      </c>
      <c r="M199" s="357">
        <f t="shared" si="86"/>
        <v>341879.37574660976</v>
      </c>
      <c r="N199" s="358">
        <f t="shared" si="86"/>
        <v>39789.528415923203</v>
      </c>
      <c r="O199" s="359">
        <f t="shared" si="67"/>
        <v>-189872.37574660961</v>
      </c>
      <c r="R199" s="354"/>
      <c r="S199" s="355">
        <f t="shared" si="68"/>
        <v>9078.8242002306615</v>
      </c>
      <c r="T199" s="356">
        <f t="shared" si="74"/>
        <v>-1640.4505701401483</v>
      </c>
      <c r="U199" s="357">
        <f t="shared" si="87"/>
        <v>875932.89261704811</v>
      </c>
      <c r="V199" s="358">
        <f t="shared" si="87"/>
        <v>537358.09710014937</v>
      </c>
      <c r="W199" s="359">
        <f t="shared" si="69"/>
        <v>-205932.89261704846</v>
      </c>
      <c r="Z199" s="354"/>
      <c r="AA199" s="355" t="e">
        <f t="shared" si="70"/>
        <v>#NUM!</v>
      </c>
      <c r="AB199" s="356" t="e">
        <f t="shared" si="71"/>
        <v>#NUM!</v>
      </c>
      <c r="AC199" s="357" t="e">
        <f t="shared" si="88"/>
        <v>#NUM!</v>
      </c>
      <c r="AD199" s="358" t="e">
        <f t="shared" si="88"/>
        <v>#NUM!</v>
      </c>
      <c r="AE199" s="359" t="e">
        <f t="shared" si="72"/>
        <v>#NUM!</v>
      </c>
    </row>
    <row r="200" spans="2:31" x14ac:dyDescent="0.25">
      <c r="B200" s="354" t="s">
        <v>572</v>
      </c>
      <c r="C200" s="355" t="e">
        <f t="shared" si="61"/>
        <v>#VALUE!</v>
      </c>
      <c r="D200" s="356" t="e">
        <f t="shared" si="62"/>
        <v>#VALUE!</v>
      </c>
      <c r="E200" s="357" t="e">
        <f t="shared" si="85"/>
        <v>#VALUE!</v>
      </c>
      <c r="F200" s="358" t="e">
        <f t="shared" si="85"/>
        <v>#VALUE!</v>
      </c>
      <c r="G200" s="359" t="e">
        <f t="shared" si="64"/>
        <v>#VALUE!</v>
      </c>
      <c r="J200" s="354" t="str">
        <f t="shared" si="60"/>
        <v>M191</v>
      </c>
      <c r="K200" s="355">
        <f t="shared" si="65"/>
        <v>3591.0535040070081</v>
      </c>
      <c r="L200" s="356">
        <f t="shared" si="73"/>
        <v>-1582.2697978884134</v>
      </c>
      <c r="M200" s="357">
        <f t="shared" si="86"/>
        <v>345470.42925061675</v>
      </c>
      <c r="N200" s="358">
        <f t="shared" si="86"/>
        <v>38207.258618034786</v>
      </c>
      <c r="O200" s="359">
        <f t="shared" si="67"/>
        <v>-193463.42925061661</v>
      </c>
      <c r="R200" s="354"/>
      <c r="S200" s="355">
        <f t="shared" si="68"/>
        <v>9154.4810685659177</v>
      </c>
      <c r="T200" s="356">
        <f t="shared" si="74"/>
        <v>-1716.1074384754038</v>
      </c>
      <c r="U200" s="357">
        <f t="shared" si="87"/>
        <v>885087.37368561397</v>
      </c>
      <c r="V200" s="358">
        <f t="shared" si="87"/>
        <v>535641.98966167402</v>
      </c>
      <c r="W200" s="359">
        <f t="shared" si="69"/>
        <v>-215087.37368561438</v>
      </c>
      <c r="Z200" s="354"/>
      <c r="AA200" s="355" t="e">
        <f t="shared" si="70"/>
        <v>#NUM!</v>
      </c>
      <c r="AB200" s="356" t="e">
        <f t="shared" si="71"/>
        <v>#NUM!</v>
      </c>
      <c r="AC200" s="357" t="e">
        <f t="shared" si="88"/>
        <v>#NUM!</v>
      </c>
      <c r="AD200" s="358" t="e">
        <f t="shared" si="88"/>
        <v>#NUM!</v>
      </c>
      <c r="AE200" s="359" t="e">
        <f t="shared" si="72"/>
        <v>#NUM!</v>
      </c>
    </row>
    <row r="201" spans="2:31" x14ac:dyDescent="0.25">
      <c r="B201" s="354" t="s">
        <v>573</v>
      </c>
      <c r="C201" s="355" t="e">
        <f t="shared" si="61"/>
        <v>#VALUE!</v>
      </c>
      <c r="D201" s="356" t="e">
        <f t="shared" si="62"/>
        <v>#VALUE!</v>
      </c>
      <c r="E201" s="357" t="e">
        <f t="shared" si="85"/>
        <v>#VALUE!</v>
      </c>
      <c r="F201" s="358" t="e">
        <f t="shared" si="85"/>
        <v>#VALUE!</v>
      </c>
      <c r="G201" s="359" t="e">
        <f t="shared" si="64"/>
        <v>#VALUE!</v>
      </c>
      <c r="J201" s="354" t="str">
        <f t="shared" si="60"/>
        <v>M192</v>
      </c>
      <c r="K201" s="355">
        <f t="shared" si="65"/>
        <v>3620.9789498737327</v>
      </c>
      <c r="L201" s="356">
        <f t="shared" si="73"/>
        <v>-1612.1952437551383</v>
      </c>
      <c r="M201" s="357">
        <f t="shared" si="86"/>
        <v>349091.40820049046</v>
      </c>
      <c r="N201" s="358">
        <f t="shared" si="86"/>
        <v>36595.063374279649</v>
      </c>
      <c r="O201" s="359">
        <f t="shared" si="67"/>
        <v>-197084.40820049035</v>
      </c>
      <c r="R201" s="354"/>
      <c r="S201" s="355">
        <f t="shared" si="68"/>
        <v>9230.7684108039666</v>
      </c>
      <c r="T201" s="356">
        <f t="shared" si="74"/>
        <v>-1792.3947807134532</v>
      </c>
      <c r="U201" s="357">
        <f t="shared" si="87"/>
        <v>894318.14209641796</v>
      </c>
      <c r="V201" s="358">
        <f t="shared" si="87"/>
        <v>533849.59488096053</v>
      </c>
      <c r="W201" s="359">
        <f t="shared" si="69"/>
        <v>-224318.14209641833</v>
      </c>
      <c r="Z201" s="354"/>
      <c r="AA201" s="355" t="e">
        <f t="shared" si="70"/>
        <v>#NUM!</v>
      </c>
      <c r="AB201" s="356" t="e">
        <f t="shared" si="71"/>
        <v>#NUM!</v>
      </c>
      <c r="AC201" s="357" t="e">
        <f t="shared" si="88"/>
        <v>#NUM!</v>
      </c>
      <c r="AD201" s="358" t="e">
        <f t="shared" si="88"/>
        <v>#NUM!</v>
      </c>
      <c r="AE201" s="359" t="e">
        <f t="shared" si="72"/>
        <v>#NUM!</v>
      </c>
    </row>
    <row r="202" spans="2:31" x14ac:dyDescent="0.25">
      <c r="B202" s="354" t="s">
        <v>574</v>
      </c>
      <c r="C202" s="355" t="e">
        <f t="shared" si="61"/>
        <v>#VALUE!</v>
      </c>
      <c r="D202" s="356" t="e">
        <f t="shared" si="62"/>
        <v>#VALUE!</v>
      </c>
      <c r="E202" s="357" t="e">
        <f t="shared" si="85"/>
        <v>#VALUE!</v>
      </c>
      <c r="F202" s="358" t="e">
        <f t="shared" si="85"/>
        <v>#VALUE!</v>
      </c>
      <c r="G202" s="359" t="e">
        <f t="shared" si="64"/>
        <v>#VALUE!</v>
      </c>
      <c r="J202" s="354" t="str">
        <f t="shared" ref="J202:J249" si="89">B202</f>
        <v>M193</v>
      </c>
      <c r="K202" s="355">
        <f t="shared" si="65"/>
        <v>3651.1537744560137</v>
      </c>
      <c r="L202" s="356">
        <f t="shared" si="73"/>
        <v>-1642.3700683374195</v>
      </c>
      <c r="M202" s="357">
        <f t="shared" si="86"/>
        <v>352742.56197494647</v>
      </c>
      <c r="N202" s="358">
        <f t="shared" si="86"/>
        <v>34952.69330594223</v>
      </c>
      <c r="O202" s="359">
        <f t="shared" si="67"/>
        <v>-200735.56197494635</v>
      </c>
      <c r="R202" s="354"/>
      <c r="S202" s="355">
        <f t="shared" si="68"/>
        <v>9307.6914808939982</v>
      </c>
      <c r="T202" s="356">
        <f t="shared" si="74"/>
        <v>-1869.3178508034862</v>
      </c>
      <c r="U202" s="357">
        <f t="shared" si="87"/>
        <v>903625.83357731195</v>
      </c>
      <c r="V202" s="358">
        <f t="shared" si="87"/>
        <v>531980.27703015704</v>
      </c>
      <c r="W202" s="359">
        <f t="shared" si="69"/>
        <v>-233625.83357731233</v>
      </c>
      <c r="Z202" s="354"/>
      <c r="AA202" s="355" t="e">
        <f t="shared" si="70"/>
        <v>#NUM!</v>
      </c>
      <c r="AB202" s="356" t="e">
        <f t="shared" si="71"/>
        <v>#NUM!</v>
      </c>
      <c r="AC202" s="357" t="e">
        <f t="shared" si="88"/>
        <v>#NUM!</v>
      </c>
      <c r="AD202" s="358" t="e">
        <f t="shared" si="88"/>
        <v>#NUM!</v>
      </c>
      <c r="AE202" s="359" t="e">
        <f t="shared" si="72"/>
        <v>#NUM!</v>
      </c>
    </row>
    <row r="203" spans="2:31" x14ac:dyDescent="0.25">
      <c r="B203" s="354" t="s">
        <v>575</v>
      </c>
      <c r="C203" s="355" t="e">
        <f t="shared" si="61"/>
        <v>#VALUE!</v>
      </c>
      <c r="D203" s="356" t="e">
        <f t="shared" si="62"/>
        <v>#VALUE!</v>
      </c>
      <c r="E203" s="357" t="e">
        <f t="shared" si="85"/>
        <v>#VALUE!</v>
      </c>
      <c r="F203" s="358" t="e">
        <f t="shared" si="85"/>
        <v>#VALUE!</v>
      </c>
      <c r="G203" s="359" t="e">
        <f t="shared" si="64"/>
        <v>#VALUE!</v>
      </c>
      <c r="J203" s="354" t="str">
        <f t="shared" si="89"/>
        <v>M194</v>
      </c>
      <c r="K203" s="355">
        <f t="shared" si="65"/>
        <v>3681.5800559098143</v>
      </c>
      <c r="L203" s="356">
        <f t="shared" si="73"/>
        <v>-1672.7963497912197</v>
      </c>
      <c r="M203" s="357">
        <f t="shared" si="86"/>
        <v>356424.14203085628</v>
      </c>
      <c r="N203" s="358">
        <f t="shared" si="86"/>
        <v>33279.896956151009</v>
      </c>
      <c r="O203" s="359">
        <f t="shared" si="67"/>
        <v>-204417.14203085616</v>
      </c>
      <c r="R203" s="354"/>
      <c r="S203" s="355">
        <f t="shared" si="68"/>
        <v>9385.2555765681154</v>
      </c>
      <c r="T203" s="356">
        <f t="shared" si="74"/>
        <v>-1946.8819464776027</v>
      </c>
      <c r="U203" s="357">
        <f t="shared" si="87"/>
        <v>913011.08915388002</v>
      </c>
      <c r="V203" s="358">
        <f t="shared" si="87"/>
        <v>530033.39508367947</v>
      </c>
      <c r="W203" s="359">
        <f t="shared" si="69"/>
        <v>-243011.08915388043</v>
      </c>
      <c r="Z203" s="354"/>
      <c r="AA203" s="355" t="e">
        <f t="shared" si="70"/>
        <v>#NUM!</v>
      </c>
      <c r="AB203" s="356" t="e">
        <f t="shared" si="71"/>
        <v>#NUM!</v>
      </c>
      <c r="AC203" s="357" t="e">
        <f t="shared" si="88"/>
        <v>#NUM!</v>
      </c>
      <c r="AD203" s="358" t="e">
        <f t="shared" si="88"/>
        <v>#NUM!</v>
      </c>
      <c r="AE203" s="359" t="e">
        <f t="shared" si="72"/>
        <v>#NUM!</v>
      </c>
    </row>
    <row r="204" spans="2:31" x14ac:dyDescent="0.25">
      <c r="B204" s="354" t="s">
        <v>576</v>
      </c>
      <c r="C204" s="355" t="e">
        <f t="shared" ref="C204:C249" si="90">$D$6-D204</f>
        <v>#VALUE!</v>
      </c>
      <c r="D204" s="356" t="e">
        <f t="shared" ref="D204:D249" si="91">$D$4/12*G203</f>
        <v>#VALUE!</v>
      </c>
      <c r="E204" s="357" t="e">
        <f t="shared" ref="E204:F219" si="92">E203+C204</f>
        <v>#VALUE!</v>
      </c>
      <c r="F204" s="358" t="e">
        <f t="shared" si="92"/>
        <v>#VALUE!</v>
      </c>
      <c r="G204" s="359" t="e">
        <f t="shared" ref="G204:G249" si="93">G203-C204</f>
        <v>#VALUE!</v>
      </c>
      <c r="J204" s="354" t="str">
        <f t="shared" si="89"/>
        <v>M195</v>
      </c>
      <c r="K204" s="355">
        <f t="shared" ref="K204:K249" si="94">$L$6-L204</f>
        <v>3712.2598897090625</v>
      </c>
      <c r="L204" s="356">
        <f t="shared" si="73"/>
        <v>-1703.4761835904681</v>
      </c>
      <c r="M204" s="357">
        <f t="shared" ref="M204:N219" si="95">M203+K204</f>
        <v>360136.40192056535</v>
      </c>
      <c r="N204" s="358">
        <f t="shared" si="95"/>
        <v>31576.420772560541</v>
      </c>
      <c r="O204" s="359">
        <f t="shared" ref="O204:O249" si="96">O203-K204</f>
        <v>-208129.40192056523</v>
      </c>
      <c r="R204" s="354"/>
      <c r="S204" s="355">
        <f t="shared" ref="S204:S249" si="97">$T$6-T204</f>
        <v>9463.4660397061834</v>
      </c>
      <c r="T204" s="356">
        <f t="shared" si="74"/>
        <v>-2025.0924096156702</v>
      </c>
      <c r="U204" s="357">
        <f t="shared" si="87"/>
        <v>922474.55519358616</v>
      </c>
      <c r="V204" s="358">
        <f t="shared" si="87"/>
        <v>528008.30267406383</v>
      </c>
      <c r="W204" s="359">
        <f t="shared" ref="W204:W249" si="98">W203-S204</f>
        <v>-252474.55519358662</v>
      </c>
      <c r="Z204" s="354"/>
      <c r="AA204" s="355" t="e">
        <f t="shared" ref="AA204:AA249" si="99">$T$6-AB204</f>
        <v>#NUM!</v>
      </c>
      <c r="AB204" s="356" t="e">
        <f t="shared" ref="AB204:AB249" si="100">$AB$4/12*AE203</f>
        <v>#NUM!</v>
      </c>
      <c r="AC204" s="357" t="e">
        <f t="shared" si="88"/>
        <v>#NUM!</v>
      </c>
      <c r="AD204" s="358" t="e">
        <f t="shared" si="88"/>
        <v>#NUM!</v>
      </c>
      <c r="AE204" s="359" t="e">
        <f t="shared" ref="AE204:AE249" si="101">AE203-AA204</f>
        <v>#NUM!</v>
      </c>
    </row>
    <row r="205" spans="2:31" x14ac:dyDescent="0.25">
      <c r="B205" s="354" t="s">
        <v>577</v>
      </c>
      <c r="C205" s="355" t="e">
        <f t="shared" si="90"/>
        <v>#VALUE!</v>
      </c>
      <c r="D205" s="356" t="e">
        <f t="shared" si="91"/>
        <v>#VALUE!</v>
      </c>
      <c r="E205" s="357" t="e">
        <f t="shared" si="92"/>
        <v>#VALUE!</v>
      </c>
      <c r="F205" s="358" t="e">
        <f t="shared" si="92"/>
        <v>#VALUE!</v>
      </c>
      <c r="G205" s="359" t="e">
        <f t="shared" si="93"/>
        <v>#VALUE!</v>
      </c>
      <c r="J205" s="354" t="str">
        <f t="shared" si="89"/>
        <v>M196</v>
      </c>
      <c r="K205" s="355">
        <f t="shared" si="94"/>
        <v>3743.1953887899713</v>
      </c>
      <c r="L205" s="356">
        <f t="shared" ref="L205:L248" si="102">$L$4/12*O204</f>
        <v>-1734.4116826713769</v>
      </c>
      <c r="M205" s="357">
        <f t="shared" si="95"/>
        <v>363879.59730935533</v>
      </c>
      <c r="N205" s="358">
        <f t="shared" si="95"/>
        <v>29842.009089889165</v>
      </c>
      <c r="O205" s="359">
        <f t="shared" si="96"/>
        <v>-211872.59730935519</v>
      </c>
      <c r="R205" s="354"/>
      <c r="S205" s="355">
        <f t="shared" si="97"/>
        <v>9542.328256703735</v>
      </c>
      <c r="T205" s="356">
        <f t="shared" ref="T205:T248" si="103">$L$4/12*W204</f>
        <v>-2103.954626613222</v>
      </c>
      <c r="U205" s="357">
        <f t="shared" si="87"/>
        <v>932016.88345028984</v>
      </c>
      <c r="V205" s="358">
        <f t="shared" si="87"/>
        <v>525904.34804745065</v>
      </c>
      <c r="W205" s="359">
        <f t="shared" si="98"/>
        <v>-262016.88345029036</v>
      </c>
      <c r="Z205" s="354"/>
      <c r="AA205" s="355" t="e">
        <f t="shared" si="99"/>
        <v>#NUM!</v>
      </c>
      <c r="AB205" s="356" t="e">
        <f t="shared" si="100"/>
        <v>#NUM!</v>
      </c>
      <c r="AC205" s="357" t="e">
        <f t="shared" si="88"/>
        <v>#NUM!</v>
      </c>
      <c r="AD205" s="358" t="e">
        <f t="shared" si="88"/>
        <v>#NUM!</v>
      </c>
      <c r="AE205" s="359" t="e">
        <f t="shared" si="101"/>
        <v>#NUM!</v>
      </c>
    </row>
    <row r="206" spans="2:31" x14ac:dyDescent="0.25">
      <c r="B206" s="354" t="s">
        <v>578</v>
      </c>
      <c r="C206" s="355" t="e">
        <f t="shared" si="90"/>
        <v>#VALUE!</v>
      </c>
      <c r="D206" s="356" t="e">
        <f t="shared" si="91"/>
        <v>#VALUE!</v>
      </c>
      <c r="E206" s="357" t="e">
        <f t="shared" si="92"/>
        <v>#VALUE!</v>
      </c>
      <c r="F206" s="358" t="e">
        <f t="shared" si="92"/>
        <v>#VALUE!</v>
      </c>
      <c r="G206" s="359" t="e">
        <f t="shared" si="93"/>
        <v>#VALUE!</v>
      </c>
      <c r="J206" s="354" t="str">
        <f t="shared" si="89"/>
        <v>M197</v>
      </c>
      <c r="K206" s="355">
        <f t="shared" si="94"/>
        <v>3774.3886836965544</v>
      </c>
      <c r="L206" s="356">
        <f t="shared" si="102"/>
        <v>-1765.60497757796</v>
      </c>
      <c r="M206" s="357">
        <f t="shared" si="95"/>
        <v>367653.9859930519</v>
      </c>
      <c r="N206" s="358">
        <f t="shared" si="95"/>
        <v>28076.404112311204</v>
      </c>
      <c r="O206" s="359">
        <f t="shared" si="96"/>
        <v>-215646.98599305176</v>
      </c>
      <c r="R206" s="354"/>
      <c r="S206" s="355">
        <f t="shared" si="97"/>
        <v>9621.847658842933</v>
      </c>
      <c r="T206" s="356">
        <f t="shared" si="103"/>
        <v>-2183.4740287524196</v>
      </c>
      <c r="U206" s="357">
        <f t="shared" si="87"/>
        <v>941638.73110913276</v>
      </c>
      <c r="V206" s="358">
        <f t="shared" si="87"/>
        <v>523720.87401869823</v>
      </c>
      <c r="W206" s="359">
        <f t="shared" si="98"/>
        <v>-271638.73110913328</v>
      </c>
      <c r="Z206" s="354"/>
      <c r="AA206" s="355" t="e">
        <f t="shared" si="99"/>
        <v>#NUM!</v>
      </c>
      <c r="AB206" s="356" t="e">
        <f t="shared" si="100"/>
        <v>#NUM!</v>
      </c>
      <c r="AC206" s="357" t="e">
        <f t="shared" si="88"/>
        <v>#NUM!</v>
      </c>
      <c r="AD206" s="358" t="e">
        <f t="shared" si="88"/>
        <v>#NUM!</v>
      </c>
      <c r="AE206" s="359" t="e">
        <f t="shared" si="101"/>
        <v>#NUM!</v>
      </c>
    </row>
    <row r="207" spans="2:31" x14ac:dyDescent="0.25">
      <c r="B207" s="354" t="s">
        <v>579</v>
      </c>
      <c r="C207" s="355" t="e">
        <f t="shared" si="90"/>
        <v>#VALUE!</v>
      </c>
      <c r="D207" s="356" t="e">
        <f t="shared" si="91"/>
        <v>#VALUE!</v>
      </c>
      <c r="E207" s="357" t="e">
        <f t="shared" si="92"/>
        <v>#VALUE!</v>
      </c>
      <c r="F207" s="358" t="e">
        <f t="shared" si="92"/>
        <v>#VALUE!</v>
      </c>
      <c r="G207" s="359" t="e">
        <f t="shared" si="93"/>
        <v>#VALUE!</v>
      </c>
      <c r="J207" s="354" t="str">
        <f t="shared" si="89"/>
        <v>M198</v>
      </c>
      <c r="K207" s="355">
        <f t="shared" si="94"/>
        <v>3805.8419227273589</v>
      </c>
      <c r="L207" s="356">
        <f t="shared" si="102"/>
        <v>-1797.0582166087645</v>
      </c>
      <c r="M207" s="357">
        <f t="shared" si="95"/>
        <v>371459.82791577926</v>
      </c>
      <c r="N207" s="358">
        <f t="shared" si="95"/>
        <v>26279.345895702438</v>
      </c>
      <c r="O207" s="359">
        <f t="shared" si="96"/>
        <v>-219452.82791577911</v>
      </c>
      <c r="R207" s="354"/>
      <c r="S207" s="355">
        <f t="shared" si="97"/>
        <v>9702.0297226666225</v>
      </c>
      <c r="T207" s="356">
        <f t="shared" si="103"/>
        <v>-2263.6560925761105</v>
      </c>
      <c r="U207" s="357">
        <f t="shared" si="87"/>
        <v>951340.76083179936</v>
      </c>
      <c r="V207" s="358">
        <f t="shared" si="87"/>
        <v>521457.21792612213</v>
      </c>
      <c r="W207" s="359">
        <f t="shared" si="98"/>
        <v>-281340.76083179988</v>
      </c>
      <c r="Z207" s="354"/>
      <c r="AA207" s="355" t="e">
        <f t="shared" si="99"/>
        <v>#NUM!</v>
      </c>
      <c r="AB207" s="356" t="e">
        <f t="shared" si="100"/>
        <v>#NUM!</v>
      </c>
      <c r="AC207" s="357" t="e">
        <f t="shared" si="88"/>
        <v>#NUM!</v>
      </c>
      <c r="AD207" s="358" t="e">
        <f t="shared" si="88"/>
        <v>#NUM!</v>
      </c>
      <c r="AE207" s="359" t="e">
        <f t="shared" si="101"/>
        <v>#NUM!</v>
      </c>
    </row>
    <row r="208" spans="2:31" x14ac:dyDescent="0.25">
      <c r="B208" s="354" t="s">
        <v>580</v>
      </c>
      <c r="C208" s="355" t="e">
        <f t="shared" si="90"/>
        <v>#VALUE!</v>
      </c>
      <c r="D208" s="356" t="e">
        <f t="shared" si="91"/>
        <v>#VALUE!</v>
      </c>
      <c r="E208" s="357" t="e">
        <f t="shared" si="92"/>
        <v>#VALUE!</v>
      </c>
      <c r="F208" s="358" t="e">
        <f t="shared" si="92"/>
        <v>#VALUE!</v>
      </c>
      <c r="G208" s="359" t="e">
        <f t="shared" si="93"/>
        <v>#VALUE!</v>
      </c>
      <c r="J208" s="354" t="str">
        <f t="shared" si="89"/>
        <v>M199</v>
      </c>
      <c r="K208" s="355">
        <f t="shared" si="94"/>
        <v>3837.5572720834202</v>
      </c>
      <c r="L208" s="356">
        <f t="shared" si="102"/>
        <v>-1828.7735659648258</v>
      </c>
      <c r="M208" s="357">
        <f t="shared" si="95"/>
        <v>375297.38518786267</v>
      </c>
      <c r="N208" s="358">
        <f t="shared" si="95"/>
        <v>24450.572329737613</v>
      </c>
      <c r="O208" s="359">
        <f t="shared" si="96"/>
        <v>-223290.38518786253</v>
      </c>
      <c r="R208" s="354"/>
      <c r="S208" s="355">
        <f t="shared" si="97"/>
        <v>9782.8799703555123</v>
      </c>
      <c r="T208" s="356">
        <f t="shared" si="103"/>
        <v>-2344.5063402649989</v>
      </c>
      <c r="U208" s="357">
        <f t="shared" ref="U208:V223" si="104">U207+S208</f>
        <v>961123.6408021549</v>
      </c>
      <c r="V208" s="358">
        <f t="shared" si="104"/>
        <v>519112.71158585715</v>
      </c>
      <c r="W208" s="359">
        <f t="shared" si="98"/>
        <v>-291123.64080215537</v>
      </c>
      <c r="Z208" s="354"/>
      <c r="AA208" s="355" t="e">
        <f t="shared" si="99"/>
        <v>#NUM!</v>
      </c>
      <c r="AB208" s="356" t="e">
        <f t="shared" si="100"/>
        <v>#NUM!</v>
      </c>
      <c r="AC208" s="357" t="e">
        <f t="shared" ref="AC208:AD223" si="105">AC207+AA208</f>
        <v>#NUM!</v>
      </c>
      <c r="AD208" s="358" t="e">
        <f t="shared" si="105"/>
        <v>#NUM!</v>
      </c>
      <c r="AE208" s="359" t="e">
        <f t="shared" si="101"/>
        <v>#NUM!</v>
      </c>
    </row>
    <row r="209" spans="2:31" x14ac:dyDescent="0.25">
      <c r="B209" s="354" t="s">
        <v>581</v>
      </c>
      <c r="C209" s="355" t="e">
        <f t="shared" si="90"/>
        <v>#VALUE!</v>
      </c>
      <c r="D209" s="356" t="e">
        <f t="shared" si="91"/>
        <v>#VALUE!</v>
      </c>
      <c r="E209" s="357" t="e">
        <f t="shared" si="92"/>
        <v>#VALUE!</v>
      </c>
      <c r="F209" s="358" t="e">
        <f t="shared" si="92"/>
        <v>#VALUE!</v>
      </c>
      <c r="G209" s="359" t="e">
        <f t="shared" si="93"/>
        <v>#VALUE!</v>
      </c>
      <c r="J209" s="354" t="str">
        <f t="shared" si="89"/>
        <v>M200</v>
      </c>
      <c r="K209" s="355">
        <f t="shared" si="94"/>
        <v>3869.5369160174487</v>
      </c>
      <c r="L209" s="356">
        <f t="shared" si="102"/>
        <v>-1860.7532098988543</v>
      </c>
      <c r="M209" s="357">
        <f t="shared" si="95"/>
        <v>379166.92210388015</v>
      </c>
      <c r="N209" s="358">
        <f t="shared" si="95"/>
        <v>22589.819119838758</v>
      </c>
      <c r="O209" s="359">
        <f t="shared" si="96"/>
        <v>-227159.92210387997</v>
      </c>
      <c r="R209" s="354"/>
      <c r="S209" s="355">
        <f t="shared" si="97"/>
        <v>9864.4039701084748</v>
      </c>
      <c r="T209" s="356">
        <f t="shared" si="103"/>
        <v>-2426.0303400179614</v>
      </c>
      <c r="U209" s="357">
        <f t="shared" si="104"/>
        <v>970988.04477226338</v>
      </c>
      <c r="V209" s="358">
        <f t="shared" si="104"/>
        <v>516686.68124583917</v>
      </c>
      <c r="W209" s="359">
        <f t="shared" si="98"/>
        <v>-300988.04477226385</v>
      </c>
      <c r="Z209" s="354"/>
      <c r="AA209" s="355" t="e">
        <f t="shared" si="99"/>
        <v>#NUM!</v>
      </c>
      <c r="AB209" s="356" t="e">
        <f t="shared" si="100"/>
        <v>#NUM!</v>
      </c>
      <c r="AC209" s="357" t="e">
        <f t="shared" si="105"/>
        <v>#NUM!</v>
      </c>
      <c r="AD209" s="358" t="e">
        <f t="shared" si="105"/>
        <v>#NUM!</v>
      </c>
      <c r="AE209" s="359" t="e">
        <f t="shared" si="101"/>
        <v>#NUM!</v>
      </c>
    </row>
    <row r="210" spans="2:31" x14ac:dyDescent="0.25">
      <c r="B210" s="354" t="s">
        <v>582</v>
      </c>
      <c r="C210" s="355" t="e">
        <f t="shared" si="90"/>
        <v>#VALUE!</v>
      </c>
      <c r="D210" s="356" t="e">
        <f t="shared" si="91"/>
        <v>#VALUE!</v>
      </c>
      <c r="E210" s="357" t="e">
        <f t="shared" si="92"/>
        <v>#VALUE!</v>
      </c>
      <c r="F210" s="358" t="e">
        <f t="shared" si="92"/>
        <v>#VALUE!</v>
      </c>
      <c r="G210" s="359" t="e">
        <f t="shared" si="93"/>
        <v>#VALUE!</v>
      </c>
      <c r="J210" s="354" t="str">
        <f t="shared" si="89"/>
        <v>M201</v>
      </c>
      <c r="K210" s="355">
        <f t="shared" si="94"/>
        <v>3901.7830569842608</v>
      </c>
      <c r="L210" s="356">
        <f t="shared" si="102"/>
        <v>-1892.9993508656664</v>
      </c>
      <c r="M210" s="357">
        <f t="shared" si="95"/>
        <v>383068.7051608644</v>
      </c>
      <c r="N210" s="358">
        <f t="shared" si="95"/>
        <v>20696.819768973091</v>
      </c>
      <c r="O210" s="359">
        <f t="shared" si="96"/>
        <v>-231061.70516086422</v>
      </c>
      <c r="R210" s="354"/>
      <c r="S210" s="355">
        <f t="shared" si="97"/>
        <v>9946.6073365260454</v>
      </c>
      <c r="T210" s="356">
        <f t="shared" si="103"/>
        <v>-2508.233706435532</v>
      </c>
      <c r="U210" s="357">
        <f t="shared" si="104"/>
        <v>980934.65210878942</v>
      </c>
      <c r="V210" s="358">
        <f t="shared" si="104"/>
        <v>514178.44753940363</v>
      </c>
      <c r="W210" s="359">
        <f t="shared" si="98"/>
        <v>-310934.65210878989</v>
      </c>
      <c r="Z210" s="354"/>
      <c r="AA210" s="355" t="e">
        <f t="shared" si="99"/>
        <v>#NUM!</v>
      </c>
      <c r="AB210" s="356" t="e">
        <f t="shared" si="100"/>
        <v>#NUM!</v>
      </c>
      <c r="AC210" s="357" t="e">
        <f t="shared" si="105"/>
        <v>#NUM!</v>
      </c>
      <c r="AD210" s="358" t="e">
        <f t="shared" si="105"/>
        <v>#NUM!</v>
      </c>
      <c r="AE210" s="359" t="e">
        <f t="shared" si="101"/>
        <v>#NUM!</v>
      </c>
    </row>
    <row r="211" spans="2:31" x14ac:dyDescent="0.25">
      <c r="B211" s="354" t="s">
        <v>583</v>
      </c>
      <c r="C211" s="355" t="e">
        <f t="shared" si="90"/>
        <v>#VALUE!</v>
      </c>
      <c r="D211" s="356" t="e">
        <f t="shared" si="91"/>
        <v>#VALUE!</v>
      </c>
      <c r="E211" s="357" t="e">
        <f t="shared" si="92"/>
        <v>#VALUE!</v>
      </c>
      <c r="F211" s="358" t="e">
        <f t="shared" si="92"/>
        <v>#VALUE!</v>
      </c>
      <c r="G211" s="359" t="e">
        <f t="shared" si="93"/>
        <v>#VALUE!</v>
      </c>
      <c r="J211" s="354" t="str">
        <f t="shared" si="89"/>
        <v>M202</v>
      </c>
      <c r="K211" s="355">
        <f t="shared" si="94"/>
        <v>3934.2979157924628</v>
      </c>
      <c r="L211" s="356">
        <f t="shared" si="102"/>
        <v>-1925.5142096738684</v>
      </c>
      <c r="M211" s="357">
        <f t="shared" si="95"/>
        <v>387003.00307665684</v>
      </c>
      <c r="N211" s="358">
        <f t="shared" si="95"/>
        <v>18771.305559299224</v>
      </c>
      <c r="O211" s="359">
        <f t="shared" si="96"/>
        <v>-234996.00307665669</v>
      </c>
      <c r="R211" s="354"/>
      <c r="S211" s="355">
        <f t="shared" si="97"/>
        <v>10029.495730997096</v>
      </c>
      <c r="T211" s="356">
        <f t="shared" si="103"/>
        <v>-2591.1221009065825</v>
      </c>
      <c r="U211" s="357">
        <f t="shared" si="104"/>
        <v>990964.14783978648</v>
      </c>
      <c r="V211" s="358">
        <f t="shared" si="104"/>
        <v>511587.32543849706</v>
      </c>
      <c r="W211" s="359">
        <f t="shared" si="98"/>
        <v>-320964.14783978701</v>
      </c>
      <c r="Z211" s="354"/>
      <c r="AA211" s="355" t="e">
        <f t="shared" si="99"/>
        <v>#NUM!</v>
      </c>
      <c r="AB211" s="356" t="e">
        <f t="shared" si="100"/>
        <v>#NUM!</v>
      </c>
      <c r="AC211" s="357" t="e">
        <f t="shared" si="105"/>
        <v>#NUM!</v>
      </c>
      <c r="AD211" s="358" t="e">
        <f t="shared" si="105"/>
        <v>#NUM!</v>
      </c>
      <c r="AE211" s="359" t="e">
        <f t="shared" si="101"/>
        <v>#NUM!</v>
      </c>
    </row>
    <row r="212" spans="2:31" x14ac:dyDescent="0.25">
      <c r="B212" s="354" t="s">
        <v>584</v>
      </c>
      <c r="C212" s="355" t="e">
        <f t="shared" si="90"/>
        <v>#VALUE!</v>
      </c>
      <c r="D212" s="356" t="e">
        <f t="shared" si="91"/>
        <v>#VALUE!</v>
      </c>
      <c r="E212" s="357" t="e">
        <f t="shared" si="92"/>
        <v>#VALUE!</v>
      </c>
      <c r="F212" s="358" t="e">
        <f t="shared" si="92"/>
        <v>#VALUE!</v>
      </c>
      <c r="G212" s="359" t="e">
        <f t="shared" si="93"/>
        <v>#VALUE!</v>
      </c>
      <c r="J212" s="354" t="str">
        <f t="shared" si="89"/>
        <v>M203</v>
      </c>
      <c r="K212" s="355">
        <f t="shared" si="94"/>
        <v>3967.0837317574001</v>
      </c>
      <c r="L212" s="356">
        <f t="shared" si="102"/>
        <v>-1958.3000256388057</v>
      </c>
      <c r="M212" s="357">
        <f t="shared" si="95"/>
        <v>390970.08680841426</v>
      </c>
      <c r="N212" s="358">
        <f t="shared" si="95"/>
        <v>16813.00553366042</v>
      </c>
      <c r="O212" s="359">
        <f t="shared" si="96"/>
        <v>-238963.08680841408</v>
      </c>
      <c r="R212" s="354"/>
      <c r="S212" s="355">
        <f t="shared" si="97"/>
        <v>10113.074862088739</v>
      </c>
      <c r="T212" s="356">
        <f t="shared" si="103"/>
        <v>-2674.701231998225</v>
      </c>
      <c r="U212" s="357">
        <f t="shared" si="104"/>
        <v>1001077.2227018753</v>
      </c>
      <c r="V212" s="358">
        <f t="shared" si="104"/>
        <v>508912.62420649885</v>
      </c>
      <c r="W212" s="359">
        <f t="shared" si="98"/>
        <v>-331077.22270187573</v>
      </c>
      <c r="Z212" s="354"/>
      <c r="AA212" s="355" t="e">
        <f t="shared" si="99"/>
        <v>#NUM!</v>
      </c>
      <c r="AB212" s="356" t="e">
        <f t="shared" si="100"/>
        <v>#NUM!</v>
      </c>
      <c r="AC212" s="357" t="e">
        <f t="shared" si="105"/>
        <v>#NUM!</v>
      </c>
      <c r="AD212" s="358" t="e">
        <f t="shared" si="105"/>
        <v>#NUM!</v>
      </c>
      <c r="AE212" s="359" t="e">
        <f t="shared" si="101"/>
        <v>#NUM!</v>
      </c>
    </row>
    <row r="213" spans="2:31" x14ac:dyDescent="0.25">
      <c r="B213" s="354" t="s">
        <v>585</v>
      </c>
      <c r="C213" s="355" t="e">
        <f t="shared" si="90"/>
        <v>#VALUE!</v>
      </c>
      <c r="D213" s="356" t="e">
        <f t="shared" si="91"/>
        <v>#VALUE!</v>
      </c>
      <c r="E213" s="357" t="e">
        <f t="shared" si="92"/>
        <v>#VALUE!</v>
      </c>
      <c r="F213" s="358" t="e">
        <f t="shared" si="92"/>
        <v>#VALUE!</v>
      </c>
      <c r="G213" s="359" t="e">
        <f t="shared" si="93"/>
        <v>#VALUE!</v>
      </c>
      <c r="J213" s="354" t="str">
        <f t="shared" si="89"/>
        <v>M204</v>
      </c>
      <c r="K213" s="355">
        <f t="shared" si="94"/>
        <v>4000.1427628553784</v>
      </c>
      <c r="L213" s="356">
        <f t="shared" si="102"/>
        <v>-1991.3590567367839</v>
      </c>
      <c r="M213" s="357">
        <f t="shared" si="95"/>
        <v>394970.22957126965</v>
      </c>
      <c r="N213" s="358">
        <f t="shared" si="95"/>
        <v>14821.646476923635</v>
      </c>
      <c r="O213" s="359">
        <f t="shared" si="96"/>
        <v>-242963.22957126945</v>
      </c>
      <c r="R213" s="354"/>
      <c r="S213" s="355">
        <f t="shared" si="97"/>
        <v>10197.350485939478</v>
      </c>
      <c r="T213" s="356">
        <f t="shared" si="103"/>
        <v>-2758.9768558489645</v>
      </c>
      <c r="U213" s="357">
        <f t="shared" si="104"/>
        <v>1011274.5731878148</v>
      </c>
      <c r="V213" s="358">
        <f t="shared" si="104"/>
        <v>506153.64735064987</v>
      </c>
      <c r="W213" s="359">
        <f t="shared" si="98"/>
        <v>-341274.5731878152</v>
      </c>
      <c r="Z213" s="354"/>
      <c r="AA213" s="355" t="e">
        <f t="shared" si="99"/>
        <v>#NUM!</v>
      </c>
      <c r="AB213" s="356" t="e">
        <f t="shared" si="100"/>
        <v>#NUM!</v>
      </c>
      <c r="AC213" s="357" t="e">
        <f t="shared" si="105"/>
        <v>#NUM!</v>
      </c>
      <c r="AD213" s="358" t="e">
        <f t="shared" si="105"/>
        <v>#NUM!</v>
      </c>
      <c r="AE213" s="359" t="e">
        <f t="shared" si="101"/>
        <v>#NUM!</v>
      </c>
    </row>
    <row r="214" spans="2:31" x14ac:dyDescent="0.25">
      <c r="B214" s="354" t="s">
        <v>586</v>
      </c>
      <c r="C214" s="355" t="e">
        <f t="shared" si="90"/>
        <v>#VALUE!</v>
      </c>
      <c r="D214" s="356" t="e">
        <f t="shared" si="91"/>
        <v>#VALUE!</v>
      </c>
      <c r="E214" s="357" t="e">
        <f t="shared" si="92"/>
        <v>#VALUE!</v>
      </c>
      <c r="F214" s="358" t="e">
        <f t="shared" si="92"/>
        <v>#VALUE!</v>
      </c>
      <c r="G214" s="359" t="e">
        <f t="shared" si="93"/>
        <v>#VALUE!</v>
      </c>
      <c r="J214" s="354" t="str">
        <f t="shared" si="89"/>
        <v>M205</v>
      </c>
      <c r="K214" s="355">
        <f t="shared" si="94"/>
        <v>4033.477285879173</v>
      </c>
      <c r="L214" s="356">
        <f t="shared" si="102"/>
        <v>-2024.6935797605786</v>
      </c>
      <c r="M214" s="357">
        <f t="shared" si="95"/>
        <v>399003.70685714885</v>
      </c>
      <c r="N214" s="358">
        <f t="shared" si="95"/>
        <v>12796.952897163057</v>
      </c>
      <c r="O214" s="359">
        <f t="shared" si="96"/>
        <v>-246996.70685714862</v>
      </c>
      <c r="R214" s="354"/>
      <c r="S214" s="355">
        <f t="shared" si="97"/>
        <v>10282.328406655641</v>
      </c>
      <c r="T214" s="356">
        <f t="shared" si="103"/>
        <v>-2843.9547765651268</v>
      </c>
      <c r="U214" s="357">
        <f t="shared" si="104"/>
        <v>1021556.9015944705</v>
      </c>
      <c r="V214" s="358">
        <f t="shared" si="104"/>
        <v>503309.69257408474</v>
      </c>
      <c r="W214" s="359">
        <f t="shared" si="98"/>
        <v>-351556.90159447084</v>
      </c>
      <c r="Z214" s="354"/>
      <c r="AA214" s="355" t="e">
        <f t="shared" si="99"/>
        <v>#NUM!</v>
      </c>
      <c r="AB214" s="356" t="e">
        <f t="shared" si="100"/>
        <v>#NUM!</v>
      </c>
      <c r="AC214" s="357" t="e">
        <f t="shared" si="105"/>
        <v>#NUM!</v>
      </c>
      <c r="AD214" s="358" t="e">
        <f t="shared" si="105"/>
        <v>#NUM!</v>
      </c>
      <c r="AE214" s="359" t="e">
        <f t="shared" si="101"/>
        <v>#NUM!</v>
      </c>
    </row>
    <row r="215" spans="2:31" x14ac:dyDescent="0.25">
      <c r="B215" s="354" t="s">
        <v>587</v>
      </c>
      <c r="C215" s="355" t="e">
        <f t="shared" si="90"/>
        <v>#VALUE!</v>
      </c>
      <c r="D215" s="356" t="e">
        <f t="shared" si="91"/>
        <v>#VALUE!</v>
      </c>
      <c r="E215" s="357" t="e">
        <f t="shared" si="92"/>
        <v>#VALUE!</v>
      </c>
      <c r="F215" s="358" t="e">
        <f t="shared" si="92"/>
        <v>#VALUE!</v>
      </c>
      <c r="G215" s="359" t="e">
        <f t="shared" si="93"/>
        <v>#VALUE!</v>
      </c>
      <c r="J215" s="354" t="str">
        <f t="shared" si="89"/>
        <v>M206</v>
      </c>
      <c r="K215" s="355">
        <f t="shared" si="94"/>
        <v>4067.089596594833</v>
      </c>
      <c r="L215" s="356">
        <f t="shared" si="102"/>
        <v>-2058.3058904762383</v>
      </c>
      <c r="M215" s="357">
        <f t="shared" si="95"/>
        <v>403070.79645374371</v>
      </c>
      <c r="N215" s="358">
        <f t="shared" si="95"/>
        <v>10738.647006686819</v>
      </c>
      <c r="O215" s="359">
        <f t="shared" si="96"/>
        <v>-251063.79645374345</v>
      </c>
      <c r="R215" s="354"/>
      <c r="S215" s="355">
        <f t="shared" si="97"/>
        <v>10368.014476711103</v>
      </c>
      <c r="T215" s="356">
        <f t="shared" si="103"/>
        <v>-2929.6408466205903</v>
      </c>
      <c r="U215" s="357">
        <f t="shared" si="104"/>
        <v>1031924.9160711815</v>
      </c>
      <c r="V215" s="358">
        <f t="shared" si="104"/>
        <v>500380.05172746413</v>
      </c>
      <c r="W215" s="359">
        <f t="shared" si="98"/>
        <v>-361924.91607118194</v>
      </c>
      <c r="Z215" s="354"/>
      <c r="AA215" s="355" t="e">
        <f t="shared" si="99"/>
        <v>#NUM!</v>
      </c>
      <c r="AB215" s="356" t="e">
        <f t="shared" si="100"/>
        <v>#NUM!</v>
      </c>
      <c r="AC215" s="357" t="e">
        <f t="shared" si="105"/>
        <v>#NUM!</v>
      </c>
      <c r="AD215" s="358" t="e">
        <f t="shared" si="105"/>
        <v>#NUM!</v>
      </c>
      <c r="AE215" s="359" t="e">
        <f t="shared" si="101"/>
        <v>#NUM!</v>
      </c>
    </row>
    <row r="216" spans="2:31" x14ac:dyDescent="0.25">
      <c r="B216" s="354" t="s">
        <v>588</v>
      </c>
      <c r="C216" s="355" t="e">
        <f t="shared" si="90"/>
        <v>#VALUE!</v>
      </c>
      <c r="D216" s="356" t="e">
        <f t="shared" si="91"/>
        <v>#VALUE!</v>
      </c>
      <c r="E216" s="357" t="e">
        <f t="shared" si="92"/>
        <v>#VALUE!</v>
      </c>
      <c r="F216" s="358" t="e">
        <f t="shared" si="92"/>
        <v>#VALUE!</v>
      </c>
      <c r="G216" s="359" t="e">
        <f t="shared" si="93"/>
        <v>#VALUE!</v>
      </c>
      <c r="J216" s="354" t="str">
        <f t="shared" si="89"/>
        <v>M207</v>
      </c>
      <c r="K216" s="355">
        <f t="shared" si="94"/>
        <v>4100.9820098997898</v>
      </c>
      <c r="L216" s="356">
        <f t="shared" si="102"/>
        <v>-2092.1983037811951</v>
      </c>
      <c r="M216" s="357">
        <f t="shared" si="95"/>
        <v>407171.77846364351</v>
      </c>
      <c r="N216" s="358">
        <f t="shared" si="95"/>
        <v>8646.4487029056236</v>
      </c>
      <c r="O216" s="359">
        <f t="shared" si="96"/>
        <v>-255164.77846364325</v>
      </c>
      <c r="R216" s="354"/>
      <c r="S216" s="355">
        <f t="shared" si="97"/>
        <v>10454.414597350362</v>
      </c>
      <c r="T216" s="356">
        <f t="shared" si="103"/>
        <v>-3016.0409672598494</v>
      </c>
      <c r="U216" s="357">
        <f t="shared" si="104"/>
        <v>1042379.3306685319</v>
      </c>
      <c r="V216" s="358">
        <f t="shared" si="104"/>
        <v>497364.01076020428</v>
      </c>
      <c r="W216" s="359">
        <f t="shared" si="98"/>
        <v>-372379.33066853229</v>
      </c>
      <c r="Z216" s="354"/>
      <c r="AA216" s="355" t="e">
        <f t="shared" si="99"/>
        <v>#NUM!</v>
      </c>
      <c r="AB216" s="356" t="e">
        <f t="shared" si="100"/>
        <v>#NUM!</v>
      </c>
      <c r="AC216" s="357" t="e">
        <f t="shared" si="105"/>
        <v>#NUM!</v>
      </c>
      <c r="AD216" s="358" t="e">
        <f t="shared" si="105"/>
        <v>#NUM!</v>
      </c>
      <c r="AE216" s="359" t="e">
        <f t="shared" si="101"/>
        <v>#NUM!</v>
      </c>
    </row>
    <row r="217" spans="2:31" x14ac:dyDescent="0.25">
      <c r="B217" s="354" t="s">
        <v>589</v>
      </c>
      <c r="C217" s="355" t="e">
        <f t="shared" si="90"/>
        <v>#VALUE!</v>
      </c>
      <c r="D217" s="356" t="e">
        <f t="shared" si="91"/>
        <v>#VALUE!</v>
      </c>
      <c r="E217" s="357" t="e">
        <f t="shared" si="92"/>
        <v>#VALUE!</v>
      </c>
      <c r="F217" s="358" t="e">
        <f t="shared" si="92"/>
        <v>#VALUE!</v>
      </c>
      <c r="G217" s="359" t="e">
        <f t="shared" si="93"/>
        <v>#VALUE!</v>
      </c>
      <c r="J217" s="354" t="str">
        <f t="shared" si="89"/>
        <v>M208</v>
      </c>
      <c r="K217" s="355">
        <f t="shared" si="94"/>
        <v>4135.1568599822886</v>
      </c>
      <c r="L217" s="356">
        <f t="shared" si="102"/>
        <v>-2126.3731538636939</v>
      </c>
      <c r="M217" s="357">
        <f t="shared" si="95"/>
        <v>411306.9353236258</v>
      </c>
      <c r="N217" s="358">
        <f t="shared" si="95"/>
        <v>6520.0755490419297</v>
      </c>
      <c r="O217" s="359">
        <f t="shared" si="96"/>
        <v>-259299.93532362554</v>
      </c>
      <c r="R217" s="354"/>
      <c r="S217" s="355">
        <f t="shared" si="97"/>
        <v>10541.53471899495</v>
      </c>
      <c r="T217" s="356">
        <f t="shared" si="103"/>
        <v>-3103.1610889044359</v>
      </c>
      <c r="U217" s="357">
        <f t="shared" si="104"/>
        <v>1052920.8653875268</v>
      </c>
      <c r="V217" s="358">
        <f t="shared" si="104"/>
        <v>494260.84967129986</v>
      </c>
      <c r="W217" s="359">
        <f t="shared" si="98"/>
        <v>-382920.86538752721</v>
      </c>
      <c r="Z217" s="354"/>
      <c r="AA217" s="355" t="e">
        <f t="shared" si="99"/>
        <v>#NUM!</v>
      </c>
      <c r="AB217" s="356" t="e">
        <f t="shared" si="100"/>
        <v>#NUM!</v>
      </c>
      <c r="AC217" s="357" t="e">
        <f t="shared" si="105"/>
        <v>#NUM!</v>
      </c>
      <c r="AD217" s="358" t="e">
        <f t="shared" si="105"/>
        <v>#NUM!</v>
      </c>
      <c r="AE217" s="359" t="e">
        <f t="shared" si="101"/>
        <v>#NUM!</v>
      </c>
    </row>
    <row r="218" spans="2:31" x14ac:dyDescent="0.25">
      <c r="B218" s="354" t="s">
        <v>590</v>
      </c>
      <c r="C218" s="355" t="e">
        <f t="shared" si="90"/>
        <v>#VALUE!</v>
      </c>
      <c r="D218" s="356" t="e">
        <f t="shared" si="91"/>
        <v>#VALUE!</v>
      </c>
      <c r="E218" s="357" t="e">
        <f t="shared" si="92"/>
        <v>#VALUE!</v>
      </c>
      <c r="F218" s="358" t="e">
        <f t="shared" si="92"/>
        <v>#VALUE!</v>
      </c>
      <c r="G218" s="359" t="e">
        <f t="shared" si="93"/>
        <v>#VALUE!</v>
      </c>
      <c r="J218" s="354" t="str">
        <f t="shared" si="89"/>
        <v>M209</v>
      </c>
      <c r="K218" s="355">
        <f t="shared" si="94"/>
        <v>4169.6165004821405</v>
      </c>
      <c r="L218" s="356">
        <f t="shared" si="102"/>
        <v>-2160.8327943635463</v>
      </c>
      <c r="M218" s="357">
        <f t="shared" si="95"/>
        <v>415476.55182410794</v>
      </c>
      <c r="N218" s="358">
        <f t="shared" si="95"/>
        <v>4359.2427546783838</v>
      </c>
      <c r="O218" s="359">
        <f t="shared" si="96"/>
        <v>-263469.55182410771</v>
      </c>
      <c r="R218" s="354"/>
      <c r="S218" s="355">
        <f t="shared" si="97"/>
        <v>10629.380841653239</v>
      </c>
      <c r="T218" s="356">
        <f t="shared" si="103"/>
        <v>-3191.0072115627268</v>
      </c>
      <c r="U218" s="357">
        <f t="shared" si="104"/>
        <v>1063550.2462291801</v>
      </c>
      <c r="V218" s="358">
        <f t="shared" si="104"/>
        <v>491069.84245973715</v>
      </c>
      <c r="W218" s="359">
        <f t="shared" si="98"/>
        <v>-393550.24622918043</v>
      </c>
      <c r="Z218" s="354"/>
      <c r="AA218" s="355" t="e">
        <f t="shared" si="99"/>
        <v>#NUM!</v>
      </c>
      <c r="AB218" s="356" t="e">
        <f t="shared" si="100"/>
        <v>#NUM!</v>
      </c>
      <c r="AC218" s="357" t="e">
        <f t="shared" si="105"/>
        <v>#NUM!</v>
      </c>
      <c r="AD218" s="358" t="e">
        <f t="shared" si="105"/>
        <v>#NUM!</v>
      </c>
      <c r="AE218" s="359" t="e">
        <f t="shared" si="101"/>
        <v>#NUM!</v>
      </c>
    </row>
    <row r="219" spans="2:31" x14ac:dyDescent="0.25">
      <c r="B219" s="354" t="s">
        <v>591</v>
      </c>
      <c r="C219" s="355" t="e">
        <f t="shared" si="90"/>
        <v>#VALUE!</v>
      </c>
      <c r="D219" s="356" t="e">
        <f t="shared" si="91"/>
        <v>#VALUE!</v>
      </c>
      <c r="E219" s="357" t="e">
        <f t="shared" si="92"/>
        <v>#VALUE!</v>
      </c>
      <c r="F219" s="358" t="e">
        <f t="shared" si="92"/>
        <v>#VALUE!</v>
      </c>
      <c r="G219" s="359" t="e">
        <f t="shared" si="93"/>
        <v>#VALUE!</v>
      </c>
      <c r="J219" s="354" t="str">
        <f t="shared" si="89"/>
        <v>M210</v>
      </c>
      <c r="K219" s="355">
        <f t="shared" si="94"/>
        <v>4204.3633046528257</v>
      </c>
      <c r="L219" s="356">
        <f t="shared" si="102"/>
        <v>-2195.5795985342311</v>
      </c>
      <c r="M219" s="357">
        <f t="shared" si="95"/>
        <v>419680.91512876074</v>
      </c>
      <c r="N219" s="358">
        <f t="shared" si="95"/>
        <v>2163.6631561441527</v>
      </c>
      <c r="O219" s="359">
        <f t="shared" si="96"/>
        <v>-267673.91512876051</v>
      </c>
      <c r="R219" s="354"/>
      <c r="S219" s="355">
        <f t="shared" si="97"/>
        <v>10717.959015333683</v>
      </c>
      <c r="T219" s="356">
        <f t="shared" si="103"/>
        <v>-3279.5853852431701</v>
      </c>
      <c r="U219" s="357">
        <f t="shared" si="104"/>
        <v>1074268.2052445139</v>
      </c>
      <c r="V219" s="358">
        <f t="shared" si="104"/>
        <v>487790.25707449397</v>
      </c>
      <c r="W219" s="359">
        <f t="shared" si="98"/>
        <v>-404268.2052445141</v>
      </c>
      <c r="Z219" s="354"/>
      <c r="AA219" s="355" t="e">
        <f t="shared" si="99"/>
        <v>#NUM!</v>
      </c>
      <c r="AB219" s="356" t="e">
        <f t="shared" si="100"/>
        <v>#NUM!</v>
      </c>
      <c r="AC219" s="357" t="e">
        <f t="shared" si="105"/>
        <v>#NUM!</v>
      </c>
      <c r="AD219" s="358" t="e">
        <f t="shared" si="105"/>
        <v>#NUM!</v>
      </c>
      <c r="AE219" s="359" t="e">
        <f t="shared" si="101"/>
        <v>#NUM!</v>
      </c>
    </row>
    <row r="220" spans="2:31" x14ac:dyDescent="0.25">
      <c r="B220" s="354" t="s">
        <v>592</v>
      </c>
      <c r="C220" s="355" t="e">
        <f t="shared" si="90"/>
        <v>#VALUE!</v>
      </c>
      <c r="D220" s="356" t="e">
        <f t="shared" si="91"/>
        <v>#VALUE!</v>
      </c>
      <c r="E220" s="357" t="e">
        <f t="shared" ref="E220:F235" si="106">E219+C220</f>
        <v>#VALUE!</v>
      </c>
      <c r="F220" s="358" t="e">
        <f t="shared" si="106"/>
        <v>#VALUE!</v>
      </c>
      <c r="G220" s="359" t="e">
        <f t="shared" si="93"/>
        <v>#VALUE!</v>
      </c>
      <c r="J220" s="354" t="str">
        <f t="shared" si="89"/>
        <v>M211</v>
      </c>
      <c r="K220" s="355">
        <f t="shared" si="94"/>
        <v>4239.3996655249321</v>
      </c>
      <c r="L220" s="356">
        <f t="shared" si="102"/>
        <v>-2230.6159594063374</v>
      </c>
      <c r="M220" s="357">
        <f t="shared" ref="M220:N235" si="107">M219+K220</f>
        <v>423920.31479428569</v>
      </c>
      <c r="N220" s="358">
        <f t="shared" si="107"/>
        <v>-66.952803262184716</v>
      </c>
      <c r="O220" s="359">
        <f t="shared" si="96"/>
        <v>-271913.31479428546</v>
      </c>
      <c r="R220" s="354"/>
      <c r="S220" s="355">
        <f t="shared" si="97"/>
        <v>10807.275340461463</v>
      </c>
      <c r="T220" s="356">
        <f t="shared" si="103"/>
        <v>-3368.9017103709507</v>
      </c>
      <c r="U220" s="357">
        <f t="shared" si="104"/>
        <v>1085075.4805849753</v>
      </c>
      <c r="V220" s="358">
        <f t="shared" si="104"/>
        <v>484421.35536412301</v>
      </c>
      <c r="W220" s="359">
        <f t="shared" si="98"/>
        <v>-415075.48058497556</v>
      </c>
      <c r="Z220" s="354"/>
      <c r="AA220" s="355" t="e">
        <f t="shared" si="99"/>
        <v>#NUM!</v>
      </c>
      <c r="AB220" s="356" t="e">
        <f t="shared" si="100"/>
        <v>#NUM!</v>
      </c>
      <c r="AC220" s="357" t="e">
        <f t="shared" si="105"/>
        <v>#NUM!</v>
      </c>
      <c r="AD220" s="358" t="e">
        <f t="shared" si="105"/>
        <v>#NUM!</v>
      </c>
      <c r="AE220" s="359" t="e">
        <f t="shared" si="101"/>
        <v>#NUM!</v>
      </c>
    </row>
    <row r="221" spans="2:31" x14ac:dyDescent="0.25">
      <c r="B221" s="354" t="s">
        <v>593</v>
      </c>
      <c r="C221" s="355" t="e">
        <f t="shared" si="90"/>
        <v>#VALUE!</v>
      </c>
      <c r="D221" s="356" t="e">
        <f t="shared" si="91"/>
        <v>#VALUE!</v>
      </c>
      <c r="E221" s="357" t="e">
        <f t="shared" si="106"/>
        <v>#VALUE!</v>
      </c>
      <c r="F221" s="358" t="e">
        <f t="shared" si="106"/>
        <v>#VALUE!</v>
      </c>
      <c r="G221" s="359" t="e">
        <f t="shared" si="93"/>
        <v>#VALUE!</v>
      </c>
      <c r="J221" s="354" t="str">
        <f t="shared" si="89"/>
        <v>M212</v>
      </c>
      <c r="K221" s="355">
        <f t="shared" si="94"/>
        <v>4274.7279960709729</v>
      </c>
      <c r="L221" s="356">
        <f t="shared" si="102"/>
        <v>-2265.9442899523788</v>
      </c>
      <c r="M221" s="357">
        <f t="shared" si="107"/>
        <v>428195.04279035667</v>
      </c>
      <c r="N221" s="358">
        <f t="shared" si="107"/>
        <v>-2332.8970932145635</v>
      </c>
      <c r="O221" s="359">
        <f t="shared" si="96"/>
        <v>-276188.04279035644</v>
      </c>
      <c r="R221" s="354"/>
      <c r="S221" s="355">
        <f t="shared" si="97"/>
        <v>10897.335968298643</v>
      </c>
      <c r="T221" s="356">
        <f t="shared" si="103"/>
        <v>-3458.9623382081295</v>
      </c>
      <c r="U221" s="357">
        <f t="shared" si="104"/>
        <v>1095972.8165532739</v>
      </c>
      <c r="V221" s="358">
        <f t="shared" si="104"/>
        <v>480962.39302591491</v>
      </c>
      <c r="W221" s="359">
        <f t="shared" si="98"/>
        <v>-425972.81655327423</v>
      </c>
      <c r="Z221" s="354"/>
      <c r="AA221" s="355" t="e">
        <f t="shared" si="99"/>
        <v>#NUM!</v>
      </c>
      <c r="AB221" s="356" t="e">
        <f t="shared" si="100"/>
        <v>#NUM!</v>
      </c>
      <c r="AC221" s="357" t="e">
        <f t="shared" si="105"/>
        <v>#NUM!</v>
      </c>
      <c r="AD221" s="358" t="e">
        <f t="shared" si="105"/>
        <v>#NUM!</v>
      </c>
      <c r="AE221" s="359" t="e">
        <f t="shared" si="101"/>
        <v>#NUM!</v>
      </c>
    </row>
    <row r="222" spans="2:31" x14ac:dyDescent="0.25">
      <c r="B222" s="354" t="s">
        <v>594</v>
      </c>
      <c r="C222" s="355" t="e">
        <f t="shared" si="90"/>
        <v>#VALUE!</v>
      </c>
      <c r="D222" s="356" t="e">
        <f t="shared" si="91"/>
        <v>#VALUE!</v>
      </c>
      <c r="E222" s="357" t="e">
        <f t="shared" si="106"/>
        <v>#VALUE!</v>
      </c>
      <c r="F222" s="358" t="e">
        <f t="shared" si="106"/>
        <v>#VALUE!</v>
      </c>
      <c r="G222" s="359" t="e">
        <f t="shared" si="93"/>
        <v>#VALUE!</v>
      </c>
      <c r="J222" s="354" t="str">
        <f t="shared" si="89"/>
        <v>M213</v>
      </c>
      <c r="K222" s="355">
        <f t="shared" si="94"/>
        <v>4310.3507293715647</v>
      </c>
      <c r="L222" s="356">
        <f t="shared" si="102"/>
        <v>-2301.5670232529701</v>
      </c>
      <c r="M222" s="357">
        <f t="shared" si="107"/>
        <v>432505.39351972821</v>
      </c>
      <c r="N222" s="358">
        <f t="shared" si="107"/>
        <v>-4634.464116467534</v>
      </c>
      <c r="O222" s="359">
        <f t="shared" si="96"/>
        <v>-280498.39351972798</v>
      </c>
      <c r="R222" s="354"/>
      <c r="S222" s="355">
        <f t="shared" si="97"/>
        <v>10988.147101367798</v>
      </c>
      <c r="T222" s="356">
        <f t="shared" si="103"/>
        <v>-3549.7734712772854</v>
      </c>
      <c r="U222" s="357">
        <f t="shared" si="104"/>
        <v>1106960.9636546418</v>
      </c>
      <c r="V222" s="358">
        <f t="shared" si="104"/>
        <v>477412.61955463764</v>
      </c>
      <c r="W222" s="359">
        <f t="shared" si="98"/>
        <v>-436960.96365464205</v>
      </c>
      <c r="Z222" s="354"/>
      <c r="AA222" s="355" t="e">
        <f t="shared" si="99"/>
        <v>#NUM!</v>
      </c>
      <c r="AB222" s="356" t="e">
        <f t="shared" si="100"/>
        <v>#NUM!</v>
      </c>
      <c r="AC222" s="357" t="e">
        <f t="shared" si="105"/>
        <v>#NUM!</v>
      </c>
      <c r="AD222" s="358" t="e">
        <f t="shared" si="105"/>
        <v>#NUM!</v>
      </c>
      <c r="AE222" s="359" t="e">
        <f t="shared" si="101"/>
        <v>#NUM!</v>
      </c>
    </row>
    <row r="223" spans="2:31" x14ac:dyDescent="0.25">
      <c r="B223" s="354" t="s">
        <v>595</v>
      </c>
      <c r="C223" s="355" t="e">
        <f t="shared" si="90"/>
        <v>#VALUE!</v>
      </c>
      <c r="D223" s="356" t="e">
        <f t="shared" si="91"/>
        <v>#VALUE!</v>
      </c>
      <c r="E223" s="357" t="e">
        <f t="shared" si="106"/>
        <v>#VALUE!</v>
      </c>
      <c r="F223" s="358" t="e">
        <f t="shared" si="106"/>
        <v>#VALUE!</v>
      </c>
      <c r="G223" s="359" t="e">
        <f t="shared" si="93"/>
        <v>#VALUE!</v>
      </c>
      <c r="J223" s="354" t="str">
        <f t="shared" si="89"/>
        <v>M214</v>
      </c>
      <c r="K223" s="355">
        <f t="shared" si="94"/>
        <v>4346.2703187829939</v>
      </c>
      <c r="L223" s="356">
        <f t="shared" si="102"/>
        <v>-2337.4866126643997</v>
      </c>
      <c r="M223" s="357">
        <f t="shared" si="107"/>
        <v>436851.66383851122</v>
      </c>
      <c r="N223" s="358">
        <f t="shared" si="107"/>
        <v>-6971.9507291319333</v>
      </c>
      <c r="O223" s="359">
        <f t="shared" si="96"/>
        <v>-284844.66383851098</v>
      </c>
      <c r="R223" s="354"/>
      <c r="S223" s="355">
        <f t="shared" si="97"/>
        <v>11079.714993879197</v>
      </c>
      <c r="T223" s="356">
        <f t="shared" si="103"/>
        <v>-3641.3413637886838</v>
      </c>
      <c r="U223" s="357">
        <f t="shared" si="104"/>
        <v>1118040.678648521</v>
      </c>
      <c r="V223" s="358">
        <f t="shared" si="104"/>
        <v>473771.27819084894</v>
      </c>
      <c r="W223" s="359">
        <f t="shared" si="98"/>
        <v>-448040.67864852125</v>
      </c>
      <c r="Z223" s="354"/>
      <c r="AA223" s="355" t="e">
        <f t="shared" si="99"/>
        <v>#NUM!</v>
      </c>
      <c r="AB223" s="356" t="e">
        <f t="shared" si="100"/>
        <v>#NUM!</v>
      </c>
      <c r="AC223" s="357" t="e">
        <f t="shared" si="105"/>
        <v>#NUM!</v>
      </c>
      <c r="AD223" s="358" t="e">
        <f t="shared" si="105"/>
        <v>#NUM!</v>
      </c>
      <c r="AE223" s="359" t="e">
        <f t="shared" si="101"/>
        <v>#NUM!</v>
      </c>
    </row>
    <row r="224" spans="2:31" x14ac:dyDescent="0.25">
      <c r="B224" s="354" t="s">
        <v>596</v>
      </c>
      <c r="C224" s="355" t="e">
        <f t="shared" si="90"/>
        <v>#VALUE!</v>
      </c>
      <c r="D224" s="356" t="e">
        <f t="shared" si="91"/>
        <v>#VALUE!</v>
      </c>
      <c r="E224" s="357" t="e">
        <f t="shared" si="106"/>
        <v>#VALUE!</v>
      </c>
      <c r="F224" s="358" t="e">
        <f t="shared" si="106"/>
        <v>#VALUE!</v>
      </c>
      <c r="G224" s="359" t="e">
        <f t="shared" si="93"/>
        <v>#VALUE!</v>
      </c>
      <c r="J224" s="354" t="str">
        <f t="shared" si="89"/>
        <v>M215</v>
      </c>
      <c r="K224" s="355">
        <f t="shared" si="94"/>
        <v>4382.4892381061863</v>
      </c>
      <c r="L224" s="356">
        <f t="shared" si="102"/>
        <v>-2373.7055319875917</v>
      </c>
      <c r="M224" s="357">
        <f t="shared" si="107"/>
        <v>441234.1530766174</v>
      </c>
      <c r="N224" s="358">
        <f t="shared" si="107"/>
        <v>-9345.6562611195259</v>
      </c>
      <c r="O224" s="359">
        <f t="shared" si="96"/>
        <v>-289227.15307661716</v>
      </c>
      <c r="R224" s="354"/>
      <c r="S224" s="355">
        <f t="shared" si="97"/>
        <v>11172.045952161523</v>
      </c>
      <c r="T224" s="356">
        <f t="shared" si="103"/>
        <v>-3733.6723220710105</v>
      </c>
      <c r="U224" s="357">
        <f t="shared" ref="U224:V239" si="108">U223+S224</f>
        <v>1129212.7246006825</v>
      </c>
      <c r="V224" s="358">
        <f t="shared" si="108"/>
        <v>470037.60586877796</v>
      </c>
      <c r="W224" s="359">
        <f t="shared" si="98"/>
        <v>-459212.72460068279</v>
      </c>
      <c r="Z224" s="354"/>
      <c r="AA224" s="355" t="e">
        <f t="shared" si="99"/>
        <v>#NUM!</v>
      </c>
      <c r="AB224" s="356" t="e">
        <f t="shared" si="100"/>
        <v>#NUM!</v>
      </c>
      <c r="AC224" s="357" t="e">
        <f t="shared" ref="AC224:AD239" si="109">AC223+AA224</f>
        <v>#NUM!</v>
      </c>
      <c r="AD224" s="358" t="e">
        <f t="shared" si="109"/>
        <v>#NUM!</v>
      </c>
      <c r="AE224" s="359" t="e">
        <f t="shared" si="101"/>
        <v>#NUM!</v>
      </c>
    </row>
    <row r="225" spans="2:31" x14ac:dyDescent="0.25">
      <c r="B225" s="354" t="s">
        <v>597</v>
      </c>
      <c r="C225" s="355" t="e">
        <f t="shared" si="90"/>
        <v>#VALUE!</v>
      </c>
      <c r="D225" s="356" t="e">
        <f t="shared" si="91"/>
        <v>#VALUE!</v>
      </c>
      <c r="E225" s="357" t="e">
        <f t="shared" si="106"/>
        <v>#VALUE!</v>
      </c>
      <c r="F225" s="358" t="e">
        <f t="shared" si="106"/>
        <v>#VALUE!</v>
      </c>
      <c r="G225" s="359" t="e">
        <f t="shared" si="93"/>
        <v>#VALUE!</v>
      </c>
      <c r="J225" s="354" t="str">
        <f t="shared" si="89"/>
        <v>M216</v>
      </c>
      <c r="K225" s="355">
        <f t="shared" si="94"/>
        <v>4419.0099817570708</v>
      </c>
      <c r="L225" s="356">
        <f t="shared" si="102"/>
        <v>-2410.2262756384762</v>
      </c>
      <c r="M225" s="357">
        <f t="shared" si="107"/>
        <v>445653.16305837448</v>
      </c>
      <c r="N225" s="358">
        <f t="shared" si="107"/>
        <v>-11755.882536758003</v>
      </c>
      <c r="O225" s="359">
        <f t="shared" si="96"/>
        <v>-293646.16305837425</v>
      </c>
      <c r="R225" s="354"/>
      <c r="S225" s="355">
        <f t="shared" si="97"/>
        <v>11265.146335096202</v>
      </c>
      <c r="T225" s="356">
        <f t="shared" si="103"/>
        <v>-3826.7727050056897</v>
      </c>
      <c r="U225" s="357">
        <f t="shared" si="108"/>
        <v>1140477.8709357786</v>
      </c>
      <c r="V225" s="358">
        <f t="shared" si="108"/>
        <v>466210.83316377224</v>
      </c>
      <c r="W225" s="359">
        <f t="shared" si="98"/>
        <v>-470477.87093577901</v>
      </c>
      <c r="Z225" s="354"/>
      <c r="AA225" s="355" t="e">
        <f t="shared" si="99"/>
        <v>#NUM!</v>
      </c>
      <c r="AB225" s="356" t="e">
        <f t="shared" si="100"/>
        <v>#NUM!</v>
      </c>
      <c r="AC225" s="357" t="e">
        <f t="shared" si="109"/>
        <v>#NUM!</v>
      </c>
      <c r="AD225" s="358" t="e">
        <f t="shared" si="109"/>
        <v>#NUM!</v>
      </c>
      <c r="AE225" s="359" t="e">
        <f t="shared" si="101"/>
        <v>#NUM!</v>
      </c>
    </row>
    <row r="226" spans="2:31" x14ac:dyDescent="0.25">
      <c r="B226" s="354" t="s">
        <v>598</v>
      </c>
      <c r="C226" s="355" t="e">
        <f t="shared" si="90"/>
        <v>#VALUE!</v>
      </c>
      <c r="D226" s="356" t="e">
        <f t="shared" si="91"/>
        <v>#VALUE!</v>
      </c>
      <c r="E226" s="357" t="e">
        <f t="shared" si="106"/>
        <v>#VALUE!</v>
      </c>
      <c r="F226" s="358" t="e">
        <f t="shared" si="106"/>
        <v>#VALUE!</v>
      </c>
      <c r="G226" s="359" t="e">
        <f t="shared" si="93"/>
        <v>#VALUE!</v>
      </c>
      <c r="J226" s="354" t="str">
        <f t="shared" si="89"/>
        <v>M217</v>
      </c>
      <c r="K226" s="355">
        <f t="shared" si="94"/>
        <v>4455.8350649383801</v>
      </c>
      <c r="L226" s="356">
        <f t="shared" si="102"/>
        <v>-2447.0513588197855</v>
      </c>
      <c r="M226" s="357">
        <f t="shared" si="107"/>
        <v>450108.99812331289</v>
      </c>
      <c r="N226" s="358">
        <f t="shared" si="107"/>
        <v>-14202.933895577789</v>
      </c>
      <c r="O226" s="359">
        <f t="shared" si="96"/>
        <v>-298101.99812331266</v>
      </c>
      <c r="R226" s="354"/>
      <c r="S226" s="355">
        <f t="shared" si="97"/>
        <v>11359.022554555339</v>
      </c>
      <c r="T226" s="356">
        <f t="shared" si="103"/>
        <v>-3920.6489244648251</v>
      </c>
      <c r="U226" s="357">
        <f t="shared" si="108"/>
        <v>1151836.893490334</v>
      </c>
      <c r="V226" s="358">
        <f t="shared" si="108"/>
        <v>462290.18423930742</v>
      </c>
      <c r="W226" s="359">
        <f t="shared" si="98"/>
        <v>-481836.89349033433</v>
      </c>
      <c r="Z226" s="354"/>
      <c r="AA226" s="355" t="e">
        <f t="shared" si="99"/>
        <v>#NUM!</v>
      </c>
      <c r="AB226" s="356" t="e">
        <f t="shared" si="100"/>
        <v>#NUM!</v>
      </c>
      <c r="AC226" s="357" t="e">
        <f t="shared" si="109"/>
        <v>#NUM!</v>
      </c>
      <c r="AD226" s="358" t="e">
        <f t="shared" si="109"/>
        <v>#NUM!</v>
      </c>
      <c r="AE226" s="359" t="e">
        <f t="shared" si="101"/>
        <v>#NUM!</v>
      </c>
    </row>
    <row r="227" spans="2:31" x14ac:dyDescent="0.25">
      <c r="B227" s="354" t="s">
        <v>599</v>
      </c>
      <c r="C227" s="355" t="e">
        <f t="shared" si="90"/>
        <v>#VALUE!</v>
      </c>
      <c r="D227" s="356" t="e">
        <f t="shared" si="91"/>
        <v>#VALUE!</v>
      </c>
      <c r="E227" s="357" t="e">
        <f t="shared" si="106"/>
        <v>#VALUE!</v>
      </c>
      <c r="F227" s="358" t="e">
        <f t="shared" si="106"/>
        <v>#VALUE!</v>
      </c>
      <c r="G227" s="359" t="e">
        <f t="shared" si="93"/>
        <v>#VALUE!</v>
      </c>
      <c r="J227" s="354" t="str">
        <f t="shared" si="89"/>
        <v>M218</v>
      </c>
      <c r="K227" s="355">
        <f t="shared" si="94"/>
        <v>4492.9670238128665</v>
      </c>
      <c r="L227" s="356">
        <f t="shared" si="102"/>
        <v>-2484.1833176942723</v>
      </c>
      <c r="M227" s="357">
        <f t="shared" si="107"/>
        <v>454601.96514712577</v>
      </c>
      <c r="N227" s="358">
        <f t="shared" si="107"/>
        <v>-16687.11721327206</v>
      </c>
      <c r="O227" s="359">
        <f t="shared" si="96"/>
        <v>-302594.96514712553</v>
      </c>
      <c r="R227" s="354"/>
      <c r="S227" s="355">
        <f t="shared" si="97"/>
        <v>11453.681075843298</v>
      </c>
      <c r="T227" s="356">
        <f t="shared" si="103"/>
        <v>-4015.307445752786</v>
      </c>
      <c r="U227" s="357">
        <f t="shared" si="108"/>
        <v>1163290.5745661773</v>
      </c>
      <c r="V227" s="358">
        <f t="shared" si="108"/>
        <v>458274.87679355463</v>
      </c>
      <c r="W227" s="359">
        <f t="shared" si="98"/>
        <v>-493290.57456617762</v>
      </c>
      <c r="Z227" s="354"/>
      <c r="AA227" s="355" t="e">
        <f t="shared" si="99"/>
        <v>#NUM!</v>
      </c>
      <c r="AB227" s="356" t="e">
        <f t="shared" si="100"/>
        <v>#NUM!</v>
      </c>
      <c r="AC227" s="357" t="e">
        <f t="shared" si="109"/>
        <v>#NUM!</v>
      </c>
      <c r="AD227" s="358" t="e">
        <f t="shared" si="109"/>
        <v>#NUM!</v>
      </c>
      <c r="AE227" s="359" t="e">
        <f t="shared" si="101"/>
        <v>#NUM!</v>
      </c>
    </row>
    <row r="228" spans="2:31" x14ac:dyDescent="0.25">
      <c r="B228" s="354" t="s">
        <v>600</v>
      </c>
      <c r="C228" s="355" t="e">
        <f t="shared" si="90"/>
        <v>#VALUE!</v>
      </c>
      <c r="D228" s="356" t="e">
        <f t="shared" si="91"/>
        <v>#VALUE!</v>
      </c>
      <c r="E228" s="357" t="e">
        <f t="shared" si="106"/>
        <v>#VALUE!</v>
      </c>
      <c r="F228" s="358" t="e">
        <f t="shared" si="106"/>
        <v>#VALUE!</v>
      </c>
      <c r="G228" s="359" t="e">
        <f t="shared" si="93"/>
        <v>#VALUE!</v>
      </c>
      <c r="J228" s="354" t="str">
        <f t="shared" si="89"/>
        <v>M219</v>
      </c>
      <c r="K228" s="355">
        <f t="shared" si="94"/>
        <v>4530.4084156779736</v>
      </c>
      <c r="L228" s="356">
        <f t="shared" si="102"/>
        <v>-2521.6247095593794</v>
      </c>
      <c r="M228" s="357">
        <f t="shared" si="107"/>
        <v>459132.37356280372</v>
      </c>
      <c r="N228" s="358">
        <f t="shared" si="107"/>
        <v>-19208.741922831439</v>
      </c>
      <c r="O228" s="359">
        <f t="shared" si="96"/>
        <v>-307125.37356280349</v>
      </c>
      <c r="R228" s="354"/>
      <c r="S228" s="355">
        <f t="shared" si="97"/>
        <v>11549.128418141994</v>
      </c>
      <c r="T228" s="356">
        <f t="shared" si="103"/>
        <v>-4110.7547880514803</v>
      </c>
      <c r="U228" s="357">
        <f t="shared" si="108"/>
        <v>1174839.7029843193</v>
      </c>
      <c r="V228" s="358">
        <f t="shared" si="108"/>
        <v>454164.12200550316</v>
      </c>
      <c r="W228" s="359">
        <f t="shared" si="98"/>
        <v>-504839.70298431959</v>
      </c>
      <c r="Z228" s="354"/>
      <c r="AA228" s="355" t="e">
        <f t="shared" si="99"/>
        <v>#NUM!</v>
      </c>
      <c r="AB228" s="356" t="e">
        <f t="shared" si="100"/>
        <v>#NUM!</v>
      </c>
      <c r="AC228" s="357" t="e">
        <f t="shared" si="109"/>
        <v>#NUM!</v>
      </c>
      <c r="AD228" s="358" t="e">
        <f t="shared" si="109"/>
        <v>#NUM!</v>
      </c>
      <c r="AE228" s="359" t="e">
        <f t="shared" si="101"/>
        <v>#NUM!</v>
      </c>
    </row>
    <row r="229" spans="2:31" x14ac:dyDescent="0.25">
      <c r="B229" s="354" t="s">
        <v>601</v>
      </c>
      <c r="C229" s="355" t="e">
        <f t="shared" si="90"/>
        <v>#VALUE!</v>
      </c>
      <c r="D229" s="356" t="e">
        <f t="shared" si="91"/>
        <v>#VALUE!</v>
      </c>
      <c r="E229" s="357" t="e">
        <f t="shared" si="106"/>
        <v>#VALUE!</v>
      </c>
      <c r="F229" s="358" t="e">
        <f t="shared" si="106"/>
        <v>#VALUE!</v>
      </c>
      <c r="G229" s="359" t="e">
        <f t="shared" si="93"/>
        <v>#VALUE!</v>
      </c>
      <c r="J229" s="354" t="str">
        <f t="shared" si="89"/>
        <v>M220</v>
      </c>
      <c r="K229" s="355">
        <f t="shared" si="94"/>
        <v>4568.1618191419566</v>
      </c>
      <c r="L229" s="356">
        <f t="shared" si="102"/>
        <v>-2559.3781130233624</v>
      </c>
      <c r="M229" s="357">
        <f t="shared" si="107"/>
        <v>463700.53538194566</v>
      </c>
      <c r="N229" s="358">
        <f t="shared" si="107"/>
        <v>-21768.120035854801</v>
      </c>
      <c r="O229" s="359">
        <f t="shared" si="96"/>
        <v>-311693.53538194543</v>
      </c>
      <c r="R229" s="354"/>
      <c r="S229" s="355">
        <f t="shared" si="97"/>
        <v>11645.371154959843</v>
      </c>
      <c r="T229" s="356">
        <f t="shared" si="103"/>
        <v>-4206.9975248693299</v>
      </c>
      <c r="U229" s="357">
        <f t="shared" si="108"/>
        <v>1186485.0741392791</v>
      </c>
      <c r="V229" s="358">
        <f t="shared" si="108"/>
        <v>449957.12448063382</v>
      </c>
      <c r="W229" s="359">
        <f t="shared" si="98"/>
        <v>-516485.07413927943</v>
      </c>
      <c r="Z229" s="354"/>
      <c r="AA229" s="355" t="e">
        <f t="shared" si="99"/>
        <v>#NUM!</v>
      </c>
      <c r="AB229" s="356" t="e">
        <f t="shared" si="100"/>
        <v>#NUM!</v>
      </c>
      <c r="AC229" s="357" t="e">
        <f t="shared" si="109"/>
        <v>#NUM!</v>
      </c>
      <c r="AD229" s="358" t="e">
        <f t="shared" si="109"/>
        <v>#NUM!</v>
      </c>
      <c r="AE229" s="359" t="e">
        <f t="shared" si="101"/>
        <v>#NUM!</v>
      </c>
    </row>
    <row r="230" spans="2:31" x14ac:dyDescent="0.25">
      <c r="B230" s="354" t="s">
        <v>602</v>
      </c>
      <c r="C230" s="355" t="e">
        <f t="shared" si="90"/>
        <v>#VALUE!</v>
      </c>
      <c r="D230" s="356" t="e">
        <f t="shared" si="91"/>
        <v>#VALUE!</v>
      </c>
      <c r="E230" s="357" t="e">
        <f t="shared" si="106"/>
        <v>#VALUE!</v>
      </c>
      <c r="F230" s="358" t="e">
        <f t="shared" si="106"/>
        <v>#VALUE!</v>
      </c>
      <c r="G230" s="359" t="e">
        <f t="shared" si="93"/>
        <v>#VALUE!</v>
      </c>
      <c r="J230" s="354" t="str">
        <f t="shared" si="89"/>
        <v>M221</v>
      </c>
      <c r="K230" s="355">
        <f t="shared" si="94"/>
        <v>4606.2298343014727</v>
      </c>
      <c r="L230" s="356">
        <f t="shared" si="102"/>
        <v>-2597.4461281828785</v>
      </c>
      <c r="M230" s="357">
        <f t="shared" si="107"/>
        <v>468306.76521624712</v>
      </c>
      <c r="N230" s="358">
        <f t="shared" si="107"/>
        <v>-24365.566164037678</v>
      </c>
      <c r="O230" s="359">
        <f t="shared" si="96"/>
        <v>-316299.76521624689</v>
      </c>
      <c r="R230" s="354"/>
      <c r="S230" s="355">
        <f t="shared" si="97"/>
        <v>11742.415914584508</v>
      </c>
      <c r="T230" s="356">
        <f t="shared" si="103"/>
        <v>-4304.0422844939949</v>
      </c>
      <c r="U230" s="357">
        <f t="shared" si="108"/>
        <v>1198227.4900538635</v>
      </c>
      <c r="V230" s="358">
        <f t="shared" si="108"/>
        <v>445653.08219613985</v>
      </c>
      <c r="W230" s="359">
        <f t="shared" si="98"/>
        <v>-528227.49005386396</v>
      </c>
      <c r="Z230" s="354"/>
      <c r="AA230" s="355" t="e">
        <f t="shared" si="99"/>
        <v>#NUM!</v>
      </c>
      <c r="AB230" s="356" t="e">
        <f t="shared" si="100"/>
        <v>#NUM!</v>
      </c>
      <c r="AC230" s="357" t="e">
        <f t="shared" si="109"/>
        <v>#NUM!</v>
      </c>
      <c r="AD230" s="358" t="e">
        <f t="shared" si="109"/>
        <v>#NUM!</v>
      </c>
      <c r="AE230" s="359" t="e">
        <f t="shared" si="101"/>
        <v>#NUM!</v>
      </c>
    </row>
    <row r="231" spans="2:31" x14ac:dyDescent="0.25">
      <c r="B231" s="354" t="s">
        <v>603</v>
      </c>
      <c r="C231" s="355" t="e">
        <f t="shared" si="90"/>
        <v>#VALUE!</v>
      </c>
      <c r="D231" s="356" t="e">
        <f t="shared" si="91"/>
        <v>#VALUE!</v>
      </c>
      <c r="E231" s="357" t="e">
        <f t="shared" si="106"/>
        <v>#VALUE!</v>
      </c>
      <c r="F231" s="358" t="e">
        <f t="shared" si="106"/>
        <v>#VALUE!</v>
      </c>
      <c r="G231" s="359" t="e">
        <f t="shared" si="93"/>
        <v>#VALUE!</v>
      </c>
      <c r="J231" s="354" t="str">
        <f t="shared" si="89"/>
        <v>M222</v>
      </c>
      <c r="K231" s="355">
        <f t="shared" si="94"/>
        <v>4644.6150829206517</v>
      </c>
      <c r="L231" s="356">
        <f t="shared" si="102"/>
        <v>-2635.8313768020575</v>
      </c>
      <c r="M231" s="357">
        <f t="shared" si="107"/>
        <v>472951.38029916777</v>
      </c>
      <c r="N231" s="358">
        <f t="shared" si="107"/>
        <v>-27001.397540839735</v>
      </c>
      <c r="O231" s="359">
        <f t="shared" si="96"/>
        <v>-320944.38029916753</v>
      </c>
      <c r="R231" s="354"/>
      <c r="S231" s="355">
        <f t="shared" si="97"/>
        <v>11840.269380539379</v>
      </c>
      <c r="T231" s="356">
        <f t="shared" si="103"/>
        <v>-4401.8957504488662</v>
      </c>
      <c r="U231" s="357">
        <f t="shared" si="108"/>
        <v>1210067.7594344029</v>
      </c>
      <c r="V231" s="358">
        <f t="shared" si="108"/>
        <v>441251.18644569098</v>
      </c>
      <c r="W231" s="359">
        <f t="shared" si="98"/>
        <v>-540067.75943440339</v>
      </c>
      <c r="Z231" s="354"/>
      <c r="AA231" s="355" t="e">
        <f t="shared" si="99"/>
        <v>#NUM!</v>
      </c>
      <c r="AB231" s="356" t="e">
        <f t="shared" si="100"/>
        <v>#NUM!</v>
      </c>
      <c r="AC231" s="357" t="e">
        <f t="shared" si="109"/>
        <v>#NUM!</v>
      </c>
      <c r="AD231" s="358" t="e">
        <f t="shared" si="109"/>
        <v>#NUM!</v>
      </c>
      <c r="AE231" s="359" t="e">
        <f t="shared" si="101"/>
        <v>#NUM!</v>
      </c>
    </row>
    <row r="232" spans="2:31" x14ac:dyDescent="0.25">
      <c r="B232" s="354" t="s">
        <v>604</v>
      </c>
      <c r="C232" s="355" t="e">
        <f t="shared" si="90"/>
        <v>#VALUE!</v>
      </c>
      <c r="D232" s="356" t="e">
        <f t="shared" si="91"/>
        <v>#VALUE!</v>
      </c>
      <c r="E232" s="357" t="e">
        <f t="shared" si="106"/>
        <v>#VALUE!</v>
      </c>
      <c r="F232" s="358" t="e">
        <f t="shared" si="106"/>
        <v>#VALUE!</v>
      </c>
      <c r="G232" s="359" t="e">
        <f t="shared" si="93"/>
        <v>#VALUE!</v>
      </c>
      <c r="J232" s="354" t="str">
        <f t="shared" si="89"/>
        <v>M223</v>
      </c>
      <c r="K232" s="355">
        <f t="shared" si="94"/>
        <v>4683.3202086116571</v>
      </c>
      <c r="L232" s="356">
        <f t="shared" si="102"/>
        <v>-2674.5365024930629</v>
      </c>
      <c r="M232" s="357">
        <f t="shared" si="107"/>
        <v>477634.70050777943</v>
      </c>
      <c r="N232" s="358">
        <f t="shared" si="107"/>
        <v>-29675.934043332796</v>
      </c>
      <c r="O232" s="359">
        <f t="shared" si="96"/>
        <v>-325627.7005077792</v>
      </c>
      <c r="R232" s="354"/>
      <c r="S232" s="355">
        <f t="shared" si="97"/>
        <v>11938.938292043875</v>
      </c>
      <c r="T232" s="356">
        <f t="shared" si="103"/>
        <v>-4500.5646619533618</v>
      </c>
      <c r="U232" s="357">
        <f t="shared" si="108"/>
        <v>1222006.6977264469</v>
      </c>
      <c r="V232" s="358">
        <f t="shared" si="108"/>
        <v>436750.62178373762</v>
      </c>
      <c r="W232" s="359">
        <f t="shared" si="98"/>
        <v>-552006.69772644725</v>
      </c>
      <c r="Z232" s="354"/>
      <c r="AA232" s="355" t="e">
        <f t="shared" si="99"/>
        <v>#NUM!</v>
      </c>
      <c r="AB232" s="356" t="e">
        <f t="shared" si="100"/>
        <v>#NUM!</v>
      </c>
      <c r="AC232" s="357" t="e">
        <f t="shared" si="109"/>
        <v>#NUM!</v>
      </c>
      <c r="AD232" s="358" t="e">
        <f t="shared" si="109"/>
        <v>#NUM!</v>
      </c>
      <c r="AE232" s="359" t="e">
        <f t="shared" si="101"/>
        <v>#NUM!</v>
      </c>
    </row>
    <row r="233" spans="2:31" x14ac:dyDescent="0.25">
      <c r="B233" s="354" t="s">
        <v>605</v>
      </c>
      <c r="C233" s="355" t="e">
        <f t="shared" si="90"/>
        <v>#VALUE!</v>
      </c>
      <c r="D233" s="356" t="e">
        <f t="shared" si="91"/>
        <v>#VALUE!</v>
      </c>
      <c r="E233" s="357" t="e">
        <f t="shared" si="106"/>
        <v>#VALUE!</v>
      </c>
      <c r="F233" s="358" t="e">
        <f t="shared" si="106"/>
        <v>#VALUE!</v>
      </c>
      <c r="G233" s="359" t="e">
        <f t="shared" si="93"/>
        <v>#VALUE!</v>
      </c>
      <c r="J233" s="354" t="str">
        <f t="shared" si="89"/>
        <v>M224</v>
      </c>
      <c r="K233" s="355">
        <f t="shared" si="94"/>
        <v>4722.347877016754</v>
      </c>
      <c r="L233" s="356">
        <f t="shared" si="102"/>
        <v>-2713.5641708981598</v>
      </c>
      <c r="M233" s="357">
        <f t="shared" si="107"/>
        <v>482357.04838479619</v>
      </c>
      <c r="N233" s="358">
        <f t="shared" si="107"/>
        <v>-32389.498214230956</v>
      </c>
      <c r="O233" s="359">
        <f t="shared" si="96"/>
        <v>-330350.04838479595</v>
      </c>
      <c r="R233" s="354"/>
      <c r="S233" s="355">
        <f t="shared" si="97"/>
        <v>12038.429444477573</v>
      </c>
      <c r="T233" s="356">
        <f t="shared" si="103"/>
        <v>-4600.0558143870603</v>
      </c>
      <c r="U233" s="357">
        <f t="shared" si="108"/>
        <v>1234045.1271709246</v>
      </c>
      <c r="V233" s="358">
        <f t="shared" si="108"/>
        <v>432150.56596935057</v>
      </c>
      <c r="W233" s="359">
        <f t="shared" si="98"/>
        <v>-564045.1271709248</v>
      </c>
      <c r="Z233" s="354"/>
      <c r="AA233" s="355" t="e">
        <f t="shared" si="99"/>
        <v>#NUM!</v>
      </c>
      <c r="AB233" s="356" t="e">
        <f t="shared" si="100"/>
        <v>#NUM!</v>
      </c>
      <c r="AC233" s="357" t="e">
        <f t="shared" si="109"/>
        <v>#NUM!</v>
      </c>
      <c r="AD233" s="358" t="e">
        <f t="shared" si="109"/>
        <v>#NUM!</v>
      </c>
      <c r="AE233" s="359" t="e">
        <f t="shared" si="101"/>
        <v>#NUM!</v>
      </c>
    </row>
    <row r="234" spans="2:31" x14ac:dyDescent="0.25">
      <c r="B234" s="354" t="s">
        <v>606</v>
      </c>
      <c r="C234" s="355" t="e">
        <f t="shared" si="90"/>
        <v>#VALUE!</v>
      </c>
      <c r="D234" s="356" t="e">
        <f t="shared" si="91"/>
        <v>#VALUE!</v>
      </c>
      <c r="E234" s="357" t="e">
        <f t="shared" si="106"/>
        <v>#VALUE!</v>
      </c>
      <c r="F234" s="358" t="e">
        <f t="shared" si="106"/>
        <v>#VALUE!</v>
      </c>
      <c r="G234" s="359" t="e">
        <f t="shared" si="93"/>
        <v>#VALUE!</v>
      </c>
      <c r="J234" s="354" t="str">
        <f t="shared" si="89"/>
        <v>M225</v>
      </c>
      <c r="K234" s="355">
        <f t="shared" si="94"/>
        <v>4761.7007759918943</v>
      </c>
      <c r="L234" s="356">
        <f t="shared" si="102"/>
        <v>-2752.9170698732996</v>
      </c>
      <c r="M234" s="357">
        <f t="shared" si="107"/>
        <v>487118.74916078808</v>
      </c>
      <c r="N234" s="358">
        <f t="shared" si="107"/>
        <v>-35142.415284104252</v>
      </c>
      <c r="O234" s="359">
        <f t="shared" si="96"/>
        <v>-335111.74916078785</v>
      </c>
      <c r="R234" s="354"/>
      <c r="S234" s="355">
        <f t="shared" si="97"/>
        <v>12138.74968984822</v>
      </c>
      <c r="T234" s="356">
        <f t="shared" si="103"/>
        <v>-4700.3760597577066</v>
      </c>
      <c r="U234" s="357">
        <f t="shared" si="108"/>
        <v>1246183.8768607727</v>
      </c>
      <c r="V234" s="358">
        <f t="shared" si="108"/>
        <v>427450.18990959285</v>
      </c>
      <c r="W234" s="359">
        <f t="shared" si="98"/>
        <v>-576183.87686077296</v>
      </c>
      <c r="Z234" s="354"/>
      <c r="AA234" s="355" t="e">
        <f t="shared" si="99"/>
        <v>#NUM!</v>
      </c>
      <c r="AB234" s="356" t="e">
        <f t="shared" si="100"/>
        <v>#NUM!</v>
      </c>
      <c r="AC234" s="357" t="e">
        <f t="shared" si="109"/>
        <v>#NUM!</v>
      </c>
      <c r="AD234" s="358" t="e">
        <f t="shared" si="109"/>
        <v>#NUM!</v>
      </c>
      <c r="AE234" s="359" t="e">
        <f t="shared" si="101"/>
        <v>#NUM!</v>
      </c>
    </row>
    <row r="235" spans="2:31" x14ac:dyDescent="0.25">
      <c r="B235" s="354" t="s">
        <v>607</v>
      </c>
      <c r="C235" s="355" t="e">
        <f t="shared" si="90"/>
        <v>#VALUE!</v>
      </c>
      <c r="D235" s="356" t="e">
        <f t="shared" si="91"/>
        <v>#VALUE!</v>
      </c>
      <c r="E235" s="357" t="e">
        <f t="shared" si="106"/>
        <v>#VALUE!</v>
      </c>
      <c r="F235" s="358" t="e">
        <f t="shared" si="106"/>
        <v>#VALUE!</v>
      </c>
      <c r="G235" s="359" t="e">
        <f t="shared" si="93"/>
        <v>#VALUE!</v>
      </c>
      <c r="J235" s="354" t="str">
        <f t="shared" si="89"/>
        <v>M226</v>
      </c>
      <c r="K235" s="355">
        <f t="shared" si="94"/>
        <v>4801.3816157918263</v>
      </c>
      <c r="L235" s="356">
        <f t="shared" si="102"/>
        <v>-2792.5979096732322</v>
      </c>
      <c r="M235" s="357">
        <f t="shared" si="107"/>
        <v>491920.1307765799</v>
      </c>
      <c r="N235" s="358">
        <f t="shared" si="107"/>
        <v>-37935.013193777486</v>
      </c>
      <c r="O235" s="359">
        <f t="shared" si="96"/>
        <v>-339913.13077657967</v>
      </c>
      <c r="R235" s="354"/>
      <c r="S235" s="355">
        <f t="shared" si="97"/>
        <v>12239.905937263622</v>
      </c>
      <c r="T235" s="356">
        <f t="shared" si="103"/>
        <v>-4801.5323071731082</v>
      </c>
      <c r="U235" s="357">
        <f t="shared" si="108"/>
        <v>1258423.7827980362</v>
      </c>
      <c r="V235" s="358">
        <f t="shared" si="108"/>
        <v>422648.65760241973</v>
      </c>
      <c r="W235" s="359">
        <f t="shared" si="98"/>
        <v>-588423.78279803658</v>
      </c>
      <c r="Z235" s="354"/>
      <c r="AA235" s="355" t="e">
        <f t="shared" si="99"/>
        <v>#NUM!</v>
      </c>
      <c r="AB235" s="356" t="e">
        <f t="shared" si="100"/>
        <v>#NUM!</v>
      </c>
      <c r="AC235" s="357" t="e">
        <f t="shared" si="109"/>
        <v>#NUM!</v>
      </c>
      <c r="AD235" s="358" t="e">
        <f t="shared" si="109"/>
        <v>#NUM!</v>
      </c>
      <c r="AE235" s="359" t="e">
        <f t="shared" si="101"/>
        <v>#NUM!</v>
      </c>
    </row>
    <row r="236" spans="2:31" x14ac:dyDescent="0.25">
      <c r="B236" s="354" t="s">
        <v>608</v>
      </c>
      <c r="C236" s="355" t="e">
        <f t="shared" si="90"/>
        <v>#VALUE!</v>
      </c>
      <c r="D236" s="356" t="e">
        <f t="shared" si="91"/>
        <v>#VALUE!</v>
      </c>
      <c r="E236" s="357" t="e">
        <f t="shared" ref="E236:F249" si="110">E235+C236</f>
        <v>#VALUE!</v>
      </c>
      <c r="F236" s="358" t="e">
        <f t="shared" si="110"/>
        <v>#VALUE!</v>
      </c>
      <c r="G236" s="359" t="e">
        <f t="shared" si="93"/>
        <v>#VALUE!</v>
      </c>
      <c r="J236" s="354" t="str">
        <f t="shared" si="89"/>
        <v>M227</v>
      </c>
      <c r="K236" s="355">
        <f t="shared" si="94"/>
        <v>4841.3931292567586</v>
      </c>
      <c r="L236" s="356">
        <f t="shared" si="102"/>
        <v>-2832.6094231381639</v>
      </c>
      <c r="M236" s="357">
        <f t="shared" ref="M236:N249" si="111">M235+K236</f>
        <v>496761.52390583669</v>
      </c>
      <c r="N236" s="358">
        <f t="shared" si="111"/>
        <v>-40767.622616915651</v>
      </c>
      <c r="O236" s="359">
        <f t="shared" si="96"/>
        <v>-344754.52390583645</v>
      </c>
      <c r="R236" s="354"/>
      <c r="S236" s="355">
        <f t="shared" si="97"/>
        <v>12341.905153407484</v>
      </c>
      <c r="T236" s="356">
        <f t="shared" si="103"/>
        <v>-4903.5315233169713</v>
      </c>
      <c r="U236" s="357">
        <f t="shared" si="108"/>
        <v>1270765.6879514437</v>
      </c>
      <c r="V236" s="358">
        <f t="shared" si="108"/>
        <v>417745.12607910275</v>
      </c>
      <c r="W236" s="359">
        <f t="shared" si="98"/>
        <v>-600765.68795144407</v>
      </c>
      <c r="Z236" s="354"/>
      <c r="AA236" s="355" t="e">
        <f t="shared" si="99"/>
        <v>#NUM!</v>
      </c>
      <c r="AB236" s="356" t="e">
        <f t="shared" si="100"/>
        <v>#NUM!</v>
      </c>
      <c r="AC236" s="357" t="e">
        <f t="shared" si="109"/>
        <v>#NUM!</v>
      </c>
      <c r="AD236" s="358" t="e">
        <f t="shared" si="109"/>
        <v>#NUM!</v>
      </c>
      <c r="AE236" s="359" t="e">
        <f t="shared" si="101"/>
        <v>#NUM!</v>
      </c>
    </row>
    <row r="237" spans="2:31" x14ac:dyDescent="0.25">
      <c r="B237" s="354" t="s">
        <v>609</v>
      </c>
      <c r="C237" s="355" t="e">
        <f t="shared" si="90"/>
        <v>#VALUE!</v>
      </c>
      <c r="D237" s="356" t="e">
        <f t="shared" si="91"/>
        <v>#VALUE!</v>
      </c>
      <c r="E237" s="357" t="e">
        <f t="shared" si="110"/>
        <v>#VALUE!</v>
      </c>
      <c r="F237" s="358" t="e">
        <f t="shared" si="110"/>
        <v>#VALUE!</v>
      </c>
      <c r="G237" s="359" t="e">
        <f t="shared" si="93"/>
        <v>#VALUE!</v>
      </c>
      <c r="J237" s="354" t="str">
        <f t="shared" si="89"/>
        <v>M228</v>
      </c>
      <c r="K237" s="355">
        <f t="shared" si="94"/>
        <v>4881.7380720005649</v>
      </c>
      <c r="L237" s="356">
        <f t="shared" si="102"/>
        <v>-2872.9543658819703</v>
      </c>
      <c r="M237" s="357">
        <f t="shared" si="111"/>
        <v>501643.26197783725</v>
      </c>
      <c r="N237" s="358">
        <f t="shared" si="111"/>
        <v>-43640.576982797618</v>
      </c>
      <c r="O237" s="359">
        <f t="shared" si="96"/>
        <v>-349636.26197783701</v>
      </c>
      <c r="R237" s="354"/>
      <c r="S237" s="355">
        <f t="shared" si="97"/>
        <v>12444.754363019212</v>
      </c>
      <c r="T237" s="356">
        <f t="shared" si="103"/>
        <v>-5006.3807329287001</v>
      </c>
      <c r="U237" s="357">
        <f t="shared" si="108"/>
        <v>1283210.442314463</v>
      </c>
      <c r="V237" s="358">
        <f t="shared" si="108"/>
        <v>412738.74534617405</v>
      </c>
      <c r="W237" s="359">
        <f t="shared" si="98"/>
        <v>-613210.44231446332</v>
      </c>
      <c r="Z237" s="354"/>
      <c r="AA237" s="355" t="e">
        <f t="shared" si="99"/>
        <v>#NUM!</v>
      </c>
      <c r="AB237" s="356" t="e">
        <f t="shared" si="100"/>
        <v>#NUM!</v>
      </c>
      <c r="AC237" s="357" t="e">
        <f t="shared" si="109"/>
        <v>#NUM!</v>
      </c>
      <c r="AD237" s="358" t="e">
        <f t="shared" si="109"/>
        <v>#NUM!</v>
      </c>
      <c r="AE237" s="359" t="e">
        <f t="shared" si="101"/>
        <v>#NUM!</v>
      </c>
    </row>
    <row r="238" spans="2:31" x14ac:dyDescent="0.25">
      <c r="B238" s="354" t="s">
        <v>610</v>
      </c>
      <c r="C238" s="355" t="e">
        <f t="shared" si="90"/>
        <v>#VALUE!</v>
      </c>
      <c r="D238" s="356" t="e">
        <f t="shared" si="91"/>
        <v>#VALUE!</v>
      </c>
      <c r="E238" s="357" t="e">
        <f t="shared" si="110"/>
        <v>#VALUE!</v>
      </c>
      <c r="F238" s="358" t="e">
        <f t="shared" si="110"/>
        <v>#VALUE!</v>
      </c>
      <c r="G238" s="359" t="e">
        <f t="shared" si="93"/>
        <v>#VALUE!</v>
      </c>
      <c r="J238" s="354" t="str">
        <f t="shared" si="89"/>
        <v>M229</v>
      </c>
      <c r="K238" s="355">
        <f t="shared" si="94"/>
        <v>4922.4192226005698</v>
      </c>
      <c r="L238" s="356">
        <f t="shared" si="102"/>
        <v>-2913.6355164819752</v>
      </c>
      <c r="M238" s="357">
        <f t="shared" si="111"/>
        <v>506565.68120043783</v>
      </c>
      <c r="N238" s="358">
        <f t="shared" si="111"/>
        <v>-46554.212499279594</v>
      </c>
      <c r="O238" s="359">
        <f t="shared" si="96"/>
        <v>-354558.6812004376</v>
      </c>
      <c r="R238" s="354"/>
      <c r="S238" s="355">
        <f t="shared" si="97"/>
        <v>12548.460649377706</v>
      </c>
      <c r="T238" s="356">
        <f t="shared" si="103"/>
        <v>-5110.0870192871944</v>
      </c>
      <c r="U238" s="357">
        <f t="shared" si="108"/>
        <v>1295758.9029638406</v>
      </c>
      <c r="V238" s="358">
        <f t="shared" si="108"/>
        <v>407628.65832688689</v>
      </c>
      <c r="W238" s="359">
        <f t="shared" si="98"/>
        <v>-625758.90296384098</v>
      </c>
      <c r="Z238" s="354"/>
      <c r="AA238" s="355" t="e">
        <f t="shared" si="99"/>
        <v>#NUM!</v>
      </c>
      <c r="AB238" s="356" t="e">
        <f t="shared" si="100"/>
        <v>#NUM!</v>
      </c>
      <c r="AC238" s="357" t="e">
        <f t="shared" si="109"/>
        <v>#NUM!</v>
      </c>
      <c r="AD238" s="358" t="e">
        <f t="shared" si="109"/>
        <v>#NUM!</v>
      </c>
      <c r="AE238" s="359" t="e">
        <f t="shared" si="101"/>
        <v>#NUM!</v>
      </c>
    </row>
    <row r="239" spans="2:31" x14ac:dyDescent="0.25">
      <c r="B239" s="354" t="s">
        <v>611</v>
      </c>
      <c r="C239" s="355" t="e">
        <f t="shared" si="90"/>
        <v>#VALUE!</v>
      </c>
      <c r="D239" s="356" t="e">
        <f t="shared" si="91"/>
        <v>#VALUE!</v>
      </c>
      <c r="E239" s="357" t="e">
        <f t="shared" si="110"/>
        <v>#VALUE!</v>
      </c>
      <c r="F239" s="358" t="e">
        <f t="shared" si="110"/>
        <v>#VALUE!</v>
      </c>
      <c r="G239" s="359" t="e">
        <f t="shared" si="93"/>
        <v>#VALUE!</v>
      </c>
      <c r="J239" s="354" t="str">
        <f t="shared" si="89"/>
        <v>M230</v>
      </c>
      <c r="K239" s="355">
        <f t="shared" si="94"/>
        <v>4963.439382788908</v>
      </c>
      <c r="L239" s="356">
        <f t="shared" si="102"/>
        <v>-2954.6556766703134</v>
      </c>
      <c r="M239" s="357">
        <f t="shared" si="111"/>
        <v>511529.12058322673</v>
      </c>
      <c r="N239" s="358">
        <f t="shared" si="111"/>
        <v>-49508.868175949909</v>
      </c>
      <c r="O239" s="359">
        <f t="shared" si="96"/>
        <v>-359522.1205832265</v>
      </c>
      <c r="R239" s="354"/>
      <c r="S239" s="355">
        <f t="shared" si="97"/>
        <v>12653.031154789187</v>
      </c>
      <c r="T239" s="356">
        <f t="shared" si="103"/>
        <v>-5214.6575246986749</v>
      </c>
      <c r="U239" s="357">
        <f t="shared" si="108"/>
        <v>1308411.9341186299</v>
      </c>
      <c r="V239" s="358">
        <f t="shared" si="108"/>
        <v>402414.00080218824</v>
      </c>
      <c r="W239" s="359">
        <f t="shared" si="98"/>
        <v>-638411.93411863013</v>
      </c>
      <c r="Z239" s="354"/>
      <c r="AA239" s="355" t="e">
        <f t="shared" si="99"/>
        <v>#NUM!</v>
      </c>
      <c r="AB239" s="356" t="e">
        <f t="shared" si="100"/>
        <v>#NUM!</v>
      </c>
      <c r="AC239" s="357" t="e">
        <f t="shared" si="109"/>
        <v>#NUM!</v>
      </c>
      <c r="AD239" s="358" t="e">
        <f t="shared" si="109"/>
        <v>#NUM!</v>
      </c>
      <c r="AE239" s="359" t="e">
        <f t="shared" si="101"/>
        <v>#NUM!</v>
      </c>
    </row>
    <row r="240" spans="2:31" x14ac:dyDescent="0.25">
      <c r="B240" s="354" t="s">
        <v>612</v>
      </c>
      <c r="C240" s="355" t="e">
        <f t="shared" si="90"/>
        <v>#VALUE!</v>
      </c>
      <c r="D240" s="356" t="e">
        <f t="shared" si="91"/>
        <v>#VALUE!</v>
      </c>
      <c r="E240" s="357" t="e">
        <f t="shared" si="110"/>
        <v>#VALUE!</v>
      </c>
      <c r="F240" s="358" t="e">
        <f t="shared" si="110"/>
        <v>#VALUE!</v>
      </c>
      <c r="G240" s="359" t="e">
        <f t="shared" si="93"/>
        <v>#VALUE!</v>
      </c>
      <c r="J240" s="354" t="str">
        <f t="shared" si="89"/>
        <v>M231</v>
      </c>
      <c r="K240" s="355">
        <f t="shared" si="94"/>
        <v>5004.8013776454818</v>
      </c>
      <c r="L240" s="356">
        <f t="shared" si="102"/>
        <v>-2996.0176715268876</v>
      </c>
      <c r="M240" s="357">
        <f t="shared" si="111"/>
        <v>516533.92196087219</v>
      </c>
      <c r="N240" s="358">
        <f t="shared" si="111"/>
        <v>-52504.885847476799</v>
      </c>
      <c r="O240" s="359">
        <f t="shared" si="96"/>
        <v>-364526.92196087196</v>
      </c>
      <c r="R240" s="354"/>
      <c r="S240" s="355">
        <f t="shared" si="97"/>
        <v>12758.473081079097</v>
      </c>
      <c r="T240" s="356">
        <f t="shared" si="103"/>
        <v>-5320.0994509885841</v>
      </c>
      <c r="U240" s="357">
        <f t="shared" ref="U240:V249" si="112">U239+S240</f>
        <v>1321170.407199709</v>
      </c>
      <c r="V240" s="358">
        <f t="shared" si="112"/>
        <v>397093.90135119966</v>
      </c>
      <c r="W240" s="359">
        <f t="shared" si="98"/>
        <v>-651170.40719970921</v>
      </c>
      <c r="Z240" s="354"/>
      <c r="AA240" s="355" t="e">
        <f t="shared" si="99"/>
        <v>#NUM!</v>
      </c>
      <c r="AB240" s="356" t="e">
        <f t="shared" si="100"/>
        <v>#NUM!</v>
      </c>
      <c r="AC240" s="357" t="e">
        <f t="shared" ref="AC240:AD249" si="113">AC239+AA240</f>
        <v>#NUM!</v>
      </c>
      <c r="AD240" s="358" t="e">
        <f t="shared" si="113"/>
        <v>#NUM!</v>
      </c>
      <c r="AE240" s="359" t="e">
        <f t="shared" si="101"/>
        <v>#NUM!</v>
      </c>
    </row>
    <row r="241" spans="2:31" x14ac:dyDescent="0.25">
      <c r="B241" s="354" t="s">
        <v>613</v>
      </c>
      <c r="C241" s="355" t="e">
        <f t="shared" si="90"/>
        <v>#VALUE!</v>
      </c>
      <c r="D241" s="356" t="e">
        <f t="shared" si="91"/>
        <v>#VALUE!</v>
      </c>
      <c r="E241" s="357" t="e">
        <f t="shared" si="110"/>
        <v>#VALUE!</v>
      </c>
      <c r="F241" s="358" t="e">
        <f t="shared" si="110"/>
        <v>#VALUE!</v>
      </c>
      <c r="G241" s="359" t="e">
        <f t="shared" si="93"/>
        <v>#VALUE!</v>
      </c>
      <c r="J241" s="354" t="str">
        <f t="shared" si="89"/>
        <v>M232</v>
      </c>
      <c r="K241" s="355">
        <f t="shared" si="94"/>
        <v>5046.5080557925276</v>
      </c>
      <c r="L241" s="356">
        <f t="shared" si="102"/>
        <v>-3037.7243496739329</v>
      </c>
      <c r="M241" s="357">
        <f t="shared" si="111"/>
        <v>521580.43001666473</v>
      </c>
      <c r="N241" s="358">
        <f t="shared" si="111"/>
        <v>-55542.610197150731</v>
      </c>
      <c r="O241" s="359">
        <f t="shared" si="96"/>
        <v>-369573.4300166645</v>
      </c>
      <c r="R241" s="354"/>
      <c r="S241" s="355">
        <f t="shared" si="97"/>
        <v>12864.793690088089</v>
      </c>
      <c r="T241" s="356">
        <f t="shared" si="103"/>
        <v>-5426.4200599975766</v>
      </c>
      <c r="U241" s="357">
        <f t="shared" si="112"/>
        <v>1334035.2008897969</v>
      </c>
      <c r="V241" s="358">
        <f t="shared" si="112"/>
        <v>391667.48129120207</v>
      </c>
      <c r="W241" s="359">
        <f t="shared" si="98"/>
        <v>-664035.2008897973</v>
      </c>
      <c r="Z241" s="354"/>
      <c r="AA241" s="355" t="e">
        <f t="shared" si="99"/>
        <v>#NUM!</v>
      </c>
      <c r="AB241" s="356" t="e">
        <f t="shared" si="100"/>
        <v>#NUM!</v>
      </c>
      <c r="AC241" s="357" t="e">
        <f t="shared" si="113"/>
        <v>#NUM!</v>
      </c>
      <c r="AD241" s="358" t="e">
        <f t="shared" si="113"/>
        <v>#NUM!</v>
      </c>
      <c r="AE241" s="359" t="e">
        <f t="shared" si="101"/>
        <v>#NUM!</v>
      </c>
    </row>
    <row r="242" spans="2:31" x14ac:dyDescent="0.25">
      <c r="B242" s="354" t="s">
        <v>614</v>
      </c>
      <c r="C242" s="355" t="e">
        <f t="shared" si="90"/>
        <v>#VALUE!</v>
      </c>
      <c r="D242" s="356" t="e">
        <f t="shared" si="91"/>
        <v>#VALUE!</v>
      </c>
      <c r="E242" s="357" t="e">
        <f t="shared" si="110"/>
        <v>#VALUE!</v>
      </c>
      <c r="F242" s="358" t="e">
        <f t="shared" si="110"/>
        <v>#VALUE!</v>
      </c>
      <c r="G242" s="359" t="e">
        <f t="shared" si="93"/>
        <v>#VALUE!</v>
      </c>
      <c r="J242" s="354" t="str">
        <f t="shared" si="89"/>
        <v>M233</v>
      </c>
      <c r="K242" s="355">
        <f t="shared" si="94"/>
        <v>5088.5622895907982</v>
      </c>
      <c r="L242" s="356">
        <f t="shared" si="102"/>
        <v>-3079.778583472204</v>
      </c>
      <c r="M242" s="357">
        <f t="shared" si="111"/>
        <v>526668.9923062555</v>
      </c>
      <c r="N242" s="358">
        <f t="shared" si="111"/>
        <v>-58622.388780622932</v>
      </c>
      <c r="O242" s="359">
        <f t="shared" si="96"/>
        <v>-374661.99230625527</v>
      </c>
      <c r="R242" s="354"/>
      <c r="S242" s="355">
        <f t="shared" si="97"/>
        <v>12972.000304172157</v>
      </c>
      <c r="T242" s="356">
        <f t="shared" si="103"/>
        <v>-5533.6266740816445</v>
      </c>
      <c r="U242" s="357">
        <f t="shared" si="112"/>
        <v>1347007.201193969</v>
      </c>
      <c r="V242" s="358">
        <f t="shared" si="112"/>
        <v>386133.85461712041</v>
      </c>
      <c r="W242" s="359">
        <f t="shared" si="98"/>
        <v>-677007.20119396946</v>
      </c>
      <c r="Z242" s="354"/>
      <c r="AA242" s="355" t="e">
        <f t="shared" si="99"/>
        <v>#NUM!</v>
      </c>
      <c r="AB242" s="356" t="e">
        <f t="shared" si="100"/>
        <v>#NUM!</v>
      </c>
      <c r="AC242" s="357" t="e">
        <f t="shared" si="113"/>
        <v>#NUM!</v>
      </c>
      <c r="AD242" s="358" t="e">
        <f t="shared" si="113"/>
        <v>#NUM!</v>
      </c>
      <c r="AE242" s="359" t="e">
        <f t="shared" si="101"/>
        <v>#NUM!</v>
      </c>
    </row>
    <row r="243" spans="2:31" x14ac:dyDescent="0.25">
      <c r="B243" s="354" t="s">
        <v>615</v>
      </c>
      <c r="C243" s="355" t="e">
        <f t="shared" si="90"/>
        <v>#VALUE!</v>
      </c>
      <c r="D243" s="356" t="e">
        <f t="shared" si="91"/>
        <v>#VALUE!</v>
      </c>
      <c r="E243" s="357" t="e">
        <f t="shared" si="110"/>
        <v>#VALUE!</v>
      </c>
      <c r="F243" s="358" t="e">
        <f t="shared" si="110"/>
        <v>#VALUE!</v>
      </c>
      <c r="G243" s="359" t="e">
        <f t="shared" si="93"/>
        <v>#VALUE!</v>
      </c>
      <c r="J243" s="354" t="str">
        <f t="shared" si="89"/>
        <v>M234</v>
      </c>
      <c r="K243" s="355">
        <f t="shared" si="94"/>
        <v>5130.9669753373882</v>
      </c>
      <c r="L243" s="356">
        <f t="shared" si="102"/>
        <v>-3122.1832692187941</v>
      </c>
      <c r="M243" s="357">
        <f t="shared" si="111"/>
        <v>531799.95928159286</v>
      </c>
      <c r="N243" s="358">
        <f t="shared" si="111"/>
        <v>-61744.572049841729</v>
      </c>
      <c r="O243" s="359">
        <f t="shared" si="96"/>
        <v>-379792.95928159263</v>
      </c>
      <c r="R243" s="354"/>
      <c r="S243" s="355">
        <f t="shared" si="97"/>
        <v>13080.100306706925</v>
      </c>
      <c r="T243" s="356">
        <f t="shared" si="103"/>
        <v>-5641.7266766164121</v>
      </c>
      <c r="U243" s="357">
        <f t="shared" si="112"/>
        <v>1360087.301500676</v>
      </c>
      <c r="V243" s="358">
        <f t="shared" si="112"/>
        <v>380492.127940504</v>
      </c>
      <c r="W243" s="359">
        <f t="shared" si="98"/>
        <v>-690087.30150067643</v>
      </c>
      <c r="Z243" s="354"/>
      <c r="AA243" s="355" t="e">
        <f t="shared" si="99"/>
        <v>#NUM!</v>
      </c>
      <c r="AB243" s="356" t="e">
        <f t="shared" si="100"/>
        <v>#NUM!</v>
      </c>
      <c r="AC243" s="357" t="e">
        <f t="shared" si="113"/>
        <v>#NUM!</v>
      </c>
      <c r="AD243" s="358" t="e">
        <f t="shared" si="113"/>
        <v>#NUM!</v>
      </c>
      <c r="AE243" s="359" t="e">
        <f t="shared" si="101"/>
        <v>#NUM!</v>
      </c>
    </row>
    <row r="244" spans="2:31" x14ac:dyDescent="0.25">
      <c r="B244" s="354" t="s">
        <v>616</v>
      </c>
      <c r="C244" s="355" t="e">
        <f t="shared" si="90"/>
        <v>#VALUE!</v>
      </c>
      <c r="D244" s="356" t="e">
        <f t="shared" si="91"/>
        <v>#VALUE!</v>
      </c>
      <c r="E244" s="357" t="e">
        <f t="shared" si="110"/>
        <v>#VALUE!</v>
      </c>
      <c r="F244" s="358" t="e">
        <f t="shared" si="110"/>
        <v>#VALUE!</v>
      </c>
      <c r="G244" s="359" t="e">
        <f t="shared" si="93"/>
        <v>#VALUE!</v>
      </c>
      <c r="J244" s="354" t="str">
        <f t="shared" si="89"/>
        <v>M235</v>
      </c>
      <c r="K244" s="355">
        <f t="shared" si="94"/>
        <v>5173.7250334651999</v>
      </c>
      <c r="L244" s="356">
        <f t="shared" si="102"/>
        <v>-3164.9413273466052</v>
      </c>
      <c r="M244" s="357">
        <f t="shared" si="111"/>
        <v>536973.68431505805</v>
      </c>
      <c r="N244" s="358">
        <f t="shared" si="111"/>
        <v>-64909.513377188334</v>
      </c>
      <c r="O244" s="359">
        <f t="shared" si="96"/>
        <v>-384966.68431505782</v>
      </c>
      <c r="R244" s="354"/>
      <c r="S244" s="355">
        <f t="shared" si="97"/>
        <v>13189.10114259615</v>
      </c>
      <c r="T244" s="356">
        <f t="shared" si="103"/>
        <v>-5750.7275125056367</v>
      </c>
      <c r="U244" s="357">
        <f t="shared" si="112"/>
        <v>1373276.4026432722</v>
      </c>
      <c r="V244" s="358">
        <f t="shared" si="112"/>
        <v>374741.40042799833</v>
      </c>
      <c r="W244" s="359">
        <f t="shared" si="98"/>
        <v>-703276.40264327254</v>
      </c>
      <c r="Z244" s="354"/>
      <c r="AA244" s="355" t="e">
        <f t="shared" si="99"/>
        <v>#NUM!</v>
      </c>
      <c r="AB244" s="356" t="e">
        <f t="shared" si="100"/>
        <v>#NUM!</v>
      </c>
      <c r="AC244" s="357" t="e">
        <f t="shared" si="113"/>
        <v>#NUM!</v>
      </c>
      <c r="AD244" s="358" t="e">
        <f t="shared" si="113"/>
        <v>#NUM!</v>
      </c>
      <c r="AE244" s="359" t="e">
        <f t="shared" si="101"/>
        <v>#NUM!</v>
      </c>
    </row>
    <row r="245" spans="2:31" x14ac:dyDescent="0.25">
      <c r="B245" s="354" t="s">
        <v>617</v>
      </c>
      <c r="C245" s="355" t="e">
        <f t="shared" si="90"/>
        <v>#VALUE!</v>
      </c>
      <c r="D245" s="356" t="e">
        <f t="shared" si="91"/>
        <v>#VALUE!</v>
      </c>
      <c r="E245" s="357" t="e">
        <f t="shared" si="110"/>
        <v>#VALUE!</v>
      </c>
      <c r="F245" s="358" t="e">
        <f t="shared" si="110"/>
        <v>#VALUE!</v>
      </c>
      <c r="G245" s="359" t="e">
        <f t="shared" si="93"/>
        <v>#VALUE!</v>
      </c>
      <c r="J245" s="354" t="str">
        <f t="shared" si="89"/>
        <v>M236</v>
      </c>
      <c r="K245" s="355">
        <f t="shared" si="94"/>
        <v>5216.8394087440765</v>
      </c>
      <c r="L245" s="356">
        <f t="shared" si="102"/>
        <v>-3208.0557026254819</v>
      </c>
      <c r="M245" s="357">
        <f t="shared" si="111"/>
        <v>542190.52372380218</v>
      </c>
      <c r="N245" s="358">
        <f t="shared" si="111"/>
        <v>-68117.569079813809</v>
      </c>
      <c r="O245" s="359">
        <f t="shared" si="96"/>
        <v>-390183.52372380189</v>
      </c>
      <c r="R245" s="354"/>
      <c r="S245" s="355">
        <f t="shared" si="97"/>
        <v>13299.010318784451</v>
      </c>
      <c r="T245" s="356">
        <f t="shared" si="103"/>
        <v>-5860.6366886939377</v>
      </c>
      <c r="U245" s="357">
        <f t="shared" si="112"/>
        <v>1386575.4129620567</v>
      </c>
      <c r="V245" s="358">
        <f t="shared" si="112"/>
        <v>368880.76373930438</v>
      </c>
      <c r="W245" s="359">
        <f t="shared" si="98"/>
        <v>-716575.41296205693</v>
      </c>
      <c r="Z245" s="354"/>
      <c r="AA245" s="355" t="e">
        <f t="shared" si="99"/>
        <v>#NUM!</v>
      </c>
      <c r="AB245" s="356" t="e">
        <f t="shared" si="100"/>
        <v>#NUM!</v>
      </c>
      <c r="AC245" s="357" t="e">
        <f t="shared" si="113"/>
        <v>#NUM!</v>
      </c>
      <c r="AD245" s="358" t="e">
        <f t="shared" si="113"/>
        <v>#NUM!</v>
      </c>
      <c r="AE245" s="359" t="e">
        <f t="shared" si="101"/>
        <v>#NUM!</v>
      </c>
    </row>
    <row r="246" spans="2:31" x14ac:dyDescent="0.25">
      <c r="B246" s="354" t="s">
        <v>618</v>
      </c>
      <c r="C246" s="355" t="e">
        <f t="shared" si="90"/>
        <v>#VALUE!</v>
      </c>
      <c r="D246" s="356" t="e">
        <f t="shared" si="91"/>
        <v>#VALUE!</v>
      </c>
      <c r="E246" s="357" t="e">
        <f t="shared" si="110"/>
        <v>#VALUE!</v>
      </c>
      <c r="F246" s="358" t="e">
        <f t="shared" si="110"/>
        <v>#VALUE!</v>
      </c>
      <c r="G246" s="359" t="e">
        <f t="shared" si="93"/>
        <v>#VALUE!</v>
      </c>
      <c r="J246" s="354" t="str">
        <f t="shared" si="89"/>
        <v>M237</v>
      </c>
      <c r="K246" s="355">
        <f t="shared" si="94"/>
        <v>5260.3130704836103</v>
      </c>
      <c r="L246" s="356">
        <f t="shared" si="102"/>
        <v>-3251.5293643650157</v>
      </c>
      <c r="M246" s="357">
        <f t="shared" si="111"/>
        <v>547450.8367942858</v>
      </c>
      <c r="N246" s="358">
        <f t="shared" si="111"/>
        <v>-71369.098444178831</v>
      </c>
      <c r="O246" s="359">
        <f t="shared" si="96"/>
        <v>-395443.83679428551</v>
      </c>
      <c r="R246" s="354"/>
      <c r="S246" s="355">
        <f t="shared" si="97"/>
        <v>13409.83540477432</v>
      </c>
      <c r="T246" s="356">
        <f t="shared" si="103"/>
        <v>-5971.4617746838076</v>
      </c>
      <c r="U246" s="357">
        <f t="shared" si="112"/>
        <v>1399985.2483668311</v>
      </c>
      <c r="V246" s="358">
        <f t="shared" si="112"/>
        <v>362909.30196462059</v>
      </c>
      <c r="W246" s="359">
        <f t="shared" si="98"/>
        <v>-729985.24836683122</v>
      </c>
      <c r="Z246" s="354"/>
      <c r="AA246" s="355" t="e">
        <f t="shared" si="99"/>
        <v>#NUM!</v>
      </c>
      <c r="AB246" s="356" t="e">
        <f t="shared" si="100"/>
        <v>#NUM!</v>
      </c>
      <c r="AC246" s="357" t="e">
        <f t="shared" si="113"/>
        <v>#NUM!</v>
      </c>
      <c r="AD246" s="358" t="e">
        <f t="shared" si="113"/>
        <v>#NUM!</v>
      </c>
      <c r="AE246" s="359" t="e">
        <f t="shared" si="101"/>
        <v>#NUM!</v>
      </c>
    </row>
    <row r="247" spans="2:31" x14ac:dyDescent="0.25">
      <c r="B247" s="354" t="s">
        <v>619</v>
      </c>
      <c r="C247" s="355" t="e">
        <f t="shared" si="90"/>
        <v>#VALUE!</v>
      </c>
      <c r="D247" s="356" t="e">
        <f t="shared" si="91"/>
        <v>#VALUE!</v>
      </c>
      <c r="E247" s="357" t="e">
        <f t="shared" si="110"/>
        <v>#VALUE!</v>
      </c>
      <c r="F247" s="358" t="e">
        <f t="shared" si="110"/>
        <v>#VALUE!</v>
      </c>
      <c r="G247" s="359" t="e">
        <f t="shared" si="93"/>
        <v>#VALUE!</v>
      </c>
      <c r="J247" s="354" t="str">
        <f t="shared" si="89"/>
        <v>M238</v>
      </c>
      <c r="K247" s="355">
        <f t="shared" si="94"/>
        <v>5304.1490127376401</v>
      </c>
      <c r="L247" s="356">
        <f t="shared" si="102"/>
        <v>-3295.3653066190459</v>
      </c>
      <c r="M247" s="357">
        <f t="shared" si="111"/>
        <v>552754.98580702348</v>
      </c>
      <c r="N247" s="358">
        <f t="shared" si="111"/>
        <v>-74664.463750797877</v>
      </c>
      <c r="O247" s="359">
        <f t="shared" si="96"/>
        <v>-400747.98580702313</v>
      </c>
      <c r="R247" s="354"/>
      <c r="S247" s="355">
        <f t="shared" si="97"/>
        <v>13521.584033147439</v>
      </c>
      <c r="T247" s="356">
        <f t="shared" si="103"/>
        <v>-6083.2104030569271</v>
      </c>
      <c r="U247" s="357">
        <f t="shared" si="112"/>
        <v>1413506.8323999785</v>
      </c>
      <c r="V247" s="358">
        <f t="shared" si="112"/>
        <v>356826.09156156366</v>
      </c>
      <c r="W247" s="359">
        <f t="shared" si="98"/>
        <v>-743506.83239997865</v>
      </c>
      <c r="Z247" s="354"/>
      <c r="AA247" s="355" t="e">
        <f t="shared" si="99"/>
        <v>#NUM!</v>
      </c>
      <c r="AB247" s="356" t="e">
        <f t="shared" si="100"/>
        <v>#NUM!</v>
      </c>
      <c r="AC247" s="357" t="e">
        <f t="shared" si="113"/>
        <v>#NUM!</v>
      </c>
      <c r="AD247" s="358" t="e">
        <f t="shared" si="113"/>
        <v>#NUM!</v>
      </c>
      <c r="AE247" s="359" t="e">
        <f t="shared" si="101"/>
        <v>#NUM!</v>
      </c>
    </row>
    <row r="248" spans="2:31" x14ac:dyDescent="0.25">
      <c r="B248" s="354" t="s">
        <v>620</v>
      </c>
      <c r="C248" s="355" t="e">
        <f t="shared" si="90"/>
        <v>#VALUE!</v>
      </c>
      <c r="D248" s="356" t="e">
        <f t="shared" si="91"/>
        <v>#VALUE!</v>
      </c>
      <c r="E248" s="357" t="e">
        <f t="shared" si="110"/>
        <v>#VALUE!</v>
      </c>
      <c r="F248" s="358" t="e">
        <f t="shared" si="110"/>
        <v>#VALUE!</v>
      </c>
      <c r="G248" s="359" t="e">
        <f t="shared" si="93"/>
        <v>#VALUE!</v>
      </c>
      <c r="J248" s="354" t="str">
        <f t="shared" si="89"/>
        <v>M239</v>
      </c>
      <c r="K248" s="355">
        <f t="shared" si="94"/>
        <v>5348.3502545104539</v>
      </c>
      <c r="L248" s="356">
        <f t="shared" si="102"/>
        <v>-3339.5665483918592</v>
      </c>
      <c r="M248" s="357">
        <f t="shared" si="111"/>
        <v>558103.33606153389</v>
      </c>
      <c r="N248" s="358">
        <f t="shared" si="111"/>
        <v>-78004.030299189733</v>
      </c>
      <c r="O248" s="359">
        <f t="shared" si="96"/>
        <v>-406096.3360615336</v>
      </c>
      <c r="R248" s="354"/>
      <c r="S248" s="355">
        <f t="shared" si="97"/>
        <v>13634.263900090335</v>
      </c>
      <c r="T248" s="356">
        <f t="shared" si="103"/>
        <v>-6195.8902699998216</v>
      </c>
      <c r="U248" s="357">
        <f t="shared" si="112"/>
        <v>1427141.0963000688</v>
      </c>
      <c r="V248" s="358">
        <f t="shared" si="112"/>
        <v>350630.20129156386</v>
      </c>
      <c r="W248" s="359">
        <f t="shared" si="98"/>
        <v>-757141.09630006901</v>
      </c>
      <c r="Z248" s="354"/>
      <c r="AA248" s="355" t="e">
        <f t="shared" si="99"/>
        <v>#NUM!</v>
      </c>
      <c r="AB248" s="356" t="e">
        <f t="shared" si="100"/>
        <v>#NUM!</v>
      </c>
      <c r="AC248" s="357" t="e">
        <f t="shared" si="113"/>
        <v>#NUM!</v>
      </c>
      <c r="AD248" s="358" t="e">
        <f t="shared" si="113"/>
        <v>#NUM!</v>
      </c>
      <c r="AE248" s="359" t="e">
        <f t="shared" si="101"/>
        <v>#NUM!</v>
      </c>
    </row>
    <row r="249" spans="2:31" ht="13" thickBot="1" x14ac:dyDescent="0.3">
      <c r="B249" s="354" t="s">
        <v>621</v>
      </c>
      <c r="C249" s="355" t="e">
        <f t="shared" si="90"/>
        <v>#VALUE!</v>
      </c>
      <c r="D249" s="360" t="e">
        <f t="shared" si="91"/>
        <v>#VALUE!</v>
      </c>
      <c r="E249" s="361" t="e">
        <f t="shared" si="110"/>
        <v>#VALUE!</v>
      </c>
      <c r="F249" s="362" t="e">
        <f t="shared" si="110"/>
        <v>#VALUE!</v>
      </c>
      <c r="G249" s="363" t="e">
        <f t="shared" si="93"/>
        <v>#VALUE!</v>
      </c>
      <c r="J249" s="354" t="str">
        <f t="shared" si="89"/>
        <v>M240</v>
      </c>
      <c r="K249" s="355">
        <f t="shared" si="94"/>
        <v>5392.9198399647075</v>
      </c>
      <c r="L249" s="356">
        <f>$L$4/12*O248</f>
        <v>-3384.1361338461134</v>
      </c>
      <c r="M249" s="361">
        <f t="shared" si="111"/>
        <v>563496.2559014986</v>
      </c>
      <c r="N249" s="362">
        <f t="shared" si="111"/>
        <v>-81388.166433035847</v>
      </c>
      <c r="O249" s="363">
        <f t="shared" si="96"/>
        <v>-411489.25590149831</v>
      </c>
      <c r="R249" s="364"/>
      <c r="S249" s="355">
        <f t="shared" si="97"/>
        <v>13747.882765924422</v>
      </c>
      <c r="T249" s="356">
        <f>$L$4/12*W248</f>
        <v>-6309.5091358339087</v>
      </c>
      <c r="U249" s="361">
        <f t="shared" si="112"/>
        <v>1440888.9790659931</v>
      </c>
      <c r="V249" s="362">
        <f t="shared" si="112"/>
        <v>344320.69215572998</v>
      </c>
      <c r="W249" s="363">
        <f t="shared" si="98"/>
        <v>-770888.97906599345</v>
      </c>
      <c r="Z249" s="364"/>
      <c r="AA249" s="355" t="e">
        <f t="shared" si="99"/>
        <v>#NUM!</v>
      </c>
      <c r="AB249" s="356" t="e">
        <f t="shared" si="100"/>
        <v>#NUM!</v>
      </c>
      <c r="AC249" s="361" t="e">
        <f t="shared" si="113"/>
        <v>#NUM!</v>
      </c>
      <c r="AD249" s="362" t="e">
        <f t="shared" si="113"/>
        <v>#NUM!</v>
      </c>
      <c r="AE249" s="363" t="e">
        <f t="shared" si="101"/>
        <v>#NUM!</v>
      </c>
    </row>
    <row r="250" spans="2:31" x14ac:dyDescent="0.25">
      <c r="C250" s="365"/>
      <c r="D250" s="366"/>
      <c r="E250" s="367"/>
      <c r="F250" s="368"/>
      <c r="G250" s="368"/>
      <c r="K250" s="365"/>
      <c r="L250" s="366"/>
      <c r="M250" s="367"/>
      <c r="N250" s="368"/>
      <c r="O250" s="368"/>
      <c r="S250" s="365"/>
      <c r="T250" s="366"/>
      <c r="U250" s="367"/>
      <c r="V250" s="368"/>
      <c r="W250" s="368"/>
      <c r="AA250" s="365"/>
      <c r="AB250" s="366"/>
      <c r="AC250" s="367"/>
      <c r="AD250" s="368"/>
      <c r="AE250" s="368"/>
    </row>
    <row r="251" spans="2:31" x14ac:dyDescent="0.25">
      <c r="C251" s="365"/>
      <c r="D251" s="366"/>
      <c r="E251" s="367"/>
      <c r="F251" s="368"/>
      <c r="G251" s="368"/>
      <c r="K251" s="365"/>
      <c r="L251" s="366"/>
      <c r="M251" s="367"/>
      <c r="N251" s="368"/>
      <c r="O251" s="368"/>
      <c r="S251" s="365"/>
      <c r="T251" s="366"/>
      <c r="U251" s="367"/>
      <c r="V251" s="368"/>
      <c r="W251" s="368"/>
      <c r="AA251" s="365"/>
      <c r="AB251" s="366"/>
      <c r="AC251" s="367"/>
      <c r="AD251" s="368"/>
      <c r="AE251" s="368"/>
    </row>
    <row r="252" spans="2:31" x14ac:dyDescent="0.25">
      <c r="C252" s="365"/>
      <c r="D252" s="366"/>
      <c r="E252" s="367"/>
      <c r="F252" s="368"/>
      <c r="G252" s="368"/>
      <c r="K252" s="365"/>
      <c r="L252" s="366"/>
      <c r="M252" s="367"/>
      <c r="N252" s="368"/>
      <c r="O252" s="368"/>
      <c r="S252" s="365"/>
      <c r="T252" s="366"/>
      <c r="U252" s="367"/>
      <c r="V252" s="368"/>
      <c r="W252" s="368"/>
      <c r="AA252" s="365"/>
      <c r="AB252" s="366"/>
      <c r="AC252" s="367"/>
      <c r="AD252" s="368"/>
      <c r="AE252" s="368"/>
    </row>
    <row r="253" spans="2:31" x14ac:dyDescent="0.25">
      <c r="C253" s="365"/>
      <c r="D253" s="366"/>
      <c r="E253" s="367"/>
      <c r="F253" s="368"/>
      <c r="G253" s="368"/>
      <c r="K253" s="365"/>
      <c r="L253" s="366"/>
      <c r="M253" s="367"/>
      <c r="N253" s="368"/>
      <c r="O253" s="368"/>
      <c r="S253" s="365"/>
      <c r="T253" s="366"/>
      <c r="U253" s="367"/>
      <c r="V253" s="368"/>
      <c r="W253" s="368"/>
      <c r="AA253" s="365"/>
      <c r="AB253" s="366"/>
      <c r="AC253" s="367"/>
      <c r="AD253" s="368"/>
      <c r="AE253" s="368"/>
    </row>
    <row r="254" spans="2:31" x14ac:dyDescent="0.25">
      <c r="C254" s="365"/>
      <c r="D254" s="366"/>
      <c r="E254" s="367"/>
      <c r="F254" s="368"/>
      <c r="G254" s="368"/>
      <c r="K254" s="365"/>
      <c r="L254" s="366"/>
      <c r="M254" s="367"/>
      <c r="N254" s="368"/>
      <c r="O254" s="368"/>
      <c r="S254" s="365"/>
      <c r="T254" s="366"/>
      <c r="U254" s="367"/>
      <c r="V254" s="368"/>
      <c r="W254" s="368"/>
      <c r="AA254" s="365"/>
      <c r="AB254" s="366"/>
      <c r="AC254" s="367"/>
      <c r="AD254" s="368"/>
      <c r="AE254" s="368"/>
    </row>
    <row r="255" spans="2:31" x14ac:dyDescent="0.25">
      <c r="C255" s="365"/>
      <c r="D255" s="366"/>
      <c r="E255" s="367"/>
      <c r="F255" s="368"/>
      <c r="G255" s="368"/>
      <c r="K255" s="365"/>
      <c r="L255" s="366"/>
      <c r="M255" s="367"/>
      <c r="N255" s="368"/>
      <c r="O255" s="368"/>
      <c r="S255" s="365"/>
      <c r="T255" s="366"/>
      <c r="U255" s="367"/>
      <c r="V255" s="368"/>
      <c r="W255" s="368"/>
      <c r="AA255" s="365"/>
      <c r="AB255" s="366"/>
      <c r="AC255" s="367"/>
      <c r="AD255" s="368"/>
      <c r="AE255" s="368"/>
    </row>
    <row r="256" spans="2:31" x14ac:dyDescent="0.25">
      <c r="C256" s="365"/>
      <c r="D256" s="366"/>
      <c r="E256" s="367"/>
      <c r="F256" s="368"/>
      <c r="G256" s="368"/>
      <c r="K256" s="365"/>
      <c r="L256" s="366"/>
      <c r="M256" s="367"/>
      <c r="N256" s="368"/>
      <c r="O256" s="368"/>
      <c r="S256" s="365"/>
      <c r="T256" s="366"/>
      <c r="U256" s="367"/>
      <c r="V256" s="368"/>
      <c r="W256" s="368"/>
      <c r="AA256" s="365"/>
      <c r="AB256" s="366"/>
      <c r="AC256" s="367"/>
      <c r="AD256" s="368"/>
      <c r="AE256" s="368"/>
    </row>
    <row r="257" spans="3:31" x14ac:dyDescent="0.25">
      <c r="C257" s="365"/>
      <c r="D257" s="366"/>
      <c r="E257" s="367"/>
      <c r="F257" s="368"/>
      <c r="G257" s="368"/>
      <c r="K257" s="365"/>
      <c r="L257" s="366"/>
      <c r="M257" s="367"/>
      <c r="N257" s="368"/>
      <c r="O257" s="368"/>
      <c r="S257" s="365"/>
      <c r="T257" s="366"/>
      <c r="U257" s="367"/>
      <c r="V257" s="368"/>
      <c r="W257" s="368"/>
      <c r="AA257" s="365"/>
      <c r="AB257" s="366"/>
      <c r="AC257" s="367"/>
      <c r="AD257" s="368"/>
      <c r="AE257" s="368"/>
    </row>
    <row r="258" spans="3:31" x14ac:dyDescent="0.25">
      <c r="C258" s="365"/>
      <c r="D258" s="366"/>
      <c r="E258" s="367"/>
      <c r="F258" s="368"/>
      <c r="G258" s="368"/>
      <c r="K258" s="365"/>
      <c r="L258" s="366"/>
      <c r="M258" s="367"/>
      <c r="N258" s="368"/>
      <c r="O258" s="368"/>
      <c r="S258" s="365"/>
      <c r="T258" s="366"/>
      <c r="U258" s="367"/>
      <c r="V258" s="368"/>
      <c r="W258" s="368"/>
      <c r="AA258" s="365"/>
      <c r="AB258" s="366"/>
      <c r="AC258" s="367"/>
      <c r="AD258" s="368"/>
      <c r="AE258" s="368"/>
    </row>
    <row r="259" spans="3:31" x14ac:dyDescent="0.25">
      <c r="C259" s="365"/>
      <c r="D259" s="366"/>
      <c r="E259" s="367"/>
      <c r="F259" s="368"/>
      <c r="G259" s="368"/>
      <c r="K259" s="365"/>
      <c r="L259" s="366"/>
      <c r="M259" s="367"/>
      <c r="N259" s="368"/>
      <c r="O259" s="368"/>
      <c r="S259" s="365"/>
      <c r="T259" s="366"/>
      <c r="U259" s="367"/>
      <c r="V259" s="368"/>
      <c r="W259" s="368"/>
      <c r="AA259" s="365"/>
      <c r="AB259" s="366"/>
      <c r="AC259" s="367"/>
      <c r="AD259" s="368"/>
      <c r="AE259" s="368"/>
    </row>
    <row r="260" spans="3:31" x14ac:dyDescent="0.25">
      <c r="C260" s="365"/>
      <c r="D260" s="366"/>
      <c r="E260" s="367"/>
      <c r="F260" s="368"/>
      <c r="G260" s="368"/>
      <c r="K260" s="365"/>
      <c r="L260" s="366"/>
      <c r="M260" s="367"/>
      <c r="N260" s="368"/>
      <c r="O260" s="368"/>
      <c r="S260" s="365"/>
      <c r="T260" s="366"/>
      <c r="U260" s="367"/>
      <c r="V260" s="368"/>
      <c r="W260" s="368"/>
      <c r="AA260" s="365"/>
      <c r="AB260" s="366"/>
      <c r="AC260" s="367"/>
      <c r="AD260" s="368"/>
      <c r="AE260" s="368"/>
    </row>
    <row r="261" spans="3:31" x14ac:dyDescent="0.25">
      <c r="C261" s="365"/>
      <c r="D261" s="366"/>
      <c r="E261" s="367"/>
      <c r="F261" s="368"/>
      <c r="G261" s="368"/>
      <c r="K261" s="365"/>
      <c r="L261" s="366"/>
      <c r="M261" s="367"/>
      <c r="N261" s="368"/>
      <c r="O261" s="368"/>
      <c r="S261" s="365"/>
      <c r="T261" s="366"/>
      <c r="U261" s="367"/>
      <c r="V261" s="368"/>
      <c r="W261" s="368"/>
      <c r="AA261" s="365"/>
      <c r="AB261" s="366"/>
      <c r="AC261" s="367"/>
      <c r="AD261" s="368"/>
      <c r="AE261" s="368"/>
    </row>
    <row r="262" spans="3:31" x14ac:dyDescent="0.25">
      <c r="C262" s="365"/>
      <c r="D262" s="366"/>
      <c r="E262" s="367"/>
      <c r="F262" s="368"/>
      <c r="G262" s="368"/>
      <c r="K262" s="365"/>
      <c r="L262" s="366"/>
      <c r="M262" s="367"/>
      <c r="N262" s="368"/>
      <c r="O262" s="368"/>
      <c r="S262" s="365"/>
      <c r="T262" s="366"/>
      <c r="U262" s="367"/>
      <c r="V262" s="368"/>
      <c r="W262" s="368"/>
      <c r="AA262" s="365"/>
      <c r="AB262" s="366"/>
      <c r="AC262" s="367"/>
      <c r="AD262" s="368"/>
      <c r="AE262" s="368"/>
    </row>
    <row r="263" spans="3:31" x14ac:dyDescent="0.25">
      <c r="C263" s="365"/>
      <c r="D263" s="366"/>
      <c r="E263" s="367"/>
      <c r="F263" s="368"/>
      <c r="G263" s="368"/>
      <c r="K263" s="365"/>
      <c r="L263" s="366"/>
      <c r="M263" s="367"/>
      <c r="N263" s="368"/>
      <c r="O263" s="368"/>
      <c r="S263" s="365"/>
      <c r="T263" s="366"/>
      <c r="U263" s="367"/>
      <c r="V263" s="368"/>
      <c r="W263" s="368"/>
      <c r="AA263" s="365"/>
      <c r="AB263" s="366"/>
      <c r="AC263" s="367"/>
      <c r="AD263" s="368"/>
      <c r="AE263" s="368"/>
    </row>
    <row r="264" spans="3:31" x14ac:dyDescent="0.25">
      <c r="C264" s="365"/>
      <c r="D264" s="366"/>
      <c r="E264" s="367"/>
      <c r="F264" s="368"/>
      <c r="G264" s="368"/>
      <c r="K264" s="365"/>
      <c r="L264" s="366"/>
      <c r="M264" s="367"/>
      <c r="N264" s="368"/>
      <c r="O264" s="368"/>
      <c r="S264" s="365"/>
      <c r="T264" s="366"/>
      <c r="U264" s="367"/>
      <c r="V264" s="368"/>
      <c r="W264" s="368"/>
      <c r="AA264" s="365"/>
      <c r="AB264" s="366"/>
      <c r="AC264" s="367"/>
      <c r="AD264" s="368"/>
      <c r="AE264" s="368"/>
    </row>
    <row r="265" spans="3:31" x14ac:dyDescent="0.25">
      <c r="C265" s="365"/>
      <c r="D265" s="366"/>
      <c r="E265" s="367"/>
      <c r="F265" s="368"/>
      <c r="G265" s="368"/>
      <c r="K265" s="365"/>
      <c r="L265" s="366"/>
      <c r="M265" s="367"/>
      <c r="N265" s="368"/>
      <c r="O265" s="368"/>
      <c r="S265" s="365"/>
      <c r="T265" s="366"/>
      <c r="U265" s="367"/>
      <c r="V265" s="368"/>
      <c r="W265" s="368"/>
      <c r="AA265" s="365"/>
      <c r="AB265" s="366"/>
      <c r="AC265" s="367"/>
      <c r="AD265" s="368"/>
      <c r="AE265" s="368"/>
    </row>
    <row r="266" spans="3:31" x14ac:dyDescent="0.25">
      <c r="C266" s="365"/>
      <c r="D266" s="366"/>
      <c r="E266" s="367"/>
      <c r="F266" s="368"/>
      <c r="G266" s="368"/>
      <c r="K266" s="365"/>
      <c r="L266" s="366"/>
      <c r="M266" s="367"/>
      <c r="N266" s="368"/>
      <c r="O266" s="368"/>
      <c r="S266" s="365"/>
      <c r="T266" s="366"/>
      <c r="U266" s="367"/>
      <c r="V266" s="368"/>
      <c r="W266" s="368"/>
      <c r="AA266" s="365"/>
      <c r="AB266" s="366"/>
      <c r="AC266" s="367"/>
      <c r="AD266" s="368"/>
      <c r="AE266" s="368"/>
    </row>
    <row r="267" spans="3:31" x14ac:dyDescent="0.25">
      <c r="C267" s="365"/>
      <c r="D267" s="366"/>
      <c r="E267" s="367"/>
      <c r="F267" s="368"/>
      <c r="G267" s="368"/>
      <c r="K267" s="365"/>
      <c r="L267" s="366"/>
      <c r="M267" s="367"/>
      <c r="N267" s="368"/>
      <c r="O267" s="368"/>
      <c r="S267" s="365"/>
      <c r="T267" s="366"/>
      <c r="U267" s="367"/>
      <c r="V267" s="368"/>
      <c r="W267" s="368"/>
      <c r="AA267" s="365"/>
      <c r="AB267" s="366"/>
      <c r="AC267" s="367"/>
      <c r="AD267" s="368"/>
      <c r="AE267" s="368"/>
    </row>
    <row r="268" spans="3:31" x14ac:dyDescent="0.25">
      <c r="C268" s="365"/>
      <c r="D268" s="366"/>
      <c r="E268" s="367"/>
      <c r="F268" s="368"/>
      <c r="G268" s="368"/>
      <c r="K268" s="365"/>
      <c r="L268" s="366"/>
      <c r="M268" s="367"/>
      <c r="N268" s="368"/>
      <c r="O268" s="368"/>
      <c r="S268" s="365"/>
      <c r="T268" s="366"/>
      <c r="U268" s="367"/>
      <c r="V268" s="368"/>
      <c r="W268" s="368"/>
      <c r="AA268" s="365"/>
      <c r="AB268" s="366"/>
      <c r="AC268" s="367"/>
      <c r="AD268" s="368"/>
      <c r="AE268" s="368"/>
    </row>
    <row r="269" spans="3:31" x14ac:dyDescent="0.25">
      <c r="C269" s="365"/>
      <c r="D269" s="366"/>
      <c r="E269" s="367"/>
      <c r="F269" s="368"/>
      <c r="G269" s="368"/>
      <c r="K269" s="365"/>
      <c r="L269" s="366"/>
      <c r="M269" s="367"/>
      <c r="N269" s="368"/>
      <c r="O269" s="368"/>
      <c r="S269" s="365"/>
      <c r="T269" s="366"/>
      <c r="U269" s="367"/>
      <c r="V269" s="368"/>
      <c r="W269" s="368"/>
      <c r="AA269" s="365"/>
      <c r="AB269" s="366"/>
      <c r="AC269" s="367"/>
      <c r="AD269" s="368"/>
      <c r="AE269" s="368"/>
    </row>
    <row r="270" spans="3:31" x14ac:dyDescent="0.25">
      <c r="C270" s="365"/>
      <c r="D270" s="366"/>
      <c r="E270" s="367"/>
      <c r="F270" s="368"/>
      <c r="G270" s="368"/>
      <c r="K270" s="365"/>
      <c r="L270" s="366"/>
      <c r="M270" s="367"/>
      <c r="N270" s="368"/>
      <c r="O270" s="368"/>
      <c r="S270" s="365"/>
      <c r="T270" s="366"/>
      <c r="U270" s="367"/>
      <c r="V270" s="368"/>
      <c r="W270" s="368"/>
      <c r="AA270" s="365"/>
      <c r="AB270" s="366"/>
      <c r="AC270" s="367"/>
      <c r="AD270" s="368"/>
      <c r="AE270" s="368"/>
    </row>
    <row r="271" spans="3:31" x14ac:dyDescent="0.25">
      <c r="C271" s="365"/>
      <c r="D271" s="366"/>
      <c r="E271" s="367"/>
      <c r="F271" s="368"/>
      <c r="G271" s="368"/>
      <c r="K271" s="365"/>
      <c r="L271" s="366"/>
      <c r="M271" s="367"/>
      <c r="N271" s="368"/>
      <c r="O271" s="368"/>
      <c r="S271" s="365"/>
      <c r="T271" s="366"/>
      <c r="U271" s="367"/>
      <c r="V271" s="368"/>
      <c r="W271" s="368"/>
      <c r="AA271" s="365"/>
      <c r="AB271" s="366"/>
      <c r="AC271" s="367"/>
      <c r="AD271" s="368"/>
      <c r="AE271" s="368"/>
    </row>
    <row r="272" spans="3:31" x14ac:dyDescent="0.25">
      <c r="C272" s="365"/>
      <c r="D272" s="366"/>
      <c r="E272" s="367"/>
      <c r="F272" s="368"/>
      <c r="G272" s="368"/>
      <c r="K272" s="365"/>
      <c r="L272" s="366"/>
      <c r="M272" s="367"/>
      <c r="N272" s="368"/>
      <c r="O272" s="368"/>
      <c r="S272" s="365"/>
      <c r="T272" s="366"/>
      <c r="U272" s="367"/>
      <c r="V272" s="368"/>
      <c r="W272" s="368"/>
      <c r="AA272" s="365"/>
      <c r="AB272" s="366"/>
      <c r="AC272" s="367"/>
      <c r="AD272" s="368"/>
      <c r="AE272" s="368"/>
    </row>
    <row r="273" spans="3:31" x14ac:dyDescent="0.25">
      <c r="C273" s="365"/>
      <c r="D273" s="366"/>
      <c r="E273" s="367"/>
      <c r="F273" s="368"/>
      <c r="G273" s="368"/>
      <c r="K273" s="365"/>
      <c r="L273" s="366"/>
      <c r="M273" s="367"/>
      <c r="N273" s="368"/>
      <c r="O273" s="368"/>
      <c r="S273" s="365"/>
      <c r="T273" s="366"/>
      <c r="U273" s="367"/>
      <c r="V273" s="368"/>
      <c r="W273" s="368"/>
      <c r="AA273" s="365"/>
      <c r="AB273" s="366"/>
      <c r="AC273" s="367"/>
      <c r="AD273" s="368"/>
      <c r="AE273" s="368"/>
    </row>
    <row r="274" spans="3:31" x14ac:dyDescent="0.25">
      <c r="C274" s="365"/>
      <c r="D274" s="366"/>
      <c r="E274" s="367"/>
      <c r="F274" s="368"/>
      <c r="G274" s="368"/>
      <c r="K274" s="365"/>
      <c r="L274" s="366"/>
      <c r="M274" s="367"/>
      <c r="N274" s="368"/>
      <c r="O274" s="368"/>
      <c r="S274" s="365"/>
      <c r="T274" s="366"/>
      <c r="U274" s="367"/>
      <c r="V274" s="368"/>
      <c r="W274" s="368"/>
      <c r="AA274" s="365"/>
      <c r="AB274" s="366"/>
      <c r="AC274" s="367"/>
      <c r="AD274" s="368"/>
      <c r="AE274" s="368"/>
    </row>
    <row r="275" spans="3:31" x14ac:dyDescent="0.25">
      <c r="C275" s="365"/>
      <c r="D275" s="366"/>
      <c r="E275" s="367"/>
      <c r="F275" s="368"/>
      <c r="G275" s="368"/>
      <c r="K275" s="365"/>
      <c r="L275" s="366"/>
      <c r="M275" s="367"/>
      <c r="N275" s="368"/>
      <c r="O275" s="368"/>
      <c r="S275" s="365"/>
      <c r="T275" s="366"/>
      <c r="U275" s="367"/>
      <c r="V275" s="368"/>
      <c r="W275" s="368"/>
      <c r="AA275" s="365"/>
      <c r="AB275" s="366"/>
      <c r="AC275" s="367"/>
      <c r="AD275" s="368"/>
      <c r="AE275" s="368"/>
    </row>
    <row r="276" spans="3:31" x14ac:dyDescent="0.25">
      <c r="C276" s="365"/>
      <c r="D276" s="366"/>
      <c r="E276" s="367"/>
      <c r="F276" s="368"/>
      <c r="G276" s="368"/>
      <c r="K276" s="365"/>
      <c r="L276" s="366"/>
      <c r="M276" s="367"/>
      <c r="N276" s="368"/>
      <c r="O276" s="368"/>
      <c r="S276" s="365"/>
      <c r="T276" s="366"/>
      <c r="U276" s="367"/>
      <c r="V276" s="368"/>
      <c r="W276" s="368"/>
      <c r="AA276" s="365"/>
      <c r="AB276" s="366"/>
      <c r="AC276" s="367"/>
      <c r="AD276" s="368"/>
      <c r="AE276" s="368"/>
    </row>
    <row r="277" spans="3:31" x14ac:dyDescent="0.25">
      <c r="C277" s="365"/>
      <c r="D277" s="366"/>
      <c r="E277" s="367"/>
      <c r="F277" s="368"/>
      <c r="G277" s="368"/>
      <c r="K277" s="365"/>
      <c r="L277" s="366"/>
      <c r="M277" s="367"/>
      <c r="N277" s="368"/>
      <c r="O277" s="368"/>
      <c r="S277" s="365"/>
      <c r="T277" s="366"/>
      <c r="U277" s="367"/>
      <c r="V277" s="368"/>
      <c r="W277" s="368"/>
      <c r="AA277" s="365"/>
      <c r="AB277" s="366"/>
      <c r="AC277" s="367"/>
      <c r="AD277" s="368"/>
      <c r="AE277" s="368"/>
    </row>
    <row r="278" spans="3:31" x14ac:dyDescent="0.25">
      <c r="C278" s="365"/>
      <c r="D278" s="366"/>
      <c r="E278" s="367"/>
      <c r="F278" s="368"/>
      <c r="G278" s="368"/>
      <c r="K278" s="365"/>
      <c r="L278" s="366"/>
      <c r="M278" s="367"/>
      <c r="N278" s="368"/>
      <c r="O278" s="368"/>
      <c r="S278" s="365"/>
      <c r="T278" s="366"/>
      <c r="U278" s="367"/>
      <c r="V278" s="368"/>
      <c r="W278" s="368"/>
      <c r="AA278" s="365"/>
      <c r="AB278" s="366"/>
      <c r="AC278" s="367"/>
      <c r="AD278" s="368"/>
      <c r="AE278" s="368"/>
    </row>
    <row r="279" spans="3:31" x14ac:dyDescent="0.25">
      <c r="C279" s="365"/>
      <c r="D279" s="366"/>
      <c r="E279" s="367"/>
      <c r="F279" s="368"/>
      <c r="G279" s="368"/>
      <c r="K279" s="365"/>
      <c r="L279" s="366"/>
      <c r="M279" s="367"/>
      <c r="N279" s="368"/>
      <c r="O279" s="368"/>
      <c r="S279" s="365"/>
      <c r="T279" s="366"/>
      <c r="U279" s="367"/>
      <c r="V279" s="368"/>
      <c r="W279" s="368"/>
      <c r="AA279" s="365"/>
      <c r="AB279" s="366"/>
      <c r="AC279" s="367"/>
      <c r="AD279" s="368"/>
      <c r="AE279" s="368"/>
    </row>
    <row r="280" spans="3:31" x14ac:dyDescent="0.25">
      <c r="C280" s="365"/>
      <c r="D280" s="366"/>
      <c r="E280" s="367"/>
      <c r="F280" s="368"/>
      <c r="G280" s="368"/>
      <c r="K280" s="365"/>
      <c r="L280" s="366"/>
      <c r="M280" s="367"/>
      <c r="N280" s="368"/>
      <c r="O280" s="368"/>
      <c r="S280" s="365"/>
      <c r="T280" s="366"/>
      <c r="U280" s="367"/>
      <c r="V280" s="368"/>
      <c r="W280" s="368"/>
      <c r="AA280" s="365"/>
      <c r="AB280" s="366"/>
      <c r="AC280" s="367"/>
      <c r="AD280" s="368"/>
      <c r="AE280" s="368"/>
    </row>
    <row r="281" spans="3:31" x14ac:dyDescent="0.25">
      <c r="C281" s="365"/>
      <c r="D281" s="366"/>
      <c r="E281" s="367"/>
      <c r="F281" s="368"/>
      <c r="G281" s="368"/>
      <c r="K281" s="365"/>
      <c r="L281" s="366"/>
      <c r="M281" s="367"/>
      <c r="N281" s="368"/>
      <c r="O281" s="368"/>
      <c r="S281" s="365"/>
      <c r="T281" s="366"/>
      <c r="U281" s="367"/>
      <c r="V281" s="368"/>
      <c r="W281" s="368"/>
      <c r="AA281" s="365"/>
      <c r="AB281" s="366"/>
      <c r="AC281" s="367"/>
      <c r="AD281" s="368"/>
      <c r="AE281" s="368"/>
    </row>
    <row r="282" spans="3:31" x14ac:dyDescent="0.25">
      <c r="C282" s="365"/>
      <c r="D282" s="366"/>
      <c r="E282" s="367"/>
      <c r="F282" s="368"/>
      <c r="G282" s="368"/>
      <c r="K282" s="365"/>
      <c r="L282" s="366"/>
      <c r="M282" s="367"/>
      <c r="N282" s="368"/>
      <c r="O282" s="368"/>
      <c r="S282" s="365"/>
      <c r="T282" s="366"/>
      <c r="U282" s="367"/>
      <c r="V282" s="368"/>
      <c r="W282" s="368"/>
      <c r="AA282" s="365"/>
      <c r="AB282" s="366"/>
      <c r="AC282" s="367"/>
      <c r="AD282" s="368"/>
      <c r="AE282" s="368"/>
    </row>
    <row r="283" spans="3:31" x14ac:dyDescent="0.25">
      <c r="C283" s="365"/>
      <c r="D283" s="366"/>
      <c r="E283" s="367"/>
      <c r="F283" s="368"/>
      <c r="G283" s="368"/>
      <c r="K283" s="365"/>
      <c r="L283" s="366"/>
      <c r="M283" s="367"/>
      <c r="N283" s="368"/>
      <c r="O283" s="368"/>
      <c r="S283" s="365"/>
      <c r="T283" s="366"/>
      <c r="U283" s="367"/>
      <c r="V283" s="368"/>
      <c r="W283" s="368"/>
      <c r="AA283" s="365"/>
      <c r="AB283" s="366"/>
      <c r="AC283" s="367"/>
      <c r="AD283" s="368"/>
      <c r="AE283" s="368"/>
    </row>
    <row r="284" spans="3:31" x14ac:dyDescent="0.25">
      <c r="C284" s="365"/>
      <c r="D284" s="366"/>
      <c r="E284" s="367"/>
      <c r="F284" s="368"/>
      <c r="G284" s="368"/>
      <c r="K284" s="365"/>
      <c r="L284" s="366"/>
      <c r="M284" s="367"/>
      <c r="N284" s="368"/>
      <c r="O284" s="368"/>
      <c r="S284" s="365"/>
      <c r="T284" s="366"/>
      <c r="U284" s="367"/>
      <c r="V284" s="368"/>
      <c r="W284" s="368"/>
      <c r="AA284" s="365"/>
      <c r="AB284" s="366"/>
      <c r="AC284" s="367"/>
      <c r="AD284" s="368"/>
      <c r="AE284" s="368"/>
    </row>
    <row r="285" spans="3:31" x14ac:dyDescent="0.25">
      <c r="C285" s="365"/>
      <c r="D285" s="366"/>
      <c r="E285" s="367"/>
      <c r="F285" s="368"/>
      <c r="G285" s="368"/>
      <c r="K285" s="365"/>
      <c r="L285" s="366"/>
      <c r="M285" s="367"/>
      <c r="N285" s="368"/>
      <c r="O285" s="368"/>
      <c r="S285" s="365"/>
      <c r="T285" s="366"/>
      <c r="U285" s="367"/>
      <c r="V285" s="368"/>
      <c r="W285" s="368"/>
      <c r="AA285" s="365"/>
      <c r="AB285" s="366"/>
      <c r="AC285" s="367"/>
      <c r="AD285" s="368"/>
      <c r="AE285" s="368"/>
    </row>
    <row r="286" spans="3:31" x14ac:dyDescent="0.25">
      <c r="C286" s="365"/>
      <c r="D286" s="366"/>
      <c r="E286" s="367"/>
      <c r="F286" s="368"/>
      <c r="G286" s="368"/>
      <c r="K286" s="365"/>
      <c r="L286" s="366"/>
      <c r="M286" s="367"/>
      <c r="N286" s="368"/>
      <c r="O286" s="368"/>
      <c r="S286" s="365"/>
      <c r="T286" s="366"/>
      <c r="U286" s="367"/>
      <c r="V286" s="368"/>
      <c r="W286" s="368"/>
      <c r="AA286" s="365"/>
      <c r="AB286" s="366"/>
      <c r="AC286" s="367"/>
      <c r="AD286" s="368"/>
      <c r="AE286" s="368"/>
    </row>
    <row r="287" spans="3:31" x14ac:dyDescent="0.25">
      <c r="C287" s="365"/>
      <c r="D287" s="366"/>
      <c r="E287" s="367"/>
      <c r="F287" s="368"/>
      <c r="G287" s="368"/>
      <c r="K287" s="365"/>
      <c r="L287" s="366"/>
      <c r="M287" s="367"/>
      <c r="N287" s="368"/>
      <c r="O287" s="368"/>
      <c r="S287" s="365"/>
      <c r="T287" s="366"/>
      <c r="U287" s="367"/>
      <c r="V287" s="368"/>
      <c r="W287" s="368"/>
      <c r="AA287" s="365"/>
      <c r="AB287" s="366"/>
      <c r="AC287" s="367"/>
      <c r="AD287" s="368"/>
      <c r="AE287" s="368"/>
    </row>
    <row r="288" spans="3:31" x14ac:dyDescent="0.25">
      <c r="C288" s="365"/>
      <c r="D288" s="366"/>
      <c r="E288" s="367"/>
      <c r="F288" s="368"/>
      <c r="G288" s="368"/>
      <c r="K288" s="365"/>
      <c r="L288" s="366"/>
      <c r="M288" s="367"/>
      <c r="N288" s="368"/>
      <c r="O288" s="368"/>
      <c r="S288" s="365"/>
      <c r="T288" s="366"/>
      <c r="U288" s="367"/>
      <c r="V288" s="368"/>
      <c r="W288" s="368"/>
      <c r="AA288" s="365"/>
      <c r="AB288" s="366"/>
      <c r="AC288" s="367"/>
      <c r="AD288" s="368"/>
      <c r="AE288" s="368"/>
    </row>
    <row r="289" spans="3:31" x14ac:dyDescent="0.25">
      <c r="C289" s="365"/>
      <c r="D289" s="366"/>
      <c r="E289" s="367"/>
      <c r="F289" s="368"/>
      <c r="G289" s="368"/>
      <c r="K289" s="365"/>
      <c r="L289" s="366"/>
      <c r="M289" s="367"/>
      <c r="N289" s="368"/>
      <c r="O289" s="368"/>
      <c r="S289" s="365"/>
      <c r="T289" s="366"/>
      <c r="U289" s="367"/>
      <c r="V289" s="368"/>
      <c r="W289" s="368"/>
      <c r="AA289" s="365"/>
      <c r="AB289" s="366"/>
      <c r="AC289" s="367"/>
      <c r="AD289" s="368"/>
      <c r="AE289" s="368"/>
    </row>
    <row r="290" spans="3:31" x14ac:dyDescent="0.25">
      <c r="C290" s="365"/>
      <c r="D290" s="366"/>
      <c r="E290" s="367"/>
      <c r="F290" s="368"/>
      <c r="G290" s="368"/>
      <c r="K290" s="365"/>
      <c r="L290" s="366"/>
      <c r="M290" s="367"/>
      <c r="N290" s="368"/>
      <c r="O290" s="368"/>
      <c r="S290" s="365"/>
      <c r="T290" s="366"/>
      <c r="U290" s="367"/>
      <c r="V290" s="368"/>
      <c r="W290" s="368"/>
      <c r="AA290" s="365"/>
      <c r="AB290" s="366"/>
      <c r="AC290" s="367"/>
      <c r="AD290" s="368"/>
      <c r="AE290" s="368"/>
    </row>
    <row r="291" spans="3:31" x14ac:dyDescent="0.25">
      <c r="C291" s="365"/>
      <c r="D291" s="366"/>
      <c r="E291" s="367"/>
      <c r="F291" s="368"/>
      <c r="G291" s="368"/>
      <c r="K291" s="365"/>
      <c r="L291" s="366"/>
      <c r="M291" s="367"/>
      <c r="N291" s="368"/>
      <c r="O291" s="368"/>
      <c r="S291" s="365"/>
      <c r="T291" s="366"/>
      <c r="U291" s="367"/>
      <c r="V291" s="368"/>
      <c r="W291" s="368"/>
      <c r="AA291" s="365"/>
      <c r="AB291" s="366"/>
      <c r="AC291" s="367"/>
      <c r="AD291" s="368"/>
      <c r="AE291" s="368"/>
    </row>
    <row r="292" spans="3:31" x14ac:dyDescent="0.25">
      <c r="C292" s="365"/>
      <c r="D292" s="366"/>
      <c r="E292" s="367"/>
      <c r="F292" s="368"/>
      <c r="G292" s="368"/>
      <c r="K292" s="365"/>
      <c r="L292" s="366"/>
      <c r="M292" s="367"/>
      <c r="N292" s="368"/>
      <c r="O292" s="368"/>
      <c r="S292" s="365"/>
      <c r="T292" s="366"/>
      <c r="U292" s="367"/>
      <c r="V292" s="368"/>
      <c r="W292" s="368"/>
      <c r="AA292" s="365"/>
      <c r="AB292" s="366"/>
      <c r="AC292" s="367"/>
      <c r="AD292" s="368"/>
      <c r="AE292" s="368"/>
    </row>
    <row r="293" spans="3:31" x14ac:dyDescent="0.25">
      <c r="C293" s="365"/>
      <c r="D293" s="366"/>
      <c r="E293" s="367"/>
      <c r="F293" s="368"/>
      <c r="G293" s="368"/>
      <c r="K293" s="365"/>
      <c r="L293" s="366"/>
      <c r="M293" s="367"/>
      <c r="N293" s="368"/>
      <c r="O293" s="368"/>
      <c r="S293" s="365"/>
      <c r="T293" s="366"/>
      <c r="U293" s="367"/>
      <c r="V293" s="368"/>
      <c r="W293" s="368"/>
      <c r="AA293" s="365"/>
      <c r="AB293" s="366"/>
      <c r="AC293" s="367"/>
      <c r="AD293" s="368"/>
      <c r="AE293" s="368"/>
    </row>
    <row r="294" spans="3:31" x14ac:dyDescent="0.25">
      <c r="C294" s="365"/>
      <c r="D294" s="366"/>
      <c r="E294" s="367"/>
      <c r="F294" s="368"/>
      <c r="G294" s="368"/>
      <c r="K294" s="365"/>
      <c r="L294" s="366"/>
      <c r="M294" s="367"/>
      <c r="N294" s="368"/>
      <c r="O294" s="368"/>
      <c r="S294" s="365"/>
      <c r="T294" s="366"/>
      <c r="U294" s="367"/>
      <c r="V294" s="368"/>
      <c r="W294" s="368"/>
      <c r="AA294" s="365"/>
      <c r="AB294" s="366"/>
      <c r="AC294" s="367"/>
      <c r="AD294" s="368"/>
      <c r="AE294" s="368"/>
    </row>
    <row r="295" spans="3:31" x14ac:dyDescent="0.25">
      <c r="C295" s="365"/>
      <c r="D295" s="366"/>
      <c r="E295" s="367"/>
      <c r="F295" s="368"/>
      <c r="G295" s="368"/>
      <c r="K295" s="365"/>
      <c r="L295" s="366"/>
      <c r="M295" s="367"/>
      <c r="N295" s="368"/>
      <c r="O295" s="368"/>
      <c r="S295" s="365"/>
      <c r="T295" s="366"/>
      <c r="U295" s="367"/>
      <c r="V295" s="368"/>
      <c r="W295" s="368"/>
      <c r="AA295" s="365"/>
      <c r="AB295" s="366"/>
      <c r="AC295" s="367"/>
      <c r="AD295" s="368"/>
      <c r="AE295" s="368"/>
    </row>
    <row r="296" spans="3:31" x14ac:dyDescent="0.25">
      <c r="C296" s="365"/>
      <c r="D296" s="366"/>
      <c r="E296" s="367"/>
      <c r="F296" s="368"/>
      <c r="G296" s="368"/>
      <c r="K296" s="365"/>
      <c r="L296" s="366"/>
      <c r="M296" s="367"/>
      <c r="N296" s="368"/>
      <c r="O296" s="368"/>
      <c r="S296" s="365"/>
      <c r="T296" s="366"/>
      <c r="U296" s="367"/>
      <c r="V296" s="368"/>
      <c r="W296" s="368"/>
      <c r="AA296" s="365"/>
      <c r="AB296" s="366"/>
      <c r="AC296" s="367"/>
      <c r="AD296" s="368"/>
      <c r="AE296" s="368"/>
    </row>
    <row r="297" spans="3:31" x14ac:dyDescent="0.25">
      <c r="C297" s="365"/>
      <c r="D297" s="366"/>
      <c r="E297" s="367"/>
      <c r="F297" s="368"/>
      <c r="G297" s="368"/>
      <c r="K297" s="365"/>
      <c r="L297" s="366"/>
      <c r="M297" s="367"/>
      <c r="N297" s="368"/>
      <c r="O297" s="368"/>
      <c r="S297" s="365"/>
      <c r="T297" s="366"/>
      <c r="U297" s="367"/>
      <c r="V297" s="368"/>
      <c r="W297" s="368"/>
      <c r="AA297" s="365"/>
      <c r="AB297" s="366"/>
      <c r="AC297" s="367"/>
      <c r="AD297" s="368"/>
      <c r="AE297" s="368"/>
    </row>
    <row r="298" spans="3:31" x14ac:dyDescent="0.25">
      <c r="C298" s="365"/>
      <c r="D298" s="366"/>
      <c r="E298" s="367"/>
      <c r="F298" s="368"/>
      <c r="G298" s="368"/>
      <c r="K298" s="365"/>
      <c r="L298" s="366"/>
      <c r="M298" s="367"/>
      <c r="N298" s="368"/>
      <c r="O298" s="368"/>
      <c r="S298" s="365"/>
      <c r="T298" s="366"/>
      <c r="U298" s="367"/>
      <c r="V298" s="368"/>
      <c r="W298" s="368"/>
      <c r="AA298" s="365"/>
      <c r="AB298" s="366"/>
      <c r="AC298" s="367"/>
      <c r="AD298" s="368"/>
      <c r="AE298" s="368"/>
    </row>
    <row r="299" spans="3:31" x14ac:dyDescent="0.25">
      <c r="C299" s="365"/>
      <c r="D299" s="366"/>
      <c r="E299" s="367"/>
      <c r="F299" s="368"/>
      <c r="G299" s="368"/>
      <c r="K299" s="365"/>
      <c r="L299" s="366"/>
      <c r="M299" s="367"/>
      <c r="N299" s="368"/>
      <c r="O299" s="368"/>
      <c r="S299" s="365"/>
      <c r="T299" s="366"/>
      <c r="U299" s="367"/>
      <c r="V299" s="368"/>
      <c r="W299" s="368"/>
      <c r="AA299" s="365"/>
      <c r="AB299" s="366"/>
      <c r="AC299" s="367"/>
      <c r="AD299" s="368"/>
      <c r="AE299" s="368"/>
    </row>
    <row r="300" spans="3:31" x14ac:dyDescent="0.25">
      <c r="C300" s="365"/>
      <c r="D300" s="366"/>
      <c r="E300" s="367"/>
      <c r="F300" s="368"/>
      <c r="G300" s="368"/>
      <c r="K300" s="365"/>
      <c r="L300" s="366"/>
      <c r="M300" s="367"/>
      <c r="N300" s="368"/>
      <c r="O300" s="368"/>
      <c r="S300" s="365"/>
      <c r="T300" s="366"/>
      <c r="U300" s="367"/>
      <c r="V300" s="368"/>
      <c r="W300" s="368"/>
      <c r="AA300" s="365"/>
      <c r="AB300" s="366"/>
      <c r="AC300" s="367"/>
      <c r="AD300" s="368"/>
      <c r="AE300" s="368"/>
    </row>
    <row r="301" spans="3:31" x14ac:dyDescent="0.25">
      <c r="C301" s="365"/>
      <c r="D301" s="366"/>
      <c r="E301" s="367"/>
      <c r="F301" s="368"/>
      <c r="G301" s="368"/>
      <c r="K301" s="365"/>
      <c r="L301" s="366"/>
      <c r="M301" s="367"/>
      <c r="N301" s="368"/>
      <c r="O301" s="368"/>
      <c r="S301" s="365"/>
      <c r="T301" s="366"/>
      <c r="U301" s="367"/>
      <c r="V301" s="368"/>
      <c r="W301" s="368"/>
      <c r="AA301" s="365"/>
      <c r="AB301" s="366"/>
      <c r="AC301" s="367"/>
      <c r="AD301" s="368"/>
      <c r="AE301" s="368"/>
    </row>
    <row r="302" spans="3:31" x14ac:dyDescent="0.25">
      <c r="C302" s="365"/>
      <c r="D302" s="366"/>
      <c r="E302" s="367"/>
      <c r="F302" s="368"/>
      <c r="G302" s="368"/>
      <c r="K302" s="365"/>
      <c r="L302" s="366"/>
      <c r="M302" s="367"/>
      <c r="N302" s="368"/>
      <c r="O302" s="368"/>
      <c r="S302" s="365"/>
      <c r="T302" s="366"/>
      <c r="U302" s="367"/>
      <c r="V302" s="368"/>
      <c r="W302" s="368"/>
      <c r="AA302" s="365"/>
      <c r="AB302" s="366"/>
      <c r="AC302" s="367"/>
      <c r="AD302" s="368"/>
      <c r="AE302" s="368"/>
    </row>
    <row r="303" spans="3:31" x14ac:dyDescent="0.25">
      <c r="C303" s="365"/>
      <c r="D303" s="366"/>
      <c r="E303" s="367"/>
      <c r="F303" s="368"/>
      <c r="G303" s="368"/>
      <c r="K303" s="365"/>
      <c r="L303" s="366"/>
      <c r="M303" s="367"/>
      <c r="N303" s="368"/>
      <c r="O303" s="368"/>
      <c r="S303" s="365"/>
      <c r="T303" s="366"/>
      <c r="U303" s="367"/>
      <c r="V303" s="368"/>
      <c r="W303" s="368"/>
      <c r="AA303" s="365"/>
      <c r="AB303" s="366"/>
      <c r="AC303" s="367"/>
      <c r="AD303" s="368"/>
      <c r="AE303" s="368"/>
    </row>
    <row r="304" spans="3:31" x14ac:dyDescent="0.25">
      <c r="C304" s="365"/>
      <c r="D304" s="366"/>
      <c r="E304" s="367"/>
      <c r="F304" s="368"/>
      <c r="G304" s="368"/>
      <c r="K304" s="365"/>
      <c r="L304" s="366"/>
      <c r="M304" s="367"/>
      <c r="N304" s="368"/>
      <c r="O304" s="368"/>
      <c r="S304" s="365"/>
      <c r="T304" s="366"/>
      <c r="U304" s="367"/>
      <c r="V304" s="368"/>
      <c r="W304" s="368"/>
      <c r="AA304" s="365"/>
      <c r="AB304" s="366"/>
      <c r="AC304" s="367"/>
      <c r="AD304" s="368"/>
      <c r="AE304" s="368"/>
    </row>
    <row r="305" spans="3:31" x14ac:dyDescent="0.25">
      <c r="C305" s="365"/>
      <c r="D305" s="366"/>
      <c r="E305" s="367"/>
      <c r="F305" s="368"/>
      <c r="G305" s="368"/>
      <c r="K305" s="365"/>
      <c r="L305" s="366"/>
      <c r="M305" s="367"/>
      <c r="N305" s="368"/>
      <c r="O305" s="368"/>
      <c r="S305" s="365"/>
      <c r="T305" s="366"/>
      <c r="U305" s="367"/>
      <c r="V305" s="368"/>
      <c r="W305" s="368"/>
      <c r="AA305" s="365"/>
      <c r="AB305" s="366"/>
      <c r="AC305" s="367"/>
      <c r="AD305" s="368"/>
      <c r="AE305" s="368"/>
    </row>
    <row r="306" spans="3:31" x14ac:dyDescent="0.25">
      <c r="C306" s="365"/>
      <c r="D306" s="366"/>
      <c r="E306" s="367"/>
      <c r="F306" s="368"/>
      <c r="G306" s="368"/>
      <c r="K306" s="365"/>
      <c r="L306" s="366"/>
      <c r="M306" s="367"/>
      <c r="N306" s="368"/>
      <c r="O306" s="368"/>
      <c r="S306" s="365"/>
      <c r="T306" s="366"/>
      <c r="U306" s="367"/>
      <c r="V306" s="368"/>
      <c r="W306" s="368"/>
      <c r="AA306" s="365"/>
      <c r="AB306" s="366"/>
      <c r="AC306" s="367"/>
      <c r="AD306" s="368"/>
      <c r="AE306" s="368"/>
    </row>
    <row r="307" spans="3:31" x14ac:dyDescent="0.25">
      <c r="C307" s="365"/>
      <c r="D307" s="366"/>
      <c r="E307" s="367"/>
      <c r="F307" s="368"/>
      <c r="G307" s="368"/>
      <c r="K307" s="365"/>
      <c r="L307" s="366"/>
      <c r="M307" s="367"/>
      <c r="N307" s="368"/>
      <c r="O307" s="368"/>
      <c r="S307" s="365"/>
      <c r="T307" s="366"/>
      <c r="U307" s="367"/>
      <c r="V307" s="368"/>
      <c r="W307" s="368"/>
      <c r="AA307" s="365"/>
      <c r="AB307" s="366"/>
      <c r="AC307" s="367"/>
      <c r="AD307" s="368"/>
      <c r="AE307" s="368"/>
    </row>
    <row r="308" spans="3:31" x14ac:dyDescent="0.25">
      <c r="C308" s="365"/>
      <c r="D308" s="366"/>
      <c r="E308" s="367"/>
      <c r="F308" s="368"/>
      <c r="G308" s="368"/>
      <c r="K308" s="365"/>
      <c r="L308" s="366"/>
      <c r="M308" s="367"/>
      <c r="N308" s="368"/>
      <c r="O308" s="368"/>
      <c r="S308" s="365"/>
      <c r="T308" s="366"/>
      <c r="U308" s="367"/>
      <c r="V308" s="368"/>
      <c r="W308" s="368"/>
      <c r="AA308" s="365"/>
      <c r="AB308" s="366"/>
      <c r="AC308" s="367"/>
      <c r="AD308" s="368"/>
      <c r="AE308" s="368"/>
    </row>
    <row r="309" spans="3:31" x14ac:dyDescent="0.25">
      <c r="C309" s="365"/>
      <c r="D309" s="366"/>
      <c r="E309" s="367"/>
      <c r="F309" s="368"/>
      <c r="G309" s="368"/>
      <c r="K309" s="365"/>
      <c r="L309" s="366"/>
      <c r="M309" s="367"/>
      <c r="N309" s="368"/>
      <c r="O309" s="368"/>
      <c r="S309" s="365"/>
      <c r="T309" s="366"/>
      <c r="U309" s="367"/>
      <c r="V309" s="368"/>
      <c r="W309" s="368"/>
      <c r="AA309" s="365"/>
      <c r="AB309" s="366"/>
      <c r="AC309" s="367"/>
      <c r="AD309" s="368"/>
      <c r="AE309" s="368"/>
    </row>
    <row r="310" spans="3:31" x14ac:dyDescent="0.25">
      <c r="C310" s="365"/>
      <c r="D310" s="366"/>
      <c r="E310" s="367"/>
      <c r="F310" s="368"/>
      <c r="G310" s="368"/>
      <c r="K310" s="365"/>
      <c r="L310" s="366"/>
      <c r="M310" s="367"/>
      <c r="N310" s="368"/>
      <c r="O310" s="368"/>
      <c r="S310" s="365"/>
      <c r="T310" s="366"/>
      <c r="U310" s="367"/>
      <c r="V310" s="368"/>
      <c r="W310" s="368"/>
      <c r="AA310" s="365"/>
      <c r="AB310" s="366"/>
      <c r="AC310" s="367"/>
      <c r="AD310" s="368"/>
      <c r="AE310" s="368"/>
    </row>
    <row r="311" spans="3:31" x14ac:dyDescent="0.25">
      <c r="C311" s="365"/>
      <c r="D311" s="366"/>
      <c r="E311" s="367"/>
      <c r="F311" s="368"/>
      <c r="G311" s="368"/>
      <c r="K311" s="365"/>
      <c r="L311" s="366"/>
      <c r="M311" s="367"/>
      <c r="N311" s="368"/>
      <c r="O311" s="368"/>
      <c r="S311" s="365"/>
      <c r="T311" s="366"/>
      <c r="U311" s="367"/>
      <c r="V311" s="368"/>
      <c r="W311" s="368"/>
      <c r="AA311" s="365"/>
      <c r="AB311" s="366"/>
      <c r="AC311" s="367"/>
      <c r="AD311" s="368"/>
      <c r="AE311" s="368"/>
    </row>
    <row r="312" spans="3:31" x14ac:dyDescent="0.25">
      <c r="C312" s="365"/>
      <c r="D312" s="366"/>
      <c r="E312" s="367"/>
      <c r="F312" s="368"/>
      <c r="G312" s="368"/>
      <c r="K312" s="365"/>
      <c r="L312" s="366"/>
      <c r="M312" s="367"/>
      <c r="N312" s="368"/>
      <c r="O312" s="368"/>
      <c r="S312" s="365"/>
      <c r="T312" s="366"/>
      <c r="U312" s="367"/>
      <c r="V312" s="368"/>
      <c r="W312" s="368"/>
      <c r="AA312" s="365"/>
      <c r="AB312" s="366"/>
      <c r="AC312" s="367"/>
      <c r="AD312" s="368"/>
      <c r="AE312" s="368"/>
    </row>
    <row r="313" spans="3:31" x14ac:dyDescent="0.25">
      <c r="C313" s="365"/>
      <c r="D313" s="366"/>
      <c r="E313" s="367"/>
      <c r="F313" s="368"/>
      <c r="G313" s="368"/>
      <c r="K313" s="365"/>
      <c r="L313" s="366"/>
      <c r="M313" s="367"/>
      <c r="N313" s="368"/>
      <c r="O313" s="368"/>
      <c r="S313" s="365"/>
      <c r="T313" s="366"/>
      <c r="U313" s="367"/>
      <c r="V313" s="368"/>
      <c r="W313" s="368"/>
      <c r="AA313" s="365"/>
      <c r="AB313" s="366"/>
      <c r="AC313" s="367"/>
      <c r="AD313" s="368"/>
      <c r="AE313" s="368"/>
    </row>
    <row r="314" spans="3:31" x14ac:dyDescent="0.25">
      <c r="C314" s="365"/>
      <c r="D314" s="366"/>
      <c r="E314" s="367"/>
      <c r="F314" s="368"/>
      <c r="G314" s="368"/>
      <c r="K314" s="365"/>
      <c r="L314" s="366"/>
      <c r="M314" s="367"/>
      <c r="N314" s="368"/>
      <c r="O314" s="368"/>
      <c r="S314" s="365"/>
      <c r="T314" s="366"/>
      <c r="U314" s="367"/>
      <c r="V314" s="368"/>
      <c r="W314" s="368"/>
      <c r="AA314" s="365"/>
      <c r="AB314" s="366"/>
      <c r="AC314" s="367"/>
      <c r="AD314" s="368"/>
      <c r="AE314" s="368"/>
    </row>
    <row r="315" spans="3:31" x14ac:dyDescent="0.25">
      <c r="C315" s="365"/>
      <c r="D315" s="366"/>
      <c r="E315" s="367"/>
      <c r="F315" s="368"/>
      <c r="G315" s="368"/>
      <c r="K315" s="365"/>
      <c r="L315" s="366"/>
      <c r="M315" s="367"/>
      <c r="N315" s="368"/>
      <c r="O315" s="368"/>
      <c r="S315" s="365"/>
      <c r="T315" s="366"/>
      <c r="U315" s="367"/>
      <c r="V315" s="368"/>
      <c r="W315" s="368"/>
      <c r="AA315" s="365"/>
      <c r="AB315" s="366"/>
      <c r="AC315" s="367"/>
      <c r="AD315" s="368"/>
      <c r="AE315" s="368"/>
    </row>
    <row r="316" spans="3:31" x14ac:dyDescent="0.25">
      <c r="C316" s="365"/>
      <c r="D316" s="366"/>
      <c r="E316" s="367"/>
      <c r="F316" s="368"/>
      <c r="G316" s="368"/>
      <c r="K316" s="365"/>
      <c r="L316" s="366"/>
      <c r="M316" s="367"/>
      <c r="N316" s="368"/>
      <c r="O316" s="368"/>
      <c r="S316" s="365"/>
      <c r="T316" s="366"/>
      <c r="U316" s="367"/>
      <c r="V316" s="368"/>
      <c r="W316" s="368"/>
      <c r="AA316" s="365"/>
      <c r="AB316" s="366"/>
      <c r="AC316" s="367"/>
      <c r="AD316" s="368"/>
      <c r="AE316" s="368"/>
    </row>
    <row r="317" spans="3:31" x14ac:dyDescent="0.25">
      <c r="C317" s="365"/>
      <c r="D317" s="366"/>
      <c r="E317" s="367"/>
      <c r="F317" s="368"/>
      <c r="G317" s="368"/>
      <c r="K317" s="365"/>
      <c r="L317" s="366"/>
      <c r="M317" s="367"/>
      <c r="N317" s="368"/>
      <c r="O317" s="368"/>
      <c r="S317" s="365"/>
      <c r="T317" s="366"/>
      <c r="U317" s="367"/>
      <c r="V317" s="368"/>
      <c r="W317" s="368"/>
      <c r="AA317" s="365"/>
      <c r="AB317" s="366"/>
      <c r="AC317" s="367"/>
      <c r="AD317" s="368"/>
      <c r="AE317" s="368"/>
    </row>
    <row r="318" spans="3:31" x14ac:dyDescent="0.25">
      <c r="C318" s="365"/>
      <c r="D318" s="366"/>
      <c r="E318" s="367"/>
      <c r="F318" s="368"/>
      <c r="G318" s="368"/>
      <c r="K318" s="365"/>
      <c r="L318" s="366"/>
      <c r="M318" s="367"/>
      <c r="N318" s="368"/>
      <c r="O318" s="368"/>
      <c r="S318" s="365"/>
      <c r="T318" s="366"/>
      <c r="U318" s="367"/>
      <c r="V318" s="368"/>
      <c r="W318" s="368"/>
      <c r="AA318" s="365"/>
      <c r="AB318" s="366"/>
      <c r="AC318" s="367"/>
      <c r="AD318" s="368"/>
      <c r="AE318" s="368"/>
    </row>
    <row r="319" spans="3:31" x14ac:dyDescent="0.25">
      <c r="C319" s="365"/>
      <c r="D319" s="366"/>
      <c r="E319" s="367"/>
      <c r="F319" s="368"/>
      <c r="G319" s="368"/>
      <c r="K319" s="365"/>
      <c r="L319" s="366"/>
      <c r="M319" s="367"/>
      <c r="N319" s="368"/>
      <c r="O319" s="368"/>
      <c r="S319" s="365"/>
      <c r="T319" s="366"/>
      <c r="U319" s="367"/>
      <c r="V319" s="368"/>
      <c r="W319" s="368"/>
      <c r="AA319" s="365"/>
      <c r="AB319" s="366"/>
      <c r="AC319" s="367"/>
      <c r="AD319" s="368"/>
      <c r="AE319" s="368"/>
    </row>
    <row r="320" spans="3:31" x14ac:dyDescent="0.25">
      <c r="C320" s="365"/>
      <c r="D320" s="366"/>
      <c r="E320" s="367"/>
      <c r="F320" s="368"/>
      <c r="G320" s="368"/>
      <c r="K320" s="365"/>
      <c r="L320" s="366"/>
      <c r="M320" s="367"/>
      <c r="N320" s="368"/>
      <c r="O320" s="368"/>
      <c r="S320" s="365"/>
      <c r="T320" s="366"/>
      <c r="U320" s="367"/>
      <c r="V320" s="368"/>
      <c r="W320" s="368"/>
      <c r="AA320" s="365"/>
      <c r="AB320" s="366"/>
      <c r="AC320" s="367"/>
      <c r="AD320" s="368"/>
      <c r="AE320" s="368"/>
    </row>
    <row r="321" spans="3:31" x14ac:dyDescent="0.25">
      <c r="C321" s="365"/>
      <c r="D321" s="366"/>
      <c r="E321" s="367"/>
      <c r="F321" s="368"/>
      <c r="G321" s="368"/>
      <c r="K321" s="365"/>
      <c r="L321" s="366"/>
      <c r="M321" s="367"/>
      <c r="N321" s="368"/>
      <c r="O321" s="368"/>
      <c r="S321" s="365"/>
      <c r="T321" s="366"/>
      <c r="U321" s="367"/>
      <c r="V321" s="368"/>
      <c r="W321" s="368"/>
      <c r="AA321" s="365"/>
      <c r="AB321" s="366"/>
      <c r="AC321" s="367"/>
      <c r="AD321" s="368"/>
      <c r="AE321" s="368"/>
    </row>
    <row r="322" spans="3:31" x14ac:dyDescent="0.25">
      <c r="C322" s="365"/>
      <c r="D322" s="366"/>
      <c r="E322" s="367"/>
      <c r="F322" s="368"/>
      <c r="G322" s="368"/>
      <c r="K322" s="365"/>
      <c r="L322" s="366"/>
      <c r="M322" s="367"/>
      <c r="N322" s="368"/>
      <c r="O322" s="368"/>
      <c r="S322" s="365"/>
      <c r="T322" s="366"/>
      <c r="U322" s="367"/>
      <c r="V322" s="368"/>
      <c r="W322" s="368"/>
      <c r="AA322" s="365"/>
      <c r="AB322" s="366"/>
      <c r="AC322" s="367"/>
      <c r="AD322" s="368"/>
      <c r="AE322" s="368"/>
    </row>
    <row r="323" spans="3:31" x14ac:dyDescent="0.25">
      <c r="C323" s="365"/>
      <c r="D323" s="366"/>
      <c r="E323" s="367"/>
      <c r="F323" s="368"/>
      <c r="G323" s="368"/>
      <c r="K323" s="365"/>
      <c r="L323" s="366"/>
      <c r="M323" s="367"/>
      <c r="N323" s="368"/>
      <c r="O323" s="368"/>
      <c r="S323" s="365"/>
      <c r="T323" s="366"/>
      <c r="U323" s="367"/>
      <c r="V323" s="368"/>
      <c r="W323" s="368"/>
      <c r="AA323" s="365"/>
      <c r="AB323" s="366"/>
      <c r="AC323" s="367"/>
      <c r="AD323" s="368"/>
      <c r="AE323" s="368"/>
    </row>
    <row r="324" spans="3:31" x14ac:dyDescent="0.25">
      <c r="C324" s="365"/>
      <c r="D324" s="366"/>
      <c r="E324" s="367"/>
      <c r="F324" s="368"/>
      <c r="G324" s="368"/>
      <c r="K324" s="365"/>
      <c r="L324" s="366"/>
      <c r="M324" s="367"/>
      <c r="N324" s="368"/>
      <c r="O324" s="368"/>
      <c r="S324" s="365"/>
      <c r="T324" s="366"/>
      <c r="U324" s="367"/>
      <c r="V324" s="368"/>
      <c r="W324" s="368"/>
      <c r="AA324" s="365"/>
      <c r="AB324" s="366"/>
      <c r="AC324" s="367"/>
      <c r="AD324" s="368"/>
      <c r="AE324" s="368"/>
    </row>
    <row r="325" spans="3:31" x14ac:dyDescent="0.25">
      <c r="C325" s="365"/>
      <c r="D325" s="366"/>
      <c r="E325" s="367"/>
      <c r="F325" s="368"/>
      <c r="G325" s="368"/>
      <c r="K325" s="365"/>
      <c r="L325" s="366"/>
      <c r="M325" s="367"/>
      <c r="N325" s="368"/>
      <c r="O325" s="368"/>
      <c r="S325" s="365"/>
      <c r="T325" s="366"/>
      <c r="U325" s="367"/>
      <c r="V325" s="368"/>
      <c r="W325" s="368"/>
      <c r="AA325" s="365"/>
      <c r="AB325" s="366"/>
      <c r="AC325" s="367"/>
      <c r="AD325" s="368"/>
      <c r="AE325" s="368"/>
    </row>
    <row r="326" spans="3:31" x14ac:dyDescent="0.25">
      <c r="C326" s="365"/>
      <c r="D326" s="366"/>
      <c r="E326" s="367"/>
      <c r="F326" s="368"/>
      <c r="G326" s="368"/>
      <c r="K326" s="365"/>
      <c r="L326" s="366"/>
      <c r="M326" s="367"/>
      <c r="N326" s="368"/>
      <c r="O326" s="368"/>
      <c r="S326" s="365"/>
      <c r="T326" s="366"/>
      <c r="U326" s="367"/>
      <c r="V326" s="368"/>
      <c r="W326" s="368"/>
      <c r="AA326" s="365"/>
      <c r="AB326" s="366"/>
      <c r="AC326" s="367"/>
      <c r="AD326" s="368"/>
      <c r="AE326" s="368"/>
    </row>
    <row r="327" spans="3:31" x14ac:dyDescent="0.25">
      <c r="C327" s="365"/>
      <c r="D327" s="366"/>
      <c r="E327" s="367"/>
      <c r="F327" s="368"/>
      <c r="G327" s="368"/>
      <c r="K327" s="365"/>
      <c r="L327" s="366"/>
      <c r="M327" s="367"/>
      <c r="N327" s="368"/>
      <c r="O327" s="368"/>
      <c r="S327" s="365"/>
      <c r="T327" s="366"/>
      <c r="U327" s="367"/>
      <c r="V327" s="368"/>
      <c r="W327" s="368"/>
      <c r="AA327" s="365"/>
      <c r="AB327" s="366"/>
      <c r="AC327" s="367"/>
      <c r="AD327" s="368"/>
      <c r="AE327" s="368"/>
    </row>
    <row r="328" spans="3:31" x14ac:dyDescent="0.25">
      <c r="C328" s="365"/>
      <c r="D328" s="366"/>
      <c r="E328" s="367"/>
      <c r="F328" s="368"/>
      <c r="G328" s="368"/>
      <c r="K328" s="365"/>
      <c r="L328" s="366"/>
      <c r="M328" s="367"/>
      <c r="N328" s="368"/>
      <c r="O328" s="368"/>
      <c r="S328" s="365"/>
      <c r="T328" s="366"/>
      <c r="U328" s="367"/>
      <c r="V328" s="368"/>
      <c r="W328" s="368"/>
      <c r="AA328" s="365"/>
      <c r="AB328" s="366"/>
      <c r="AC328" s="367"/>
      <c r="AD328" s="368"/>
      <c r="AE328" s="368"/>
    </row>
    <row r="329" spans="3:31" x14ac:dyDescent="0.25">
      <c r="C329" s="365"/>
      <c r="D329" s="366"/>
      <c r="E329" s="367"/>
      <c r="F329" s="368"/>
      <c r="G329" s="368"/>
      <c r="K329" s="365"/>
      <c r="L329" s="366"/>
      <c r="M329" s="367"/>
      <c r="N329" s="368"/>
      <c r="O329" s="368"/>
      <c r="S329" s="365"/>
      <c r="T329" s="366"/>
      <c r="U329" s="367"/>
      <c r="V329" s="368"/>
      <c r="W329" s="368"/>
      <c r="AA329" s="365"/>
      <c r="AB329" s="366"/>
      <c r="AC329" s="367"/>
      <c r="AD329" s="368"/>
      <c r="AE329" s="368"/>
    </row>
    <row r="330" spans="3:31" x14ac:dyDescent="0.25">
      <c r="C330" s="365"/>
      <c r="D330" s="366"/>
      <c r="E330" s="367"/>
      <c r="F330" s="368"/>
      <c r="G330" s="368"/>
      <c r="K330" s="365"/>
      <c r="L330" s="366"/>
      <c r="M330" s="367"/>
      <c r="N330" s="368"/>
      <c r="O330" s="368"/>
      <c r="S330" s="365"/>
      <c r="T330" s="366"/>
      <c r="U330" s="367"/>
      <c r="V330" s="368"/>
      <c r="W330" s="368"/>
      <c r="AA330" s="365"/>
      <c r="AB330" s="366"/>
      <c r="AC330" s="367"/>
      <c r="AD330" s="368"/>
      <c r="AE330" s="368"/>
    </row>
    <row r="331" spans="3:31" x14ac:dyDescent="0.25">
      <c r="C331" s="365"/>
      <c r="D331" s="366"/>
      <c r="E331" s="367"/>
      <c r="F331" s="368"/>
      <c r="G331" s="368"/>
      <c r="K331" s="365"/>
      <c r="L331" s="366"/>
      <c r="M331" s="367"/>
      <c r="N331" s="368"/>
      <c r="O331" s="368"/>
      <c r="S331" s="365"/>
      <c r="T331" s="366"/>
      <c r="U331" s="367"/>
      <c r="V331" s="368"/>
      <c r="W331" s="368"/>
      <c r="AA331" s="365"/>
      <c r="AB331" s="366"/>
      <c r="AC331" s="367"/>
      <c r="AD331" s="368"/>
      <c r="AE331" s="368"/>
    </row>
    <row r="332" spans="3:31" x14ac:dyDescent="0.25">
      <c r="C332" s="365"/>
      <c r="D332" s="366"/>
      <c r="E332" s="367"/>
      <c r="F332" s="368"/>
      <c r="G332" s="368"/>
      <c r="K332" s="365"/>
      <c r="L332" s="366"/>
      <c r="M332" s="367"/>
      <c r="N332" s="368"/>
      <c r="O332" s="368"/>
      <c r="S332" s="365"/>
      <c r="T332" s="366"/>
      <c r="U332" s="367"/>
      <c r="V332" s="368"/>
      <c r="W332" s="368"/>
      <c r="AA332" s="365"/>
      <c r="AB332" s="366"/>
      <c r="AC332" s="367"/>
      <c r="AD332" s="368"/>
      <c r="AE332" s="368"/>
    </row>
    <row r="333" spans="3:31" x14ac:dyDescent="0.25">
      <c r="C333" s="365"/>
      <c r="D333" s="366"/>
      <c r="E333" s="367"/>
      <c r="F333" s="368"/>
      <c r="G333" s="368"/>
      <c r="K333" s="365"/>
      <c r="L333" s="366"/>
      <c r="M333" s="367"/>
      <c r="N333" s="368"/>
      <c r="O333" s="368"/>
      <c r="S333" s="365"/>
      <c r="T333" s="366"/>
      <c r="U333" s="367"/>
      <c r="V333" s="368"/>
      <c r="W333" s="368"/>
      <c r="AA333" s="365"/>
      <c r="AB333" s="366"/>
      <c r="AC333" s="367"/>
      <c r="AD333" s="368"/>
      <c r="AE333" s="368"/>
    </row>
    <row r="334" spans="3:31" x14ac:dyDescent="0.25">
      <c r="C334" s="365"/>
      <c r="D334" s="366"/>
      <c r="E334" s="367"/>
      <c r="F334" s="368"/>
      <c r="G334" s="368"/>
      <c r="K334" s="365"/>
      <c r="L334" s="366"/>
      <c r="M334" s="367"/>
      <c r="N334" s="368"/>
      <c r="O334" s="368"/>
      <c r="S334" s="365"/>
      <c r="T334" s="366"/>
      <c r="U334" s="367"/>
      <c r="V334" s="368"/>
      <c r="W334" s="368"/>
      <c r="AA334" s="365"/>
      <c r="AB334" s="366"/>
      <c r="AC334" s="367"/>
      <c r="AD334" s="368"/>
      <c r="AE334" s="368"/>
    </row>
    <row r="335" spans="3:31" x14ac:dyDescent="0.25">
      <c r="C335" s="365"/>
      <c r="D335" s="366"/>
      <c r="E335" s="367"/>
      <c r="F335" s="368"/>
      <c r="G335" s="368"/>
      <c r="K335" s="365"/>
      <c r="L335" s="366"/>
      <c r="M335" s="367"/>
      <c r="N335" s="368"/>
      <c r="O335" s="368"/>
      <c r="S335" s="365"/>
      <c r="T335" s="366"/>
      <c r="U335" s="367"/>
      <c r="V335" s="368"/>
      <c r="W335" s="368"/>
      <c r="AA335" s="365"/>
      <c r="AB335" s="366"/>
      <c r="AC335" s="367"/>
      <c r="AD335" s="368"/>
      <c r="AE335" s="368"/>
    </row>
    <row r="336" spans="3:31" x14ac:dyDescent="0.25">
      <c r="C336" s="365"/>
      <c r="D336" s="366"/>
      <c r="E336" s="367"/>
      <c r="F336" s="368"/>
      <c r="G336" s="368"/>
      <c r="K336" s="365"/>
      <c r="L336" s="366"/>
      <c r="M336" s="367"/>
      <c r="N336" s="368"/>
      <c r="O336" s="368"/>
      <c r="S336" s="365"/>
      <c r="T336" s="366"/>
      <c r="U336" s="367"/>
      <c r="V336" s="368"/>
      <c r="W336" s="368"/>
      <c r="AA336" s="365"/>
      <c r="AB336" s="366"/>
      <c r="AC336" s="367"/>
      <c r="AD336" s="368"/>
      <c r="AE336" s="368"/>
    </row>
    <row r="337" spans="3:31" x14ac:dyDescent="0.25">
      <c r="C337" s="365"/>
      <c r="D337" s="366"/>
      <c r="E337" s="367"/>
      <c r="F337" s="368"/>
      <c r="G337" s="368"/>
      <c r="K337" s="365"/>
      <c r="L337" s="366"/>
      <c r="M337" s="367"/>
      <c r="N337" s="368"/>
      <c r="O337" s="368"/>
      <c r="S337" s="365"/>
      <c r="T337" s="366"/>
      <c r="U337" s="367"/>
      <c r="V337" s="368"/>
      <c r="W337" s="368"/>
      <c r="AA337" s="365"/>
      <c r="AB337" s="366"/>
      <c r="AC337" s="367"/>
      <c r="AD337" s="368"/>
      <c r="AE337" s="368"/>
    </row>
    <row r="338" spans="3:31" x14ac:dyDescent="0.25">
      <c r="C338" s="365"/>
      <c r="D338" s="366"/>
      <c r="E338" s="367"/>
      <c r="F338" s="368"/>
      <c r="G338" s="368"/>
      <c r="K338" s="365"/>
      <c r="L338" s="366"/>
      <c r="M338" s="367"/>
      <c r="N338" s="368"/>
      <c r="O338" s="368"/>
      <c r="S338" s="365"/>
      <c r="T338" s="366"/>
      <c r="U338" s="367"/>
      <c r="V338" s="368"/>
      <c r="W338" s="368"/>
      <c r="AA338" s="365"/>
      <c r="AB338" s="366"/>
      <c r="AC338" s="367"/>
      <c r="AD338" s="368"/>
      <c r="AE338" s="368"/>
    </row>
    <row r="339" spans="3:31" x14ac:dyDescent="0.25">
      <c r="C339" s="365"/>
      <c r="D339" s="366"/>
      <c r="E339" s="367"/>
      <c r="F339" s="368"/>
      <c r="G339" s="368"/>
      <c r="K339" s="365"/>
      <c r="L339" s="366"/>
      <c r="M339" s="367"/>
      <c r="N339" s="368"/>
      <c r="O339" s="368"/>
      <c r="S339" s="365"/>
      <c r="T339" s="366"/>
      <c r="U339" s="367"/>
      <c r="V339" s="368"/>
      <c r="W339" s="368"/>
      <c r="AA339" s="365"/>
      <c r="AB339" s="366"/>
      <c r="AC339" s="367"/>
      <c r="AD339" s="368"/>
      <c r="AE339" s="368"/>
    </row>
    <row r="340" spans="3:31" x14ac:dyDescent="0.25">
      <c r="C340" s="365"/>
      <c r="D340" s="366"/>
      <c r="E340" s="367"/>
      <c r="F340" s="368"/>
      <c r="G340" s="368"/>
      <c r="K340" s="365"/>
      <c r="L340" s="366"/>
      <c r="M340" s="367"/>
      <c r="N340" s="368"/>
      <c r="O340" s="368"/>
      <c r="S340" s="365"/>
      <c r="T340" s="366"/>
      <c r="U340" s="367"/>
      <c r="V340" s="368"/>
      <c r="W340" s="368"/>
      <c r="AA340" s="365"/>
      <c r="AB340" s="366"/>
      <c r="AC340" s="367"/>
      <c r="AD340" s="368"/>
      <c r="AE340" s="368"/>
    </row>
    <row r="341" spans="3:31" x14ac:dyDescent="0.25">
      <c r="C341" s="365"/>
      <c r="D341" s="366"/>
      <c r="E341" s="367"/>
      <c r="F341" s="368"/>
      <c r="G341" s="368"/>
      <c r="K341" s="365"/>
      <c r="L341" s="366"/>
      <c r="M341" s="367"/>
      <c r="N341" s="368"/>
      <c r="O341" s="368"/>
      <c r="S341" s="365"/>
      <c r="T341" s="366"/>
      <c r="U341" s="367"/>
      <c r="V341" s="368"/>
      <c r="W341" s="368"/>
      <c r="AA341" s="365"/>
      <c r="AB341" s="366"/>
      <c r="AC341" s="367"/>
      <c r="AD341" s="368"/>
      <c r="AE341" s="368"/>
    </row>
    <row r="342" spans="3:31" x14ac:dyDescent="0.25">
      <c r="C342" s="365"/>
      <c r="D342" s="366"/>
      <c r="E342" s="367"/>
      <c r="F342" s="368"/>
      <c r="G342" s="368"/>
      <c r="K342" s="365"/>
      <c r="L342" s="366"/>
      <c r="M342" s="367"/>
      <c r="N342" s="368"/>
      <c r="O342" s="368"/>
      <c r="S342" s="365"/>
      <c r="T342" s="366"/>
      <c r="U342" s="367"/>
      <c r="V342" s="368"/>
      <c r="W342" s="368"/>
      <c r="AA342" s="365"/>
      <c r="AB342" s="366"/>
      <c r="AC342" s="367"/>
      <c r="AD342" s="368"/>
      <c r="AE342" s="368"/>
    </row>
    <row r="343" spans="3:31" x14ac:dyDescent="0.25">
      <c r="C343" s="365"/>
      <c r="D343" s="366"/>
      <c r="E343" s="367"/>
      <c r="F343" s="368"/>
      <c r="G343" s="368"/>
      <c r="K343" s="365"/>
      <c r="L343" s="366"/>
      <c r="M343" s="367"/>
      <c r="N343" s="368"/>
      <c r="O343" s="368"/>
      <c r="S343" s="365"/>
      <c r="T343" s="366"/>
      <c r="U343" s="367"/>
      <c r="V343" s="368"/>
      <c r="W343" s="368"/>
      <c r="AA343" s="365"/>
      <c r="AB343" s="366"/>
      <c r="AC343" s="367"/>
      <c r="AD343" s="368"/>
      <c r="AE343" s="368"/>
    </row>
    <row r="344" spans="3:31" x14ac:dyDescent="0.25">
      <c r="C344" s="365"/>
      <c r="D344" s="366"/>
      <c r="E344" s="367"/>
      <c r="F344" s="368"/>
      <c r="G344" s="368"/>
      <c r="K344" s="365"/>
      <c r="L344" s="366"/>
      <c r="M344" s="367"/>
      <c r="N344" s="368"/>
      <c r="O344" s="368"/>
      <c r="S344" s="365"/>
      <c r="T344" s="366"/>
      <c r="U344" s="367"/>
      <c r="V344" s="368"/>
      <c r="W344" s="368"/>
      <c r="AA344" s="365"/>
      <c r="AB344" s="366"/>
      <c r="AC344" s="367"/>
      <c r="AD344" s="368"/>
      <c r="AE344" s="368"/>
    </row>
    <row r="345" spans="3:31" x14ac:dyDescent="0.25">
      <c r="C345" s="365"/>
      <c r="D345" s="366"/>
      <c r="E345" s="367"/>
      <c r="F345" s="368"/>
      <c r="G345" s="368"/>
      <c r="K345" s="365"/>
      <c r="L345" s="366"/>
      <c r="M345" s="367"/>
      <c r="N345" s="368"/>
      <c r="O345" s="368"/>
      <c r="S345" s="365"/>
      <c r="T345" s="366"/>
      <c r="U345" s="367"/>
      <c r="V345" s="368"/>
      <c r="W345" s="368"/>
      <c r="AA345" s="365"/>
      <c r="AB345" s="366"/>
      <c r="AC345" s="367"/>
      <c r="AD345" s="368"/>
      <c r="AE345" s="368"/>
    </row>
    <row r="346" spans="3:31" x14ac:dyDescent="0.25">
      <c r="C346" s="365"/>
      <c r="D346" s="366"/>
      <c r="E346" s="367"/>
      <c r="F346" s="368"/>
      <c r="G346" s="368"/>
      <c r="K346" s="365"/>
      <c r="L346" s="366"/>
      <c r="M346" s="367"/>
      <c r="N346" s="368"/>
      <c r="O346" s="368"/>
      <c r="S346" s="365"/>
      <c r="T346" s="366"/>
      <c r="U346" s="367"/>
      <c r="V346" s="368"/>
      <c r="W346" s="368"/>
      <c r="AA346" s="365"/>
      <c r="AB346" s="366"/>
      <c r="AC346" s="367"/>
      <c r="AD346" s="368"/>
      <c r="AE346" s="368"/>
    </row>
    <row r="347" spans="3:31" x14ac:dyDescent="0.25">
      <c r="C347" s="365"/>
      <c r="D347" s="366"/>
      <c r="E347" s="367"/>
      <c r="F347" s="368"/>
      <c r="G347" s="368"/>
      <c r="K347" s="365"/>
      <c r="L347" s="366"/>
      <c r="M347" s="367"/>
      <c r="N347" s="368"/>
      <c r="O347" s="368"/>
      <c r="S347" s="365"/>
      <c r="T347" s="366"/>
      <c r="U347" s="367"/>
      <c r="V347" s="368"/>
      <c r="W347" s="368"/>
      <c r="AA347" s="365"/>
      <c r="AB347" s="366"/>
      <c r="AC347" s="367"/>
      <c r="AD347" s="368"/>
      <c r="AE347" s="368"/>
    </row>
    <row r="348" spans="3:31" x14ac:dyDescent="0.25">
      <c r="C348" s="365"/>
      <c r="D348" s="366"/>
      <c r="E348" s="367"/>
      <c r="F348" s="368"/>
      <c r="G348" s="368"/>
      <c r="K348" s="365"/>
      <c r="L348" s="366"/>
      <c r="M348" s="367"/>
      <c r="N348" s="368"/>
      <c r="O348" s="368"/>
      <c r="S348" s="365"/>
      <c r="T348" s="366"/>
      <c r="U348" s="367"/>
      <c r="V348" s="368"/>
      <c r="W348" s="368"/>
      <c r="AA348" s="365"/>
      <c r="AB348" s="366"/>
      <c r="AC348" s="367"/>
      <c r="AD348" s="368"/>
      <c r="AE348" s="368"/>
    </row>
    <row r="349" spans="3:31" x14ac:dyDescent="0.25">
      <c r="C349" s="365"/>
      <c r="D349" s="366"/>
      <c r="E349" s="367"/>
      <c r="F349" s="368"/>
      <c r="G349" s="368"/>
      <c r="K349" s="365"/>
      <c r="L349" s="366"/>
      <c r="M349" s="367"/>
      <c r="N349" s="368"/>
      <c r="O349" s="368"/>
      <c r="S349" s="365"/>
      <c r="T349" s="366"/>
      <c r="U349" s="367"/>
      <c r="V349" s="368"/>
      <c r="W349" s="368"/>
      <c r="AA349" s="365"/>
      <c r="AB349" s="366"/>
      <c r="AC349" s="367"/>
      <c r="AD349" s="368"/>
      <c r="AE349" s="368"/>
    </row>
    <row r="350" spans="3:31" x14ac:dyDescent="0.25">
      <c r="C350" s="365"/>
      <c r="D350" s="366"/>
      <c r="E350" s="367"/>
      <c r="F350" s="368"/>
      <c r="G350" s="368"/>
      <c r="K350" s="365"/>
      <c r="L350" s="366"/>
      <c r="M350" s="367"/>
      <c r="N350" s="368"/>
      <c r="O350" s="368"/>
      <c r="S350" s="365"/>
      <c r="T350" s="366"/>
      <c r="U350" s="367"/>
      <c r="V350" s="368"/>
      <c r="W350" s="368"/>
      <c r="AA350" s="365"/>
      <c r="AB350" s="366"/>
      <c r="AC350" s="367"/>
      <c r="AD350" s="368"/>
      <c r="AE350" s="368"/>
    </row>
    <row r="351" spans="3:31" x14ac:dyDescent="0.25">
      <c r="C351" s="365"/>
      <c r="D351" s="366"/>
      <c r="E351" s="367"/>
      <c r="F351" s="368"/>
      <c r="G351" s="368"/>
      <c r="K351" s="365"/>
      <c r="L351" s="366"/>
      <c r="M351" s="367"/>
      <c r="N351" s="368"/>
      <c r="O351" s="368"/>
      <c r="S351" s="365"/>
      <c r="T351" s="366"/>
      <c r="U351" s="367"/>
      <c r="V351" s="368"/>
      <c r="W351" s="368"/>
      <c r="AA351" s="365"/>
      <c r="AB351" s="366"/>
      <c r="AC351" s="367"/>
      <c r="AD351" s="368"/>
      <c r="AE351" s="368"/>
    </row>
    <row r="352" spans="3:31" x14ac:dyDescent="0.25">
      <c r="C352" s="365"/>
      <c r="D352" s="366"/>
      <c r="E352" s="367"/>
      <c r="F352" s="368"/>
      <c r="G352" s="368"/>
      <c r="K352" s="365"/>
      <c r="L352" s="366"/>
      <c r="M352" s="367"/>
      <c r="N352" s="368"/>
      <c r="O352" s="368"/>
      <c r="S352" s="365"/>
      <c r="T352" s="366"/>
      <c r="U352" s="367"/>
      <c r="V352" s="368"/>
      <c r="W352" s="368"/>
      <c r="AA352" s="365"/>
      <c r="AB352" s="366"/>
      <c r="AC352" s="367"/>
      <c r="AD352" s="368"/>
      <c r="AE352" s="368"/>
    </row>
    <row r="353" spans="3:31" x14ac:dyDescent="0.25">
      <c r="C353" s="365"/>
      <c r="D353" s="366"/>
      <c r="E353" s="367"/>
      <c r="F353" s="368"/>
      <c r="G353" s="368"/>
      <c r="K353" s="365"/>
      <c r="L353" s="366"/>
      <c r="M353" s="367"/>
      <c r="N353" s="368"/>
      <c r="O353" s="368"/>
      <c r="S353" s="365"/>
      <c r="T353" s="366"/>
      <c r="U353" s="367"/>
      <c r="V353" s="368"/>
      <c r="W353" s="368"/>
      <c r="AA353" s="365"/>
      <c r="AB353" s="366"/>
      <c r="AC353" s="367"/>
      <c r="AD353" s="368"/>
      <c r="AE353" s="368"/>
    </row>
    <row r="354" spans="3:31" x14ac:dyDescent="0.25">
      <c r="C354" s="365"/>
      <c r="D354" s="366"/>
      <c r="E354" s="367"/>
      <c r="F354" s="368"/>
      <c r="G354" s="368"/>
      <c r="K354" s="365"/>
      <c r="L354" s="366"/>
      <c r="M354" s="367"/>
      <c r="N354" s="368"/>
      <c r="O354" s="368"/>
      <c r="S354" s="365"/>
      <c r="T354" s="366"/>
      <c r="U354" s="367"/>
      <c r="V354" s="368"/>
      <c r="W354" s="368"/>
      <c r="AA354" s="365"/>
      <c r="AB354" s="366"/>
      <c r="AC354" s="367"/>
      <c r="AD354" s="368"/>
      <c r="AE354" s="368"/>
    </row>
    <row r="355" spans="3:31" x14ac:dyDescent="0.25">
      <c r="C355" s="365"/>
      <c r="D355" s="366"/>
      <c r="E355" s="367"/>
      <c r="F355" s="368"/>
      <c r="G355" s="368"/>
      <c r="K355" s="365"/>
      <c r="L355" s="366"/>
      <c r="M355" s="367"/>
      <c r="N355" s="368"/>
      <c r="O355" s="368"/>
      <c r="S355" s="365"/>
      <c r="T355" s="366"/>
      <c r="U355" s="367"/>
      <c r="V355" s="368"/>
      <c r="W355" s="368"/>
      <c r="AA355" s="365"/>
      <c r="AB355" s="366"/>
      <c r="AC355" s="367"/>
      <c r="AD355" s="368"/>
      <c r="AE355" s="368"/>
    </row>
    <row r="356" spans="3:31" x14ac:dyDescent="0.25">
      <c r="C356" s="365"/>
      <c r="D356" s="366"/>
      <c r="E356" s="367"/>
      <c r="F356" s="368"/>
      <c r="G356" s="368"/>
      <c r="K356" s="365"/>
      <c r="L356" s="366"/>
      <c r="M356" s="367"/>
      <c r="N356" s="368"/>
      <c r="O356" s="368"/>
      <c r="S356" s="365"/>
      <c r="T356" s="366"/>
      <c r="U356" s="367"/>
      <c r="V356" s="368"/>
      <c r="W356" s="368"/>
      <c r="AA356" s="365"/>
      <c r="AB356" s="366"/>
      <c r="AC356" s="367"/>
      <c r="AD356" s="368"/>
      <c r="AE356" s="368"/>
    </row>
    <row r="357" spans="3:31" x14ac:dyDescent="0.25">
      <c r="C357" s="365"/>
      <c r="D357" s="366"/>
      <c r="E357" s="367"/>
      <c r="F357" s="368"/>
      <c r="G357" s="368"/>
      <c r="K357" s="365"/>
      <c r="L357" s="366"/>
      <c r="M357" s="367"/>
      <c r="N357" s="368"/>
      <c r="O357" s="368"/>
      <c r="S357" s="365"/>
      <c r="T357" s="366"/>
      <c r="U357" s="367"/>
      <c r="V357" s="368"/>
      <c r="W357" s="368"/>
      <c r="AA357" s="365"/>
      <c r="AB357" s="366"/>
      <c r="AC357" s="367"/>
      <c r="AD357" s="368"/>
      <c r="AE357" s="368"/>
    </row>
    <row r="358" spans="3:31" x14ac:dyDescent="0.25">
      <c r="C358" s="365"/>
      <c r="D358" s="366"/>
      <c r="E358" s="367"/>
      <c r="F358" s="368"/>
      <c r="G358" s="368"/>
      <c r="K358" s="365"/>
      <c r="L358" s="366"/>
      <c r="M358" s="367"/>
      <c r="N358" s="368"/>
      <c r="O358" s="368"/>
      <c r="S358" s="365"/>
      <c r="T358" s="366"/>
      <c r="U358" s="367"/>
      <c r="V358" s="368"/>
      <c r="W358" s="368"/>
      <c r="AA358" s="365"/>
      <c r="AB358" s="366"/>
      <c r="AC358" s="367"/>
      <c r="AD358" s="368"/>
      <c r="AE358" s="368"/>
    </row>
    <row r="359" spans="3:31" x14ac:dyDescent="0.25">
      <c r="C359" s="365"/>
      <c r="D359" s="366"/>
      <c r="E359" s="367"/>
      <c r="F359" s="368"/>
      <c r="G359" s="368"/>
      <c r="K359" s="365"/>
      <c r="L359" s="366"/>
      <c r="M359" s="367"/>
      <c r="N359" s="368"/>
      <c r="O359" s="368"/>
      <c r="S359" s="365"/>
      <c r="T359" s="366"/>
      <c r="U359" s="367"/>
      <c r="V359" s="368"/>
      <c r="W359" s="368"/>
      <c r="AA359" s="365"/>
      <c r="AB359" s="366"/>
      <c r="AC359" s="367"/>
      <c r="AD359" s="368"/>
      <c r="AE359" s="368"/>
    </row>
    <row r="360" spans="3:31" x14ac:dyDescent="0.25">
      <c r="C360" s="365"/>
      <c r="D360" s="366"/>
      <c r="E360" s="367"/>
      <c r="F360" s="368"/>
      <c r="G360" s="368"/>
      <c r="K360" s="365"/>
      <c r="L360" s="366"/>
      <c r="M360" s="367"/>
      <c r="N360" s="368"/>
      <c r="O360" s="368"/>
      <c r="S360" s="365"/>
      <c r="T360" s="366"/>
      <c r="U360" s="367"/>
      <c r="V360" s="368"/>
      <c r="W360" s="368"/>
      <c r="AA360" s="365"/>
      <c r="AB360" s="366"/>
      <c r="AC360" s="367"/>
      <c r="AD360" s="368"/>
      <c r="AE360" s="368"/>
    </row>
    <row r="361" spans="3:31" x14ac:dyDescent="0.25">
      <c r="C361" s="365"/>
      <c r="D361" s="366"/>
      <c r="E361" s="367"/>
      <c r="F361" s="368"/>
      <c r="G361" s="368"/>
      <c r="K361" s="365"/>
      <c r="L361" s="366"/>
      <c r="M361" s="367"/>
      <c r="N361" s="368"/>
      <c r="O361" s="368"/>
      <c r="S361" s="365"/>
      <c r="T361" s="366"/>
      <c r="U361" s="367"/>
      <c r="V361" s="368"/>
      <c r="W361" s="368"/>
      <c r="AA361" s="365"/>
      <c r="AB361" s="366"/>
      <c r="AC361" s="367"/>
      <c r="AD361" s="368"/>
      <c r="AE361" s="368"/>
    </row>
    <row r="362" spans="3:31" x14ac:dyDescent="0.25">
      <c r="C362" s="365"/>
      <c r="D362" s="366"/>
      <c r="E362" s="367"/>
      <c r="F362" s="368"/>
      <c r="G362" s="368"/>
      <c r="K362" s="365"/>
      <c r="L362" s="366"/>
      <c r="M362" s="367"/>
      <c r="N362" s="368"/>
      <c r="O362" s="368"/>
      <c r="S362" s="365"/>
      <c r="T362" s="366"/>
      <c r="U362" s="367"/>
      <c r="V362" s="368"/>
      <c r="W362" s="368"/>
      <c r="AA362" s="365"/>
      <c r="AB362" s="366"/>
      <c r="AC362" s="367"/>
      <c r="AD362" s="368"/>
      <c r="AE362" s="368"/>
    </row>
    <row r="363" spans="3:31" x14ac:dyDescent="0.25">
      <c r="C363" s="365"/>
      <c r="D363" s="366"/>
      <c r="E363" s="367"/>
      <c r="F363" s="368"/>
      <c r="G363" s="368"/>
      <c r="K363" s="365"/>
      <c r="L363" s="366"/>
      <c r="M363" s="367"/>
      <c r="N363" s="368"/>
      <c r="O363" s="368"/>
      <c r="S363" s="365"/>
      <c r="T363" s="366"/>
      <c r="U363" s="367"/>
      <c r="V363" s="368"/>
      <c r="W363" s="368"/>
      <c r="AA363" s="365"/>
      <c r="AB363" s="366"/>
      <c r="AC363" s="367"/>
      <c r="AD363" s="368"/>
      <c r="AE363" s="368"/>
    </row>
    <row r="364" spans="3:31" x14ac:dyDescent="0.25">
      <c r="C364" s="365"/>
      <c r="D364" s="366"/>
      <c r="E364" s="367"/>
      <c r="F364" s="368"/>
      <c r="G364" s="368"/>
      <c r="K364" s="365"/>
      <c r="L364" s="366"/>
      <c r="M364" s="367"/>
      <c r="N364" s="368"/>
      <c r="O364" s="368"/>
      <c r="S364" s="365"/>
      <c r="T364" s="366"/>
      <c r="U364" s="367"/>
      <c r="V364" s="368"/>
      <c r="W364" s="368"/>
      <c r="AA364" s="365"/>
      <c r="AB364" s="366"/>
      <c r="AC364" s="367"/>
      <c r="AD364" s="368"/>
      <c r="AE364" s="368"/>
    </row>
  </sheetData>
  <sheetProtection sheet="1" objects="1" scenarios="1" formatCells="1" formatColumns="0" formatRows="0" insertColumns="1" insertRows="1" insertHyperlinks="1" deleteColumns="1" deleteRows="1" selectLockedCells="0" selectUnlockedCells="0" sort="0" autoFilter="0" pivotTables="0"/>
  <pageMargins left="0.78740157499999996" right="0.78740157499999996" top="0.984251969" bottom="0.984251969" header="0.4921259845" footer="0.4921259845"/>
  <pageSetup orientation="portrait"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D394-E4A2-46C7-8EFC-DDD1F218F997}">
  <sheetPr>
    <pageSetUpPr fitToPage="1"/>
  </sheetPr>
  <dimension ref="B2:N35"/>
  <sheetViews>
    <sheetView topLeftCell="A10" zoomScale="93" zoomScaleNormal="140" workbookViewId="0">
      <selection activeCell="C9" sqref="C9"/>
    </sheetView>
  </sheetViews>
  <sheetFormatPr baseColWidth="10" defaultRowHeight="14.5" x14ac:dyDescent="0.35"/>
  <cols>
    <col min="1" max="1" width="10.90625" style="213"/>
    <col min="2" max="2" width="11.453125" style="214" customWidth="1"/>
    <col min="3" max="3" width="13.453125" style="212" bestFit="1" customWidth="1"/>
    <col min="4" max="4" width="10.90625" style="213"/>
    <col min="5" max="5" width="11.453125" style="214" customWidth="1"/>
    <col min="6" max="6" width="10.90625" style="213"/>
    <col min="7" max="7" width="14" style="212" bestFit="1" customWidth="1"/>
    <col min="8" max="8" width="13.453125" style="212" bestFit="1" customWidth="1"/>
    <col min="9" max="257" width="10.90625" style="213"/>
    <col min="258" max="258" width="11.453125" style="213" customWidth="1"/>
    <col min="259" max="259" width="13.453125" style="213" bestFit="1" customWidth="1"/>
    <col min="260" max="260" width="10.90625" style="213"/>
    <col min="261" max="261" width="11.453125" style="213" customWidth="1"/>
    <col min="262" max="262" width="10.90625" style="213"/>
    <col min="263" max="263" width="14" style="213" bestFit="1" customWidth="1"/>
    <col min="264" max="264" width="13.453125" style="213" bestFit="1" customWidth="1"/>
    <col min="265" max="513" width="10.90625" style="213"/>
    <col min="514" max="514" width="11.453125" style="213" customWidth="1"/>
    <col min="515" max="515" width="13.453125" style="213" bestFit="1" customWidth="1"/>
    <col min="516" max="516" width="10.90625" style="213"/>
    <col min="517" max="517" width="11.453125" style="213" customWidth="1"/>
    <col min="518" max="518" width="10.90625" style="213"/>
    <col min="519" max="519" width="14" style="213" bestFit="1" customWidth="1"/>
    <col min="520" max="520" width="13.453125" style="213" bestFit="1" customWidth="1"/>
    <col min="521" max="769" width="10.90625" style="213"/>
    <col min="770" max="770" width="11.453125" style="213" customWidth="1"/>
    <col min="771" max="771" width="13.453125" style="213" bestFit="1" customWidth="1"/>
    <col min="772" max="772" width="10.90625" style="213"/>
    <col min="773" max="773" width="11.453125" style="213" customWidth="1"/>
    <col min="774" max="774" width="10.90625" style="213"/>
    <col min="775" max="775" width="14" style="213" bestFit="1" customWidth="1"/>
    <col min="776" max="776" width="13.453125" style="213" bestFit="1" customWidth="1"/>
    <col min="777" max="1025" width="10.90625" style="213"/>
    <col min="1026" max="1026" width="11.453125" style="213" customWidth="1"/>
    <col min="1027" max="1027" width="13.453125" style="213" bestFit="1" customWidth="1"/>
    <col min="1028" max="1028" width="10.90625" style="213"/>
    <col min="1029" max="1029" width="11.453125" style="213" customWidth="1"/>
    <col min="1030" max="1030" width="10.90625" style="213"/>
    <col min="1031" max="1031" width="14" style="213" bestFit="1" customWidth="1"/>
    <col min="1032" max="1032" width="13.453125" style="213" bestFit="1" customWidth="1"/>
    <col min="1033" max="1281" width="10.90625" style="213"/>
    <col min="1282" max="1282" width="11.453125" style="213" customWidth="1"/>
    <col min="1283" max="1283" width="13.453125" style="213" bestFit="1" customWidth="1"/>
    <col min="1284" max="1284" width="10.90625" style="213"/>
    <col min="1285" max="1285" width="11.453125" style="213" customWidth="1"/>
    <col min="1286" max="1286" width="10.90625" style="213"/>
    <col min="1287" max="1287" width="14" style="213" bestFit="1" customWidth="1"/>
    <col min="1288" max="1288" width="13.453125" style="213" bestFit="1" customWidth="1"/>
    <col min="1289" max="1537" width="10.90625" style="213"/>
    <col min="1538" max="1538" width="11.453125" style="213" customWidth="1"/>
    <col min="1539" max="1539" width="13.453125" style="213" bestFit="1" customWidth="1"/>
    <col min="1540" max="1540" width="10.90625" style="213"/>
    <col min="1541" max="1541" width="11.453125" style="213" customWidth="1"/>
    <col min="1542" max="1542" width="10.90625" style="213"/>
    <col min="1543" max="1543" width="14" style="213" bestFit="1" customWidth="1"/>
    <col min="1544" max="1544" width="13.453125" style="213" bestFit="1" customWidth="1"/>
    <col min="1545" max="1793" width="10.90625" style="213"/>
    <col min="1794" max="1794" width="11.453125" style="213" customWidth="1"/>
    <col min="1795" max="1795" width="13.453125" style="213" bestFit="1" customWidth="1"/>
    <col min="1796" max="1796" width="10.90625" style="213"/>
    <col min="1797" max="1797" width="11.453125" style="213" customWidth="1"/>
    <col min="1798" max="1798" width="10.90625" style="213"/>
    <col min="1799" max="1799" width="14" style="213" bestFit="1" customWidth="1"/>
    <col min="1800" max="1800" width="13.453125" style="213" bestFit="1" customWidth="1"/>
    <col min="1801" max="2049" width="10.90625" style="213"/>
    <col min="2050" max="2050" width="11.453125" style="213" customWidth="1"/>
    <col min="2051" max="2051" width="13.453125" style="213" bestFit="1" customWidth="1"/>
    <col min="2052" max="2052" width="10.90625" style="213"/>
    <col min="2053" max="2053" width="11.453125" style="213" customWidth="1"/>
    <col min="2054" max="2054" width="10.90625" style="213"/>
    <col min="2055" max="2055" width="14" style="213" bestFit="1" customWidth="1"/>
    <col min="2056" max="2056" width="13.453125" style="213" bestFit="1" customWidth="1"/>
    <col min="2057" max="2305" width="10.90625" style="213"/>
    <col min="2306" max="2306" width="11.453125" style="213" customWidth="1"/>
    <col min="2307" max="2307" width="13.453125" style="213" bestFit="1" customWidth="1"/>
    <col min="2308" max="2308" width="10.90625" style="213"/>
    <col min="2309" max="2309" width="11.453125" style="213" customWidth="1"/>
    <col min="2310" max="2310" width="10.90625" style="213"/>
    <col min="2311" max="2311" width="14" style="213" bestFit="1" customWidth="1"/>
    <col min="2312" max="2312" width="13.453125" style="213" bestFit="1" customWidth="1"/>
    <col min="2313" max="2561" width="10.90625" style="213"/>
    <col min="2562" max="2562" width="11.453125" style="213" customWidth="1"/>
    <col min="2563" max="2563" width="13.453125" style="213" bestFit="1" customWidth="1"/>
    <col min="2564" max="2564" width="10.90625" style="213"/>
    <col min="2565" max="2565" width="11.453125" style="213" customWidth="1"/>
    <col min="2566" max="2566" width="10.90625" style="213"/>
    <col min="2567" max="2567" width="14" style="213" bestFit="1" customWidth="1"/>
    <col min="2568" max="2568" width="13.453125" style="213" bestFit="1" customWidth="1"/>
    <col min="2569" max="2817" width="10.90625" style="213"/>
    <col min="2818" max="2818" width="11.453125" style="213" customWidth="1"/>
    <col min="2819" max="2819" width="13.453125" style="213" bestFit="1" customWidth="1"/>
    <col min="2820" max="2820" width="10.90625" style="213"/>
    <col min="2821" max="2821" width="11.453125" style="213" customWidth="1"/>
    <col min="2822" max="2822" width="10.90625" style="213"/>
    <col min="2823" max="2823" width="14" style="213" bestFit="1" customWidth="1"/>
    <col min="2824" max="2824" width="13.453125" style="213" bestFit="1" customWidth="1"/>
    <col min="2825" max="3073" width="10.90625" style="213"/>
    <col min="3074" max="3074" width="11.453125" style="213" customWidth="1"/>
    <col min="3075" max="3075" width="13.453125" style="213" bestFit="1" customWidth="1"/>
    <col min="3076" max="3076" width="10.90625" style="213"/>
    <col min="3077" max="3077" width="11.453125" style="213" customWidth="1"/>
    <col min="3078" max="3078" width="10.90625" style="213"/>
    <col min="3079" max="3079" width="14" style="213" bestFit="1" customWidth="1"/>
    <col min="3080" max="3080" width="13.453125" style="213" bestFit="1" customWidth="1"/>
    <col min="3081" max="3329" width="10.90625" style="213"/>
    <col min="3330" max="3330" width="11.453125" style="213" customWidth="1"/>
    <col min="3331" max="3331" width="13.453125" style="213" bestFit="1" customWidth="1"/>
    <col min="3332" max="3332" width="10.90625" style="213"/>
    <col min="3333" max="3333" width="11.453125" style="213" customWidth="1"/>
    <col min="3334" max="3334" width="10.90625" style="213"/>
    <col min="3335" max="3335" width="14" style="213" bestFit="1" customWidth="1"/>
    <col min="3336" max="3336" width="13.453125" style="213" bestFit="1" customWidth="1"/>
    <col min="3337" max="3585" width="10.90625" style="213"/>
    <col min="3586" max="3586" width="11.453125" style="213" customWidth="1"/>
    <col min="3587" max="3587" width="13.453125" style="213" bestFit="1" customWidth="1"/>
    <col min="3588" max="3588" width="10.90625" style="213"/>
    <col min="3589" max="3589" width="11.453125" style="213" customWidth="1"/>
    <col min="3590" max="3590" width="10.90625" style="213"/>
    <col min="3591" max="3591" width="14" style="213" bestFit="1" customWidth="1"/>
    <col min="3592" max="3592" width="13.453125" style="213" bestFit="1" customWidth="1"/>
    <col min="3593" max="3841" width="10.90625" style="213"/>
    <col min="3842" max="3842" width="11.453125" style="213" customWidth="1"/>
    <col min="3843" max="3843" width="13.453125" style="213" bestFit="1" customWidth="1"/>
    <col min="3844" max="3844" width="10.90625" style="213"/>
    <col min="3845" max="3845" width="11.453125" style="213" customWidth="1"/>
    <col min="3846" max="3846" width="10.90625" style="213"/>
    <col min="3847" max="3847" width="14" style="213" bestFit="1" customWidth="1"/>
    <col min="3848" max="3848" width="13.453125" style="213" bestFit="1" customWidth="1"/>
    <col min="3849" max="4097" width="10.90625" style="213"/>
    <col min="4098" max="4098" width="11.453125" style="213" customWidth="1"/>
    <col min="4099" max="4099" width="13.453125" style="213" bestFit="1" customWidth="1"/>
    <col min="4100" max="4100" width="10.90625" style="213"/>
    <col min="4101" max="4101" width="11.453125" style="213" customWidth="1"/>
    <col min="4102" max="4102" width="10.90625" style="213"/>
    <col min="4103" max="4103" width="14" style="213" bestFit="1" customWidth="1"/>
    <col min="4104" max="4104" width="13.453125" style="213" bestFit="1" customWidth="1"/>
    <col min="4105" max="4353" width="10.90625" style="213"/>
    <col min="4354" max="4354" width="11.453125" style="213" customWidth="1"/>
    <col min="4355" max="4355" width="13.453125" style="213" bestFit="1" customWidth="1"/>
    <col min="4356" max="4356" width="10.90625" style="213"/>
    <col min="4357" max="4357" width="11.453125" style="213" customWidth="1"/>
    <col min="4358" max="4358" width="10.90625" style="213"/>
    <col min="4359" max="4359" width="14" style="213" bestFit="1" customWidth="1"/>
    <col min="4360" max="4360" width="13.453125" style="213" bestFit="1" customWidth="1"/>
    <col min="4361" max="4609" width="10.90625" style="213"/>
    <col min="4610" max="4610" width="11.453125" style="213" customWidth="1"/>
    <col min="4611" max="4611" width="13.453125" style="213" bestFit="1" customWidth="1"/>
    <col min="4612" max="4612" width="10.90625" style="213"/>
    <col min="4613" max="4613" width="11.453125" style="213" customWidth="1"/>
    <col min="4614" max="4614" width="10.90625" style="213"/>
    <col min="4615" max="4615" width="14" style="213" bestFit="1" customWidth="1"/>
    <col min="4616" max="4616" width="13.453125" style="213" bestFit="1" customWidth="1"/>
    <col min="4617" max="4865" width="10.90625" style="213"/>
    <col min="4866" max="4866" width="11.453125" style="213" customWidth="1"/>
    <col min="4867" max="4867" width="13.453125" style="213" bestFit="1" customWidth="1"/>
    <col min="4868" max="4868" width="10.90625" style="213"/>
    <col min="4869" max="4869" width="11.453125" style="213" customWidth="1"/>
    <col min="4870" max="4870" width="10.90625" style="213"/>
    <col min="4871" max="4871" width="14" style="213" bestFit="1" customWidth="1"/>
    <col min="4872" max="4872" width="13.453125" style="213" bestFit="1" customWidth="1"/>
    <col min="4873" max="5121" width="10.90625" style="213"/>
    <col min="5122" max="5122" width="11.453125" style="213" customWidth="1"/>
    <col min="5123" max="5123" width="13.453125" style="213" bestFit="1" customWidth="1"/>
    <col min="5124" max="5124" width="10.90625" style="213"/>
    <col min="5125" max="5125" width="11.453125" style="213" customWidth="1"/>
    <col min="5126" max="5126" width="10.90625" style="213"/>
    <col min="5127" max="5127" width="14" style="213" bestFit="1" customWidth="1"/>
    <col min="5128" max="5128" width="13.453125" style="213" bestFit="1" customWidth="1"/>
    <col min="5129" max="5377" width="10.90625" style="213"/>
    <col min="5378" max="5378" width="11.453125" style="213" customWidth="1"/>
    <col min="5379" max="5379" width="13.453125" style="213" bestFit="1" customWidth="1"/>
    <col min="5380" max="5380" width="10.90625" style="213"/>
    <col min="5381" max="5381" width="11.453125" style="213" customWidth="1"/>
    <col min="5382" max="5382" width="10.90625" style="213"/>
    <col min="5383" max="5383" width="14" style="213" bestFit="1" customWidth="1"/>
    <col min="5384" max="5384" width="13.453125" style="213" bestFit="1" customWidth="1"/>
    <col min="5385" max="5633" width="10.90625" style="213"/>
    <col min="5634" max="5634" width="11.453125" style="213" customWidth="1"/>
    <col min="5635" max="5635" width="13.453125" style="213" bestFit="1" customWidth="1"/>
    <col min="5636" max="5636" width="10.90625" style="213"/>
    <col min="5637" max="5637" width="11.453125" style="213" customWidth="1"/>
    <col min="5638" max="5638" width="10.90625" style="213"/>
    <col min="5639" max="5639" width="14" style="213" bestFit="1" customWidth="1"/>
    <col min="5640" max="5640" width="13.453125" style="213" bestFit="1" customWidth="1"/>
    <col min="5641" max="5889" width="10.90625" style="213"/>
    <col min="5890" max="5890" width="11.453125" style="213" customWidth="1"/>
    <col min="5891" max="5891" width="13.453125" style="213" bestFit="1" customWidth="1"/>
    <col min="5892" max="5892" width="10.90625" style="213"/>
    <col min="5893" max="5893" width="11.453125" style="213" customWidth="1"/>
    <col min="5894" max="5894" width="10.90625" style="213"/>
    <col min="5895" max="5895" width="14" style="213" bestFit="1" customWidth="1"/>
    <col min="5896" max="5896" width="13.453125" style="213" bestFit="1" customWidth="1"/>
    <col min="5897" max="6145" width="10.90625" style="213"/>
    <col min="6146" max="6146" width="11.453125" style="213" customWidth="1"/>
    <col min="6147" max="6147" width="13.453125" style="213" bestFit="1" customWidth="1"/>
    <col min="6148" max="6148" width="10.90625" style="213"/>
    <col min="6149" max="6149" width="11.453125" style="213" customWidth="1"/>
    <col min="6150" max="6150" width="10.90625" style="213"/>
    <col min="6151" max="6151" width="14" style="213" bestFit="1" customWidth="1"/>
    <col min="6152" max="6152" width="13.453125" style="213" bestFit="1" customWidth="1"/>
    <col min="6153" max="6401" width="10.90625" style="213"/>
    <col min="6402" max="6402" width="11.453125" style="213" customWidth="1"/>
    <col min="6403" max="6403" width="13.453125" style="213" bestFit="1" customWidth="1"/>
    <col min="6404" max="6404" width="10.90625" style="213"/>
    <col min="6405" max="6405" width="11.453125" style="213" customWidth="1"/>
    <col min="6406" max="6406" width="10.90625" style="213"/>
    <col min="6407" max="6407" width="14" style="213" bestFit="1" customWidth="1"/>
    <col min="6408" max="6408" width="13.453125" style="213" bestFit="1" customWidth="1"/>
    <col min="6409" max="6657" width="10.90625" style="213"/>
    <col min="6658" max="6658" width="11.453125" style="213" customWidth="1"/>
    <col min="6659" max="6659" width="13.453125" style="213" bestFit="1" customWidth="1"/>
    <col min="6660" max="6660" width="10.90625" style="213"/>
    <col min="6661" max="6661" width="11.453125" style="213" customWidth="1"/>
    <col min="6662" max="6662" width="10.90625" style="213"/>
    <col min="6663" max="6663" width="14" style="213" bestFit="1" customWidth="1"/>
    <col min="6664" max="6664" width="13.453125" style="213" bestFit="1" customWidth="1"/>
    <col min="6665" max="6913" width="10.90625" style="213"/>
    <col min="6914" max="6914" width="11.453125" style="213" customWidth="1"/>
    <col min="6915" max="6915" width="13.453125" style="213" bestFit="1" customWidth="1"/>
    <col min="6916" max="6916" width="10.90625" style="213"/>
    <col min="6917" max="6917" width="11.453125" style="213" customWidth="1"/>
    <col min="6918" max="6918" width="10.90625" style="213"/>
    <col min="6919" max="6919" width="14" style="213" bestFit="1" customWidth="1"/>
    <col min="6920" max="6920" width="13.453125" style="213" bestFit="1" customWidth="1"/>
    <col min="6921" max="7169" width="10.90625" style="213"/>
    <col min="7170" max="7170" width="11.453125" style="213" customWidth="1"/>
    <col min="7171" max="7171" width="13.453125" style="213" bestFit="1" customWidth="1"/>
    <col min="7172" max="7172" width="10.90625" style="213"/>
    <col min="7173" max="7173" width="11.453125" style="213" customWidth="1"/>
    <col min="7174" max="7174" width="10.90625" style="213"/>
    <col min="7175" max="7175" width="14" style="213" bestFit="1" customWidth="1"/>
    <col min="7176" max="7176" width="13.453125" style="213" bestFit="1" customWidth="1"/>
    <col min="7177" max="7425" width="10.90625" style="213"/>
    <col min="7426" max="7426" width="11.453125" style="213" customWidth="1"/>
    <col min="7427" max="7427" width="13.453125" style="213" bestFit="1" customWidth="1"/>
    <col min="7428" max="7428" width="10.90625" style="213"/>
    <col min="7429" max="7429" width="11.453125" style="213" customWidth="1"/>
    <col min="7430" max="7430" width="10.90625" style="213"/>
    <col min="7431" max="7431" width="14" style="213" bestFit="1" customWidth="1"/>
    <col min="7432" max="7432" width="13.453125" style="213" bestFit="1" customWidth="1"/>
    <col min="7433" max="7681" width="10.90625" style="213"/>
    <col min="7682" max="7682" width="11.453125" style="213" customWidth="1"/>
    <col min="7683" max="7683" width="13.453125" style="213" bestFit="1" customWidth="1"/>
    <col min="7684" max="7684" width="10.90625" style="213"/>
    <col min="7685" max="7685" width="11.453125" style="213" customWidth="1"/>
    <col min="7686" max="7686" width="10.90625" style="213"/>
    <col min="7687" max="7687" width="14" style="213" bestFit="1" customWidth="1"/>
    <col min="7688" max="7688" width="13.453125" style="213" bestFit="1" customWidth="1"/>
    <col min="7689" max="7937" width="10.90625" style="213"/>
    <col min="7938" max="7938" width="11.453125" style="213" customWidth="1"/>
    <col min="7939" max="7939" width="13.453125" style="213" bestFit="1" customWidth="1"/>
    <col min="7940" max="7940" width="10.90625" style="213"/>
    <col min="7941" max="7941" width="11.453125" style="213" customWidth="1"/>
    <col min="7942" max="7942" width="10.90625" style="213"/>
    <col min="7943" max="7943" width="14" style="213" bestFit="1" customWidth="1"/>
    <col min="7944" max="7944" width="13.453125" style="213" bestFit="1" customWidth="1"/>
    <col min="7945" max="8193" width="10.90625" style="213"/>
    <col min="8194" max="8194" width="11.453125" style="213" customWidth="1"/>
    <col min="8195" max="8195" width="13.453125" style="213" bestFit="1" customWidth="1"/>
    <col min="8196" max="8196" width="10.90625" style="213"/>
    <col min="8197" max="8197" width="11.453125" style="213" customWidth="1"/>
    <col min="8198" max="8198" width="10.90625" style="213"/>
    <col min="8199" max="8199" width="14" style="213" bestFit="1" customWidth="1"/>
    <col min="8200" max="8200" width="13.453125" style="213" bestFit="1" customWidth="1"/>
    <col min="8201" max="8449" width="10.90625" style="213"/>
    <col min="8450" max="8450" width="11.453125" style="213" customWidth="1"/>
    <col min="8451" max="8451" width="13.453125" style="213" bestFit="1" customWidth="1"/>
    <col min="8452" max="8452" width="10.90625" style="213"/>
    <col min="8453" max="8453" width="11.453125" style="213" customWidth="1"/>
    <col min="8454" max="8454" width="10.90625" style="213"/>
    <col min="8455" max="8455" width="14" style="213" bestFit="1" customWidth="1"/>
    <col min="8456" max="8456" width="13.453125" style="213" bestFit="1" customWidth="1"/>
    <col min="8457" max="8705" width="10.90625" style="213"/>
    <col min="8706" max="8706" width="11.453125" style="213" customWidth="1"/>
    <col min="8707" max="8707" width="13.453125" style="213" bestFit="1" customWidth="1"/>
    <col min="8708" max="8708" width="10.90625" style="213"/>
    <col min="8709" max="8709" width="11.453125" style="213" customWidth="1"/>
    <col min="8710" max="8710" width="10.90625" style="213"/>
    <col min="8711" max="8711" width="14" style="213" bestFit="1" customWidth="1"/>
    <col min="8712" max="8712" width="13.453125" style="213" bestFit="1" customWidth="1"/>
    <col min="8713" max="8961" width="10.90625" style="213"/>
    <col min="8962" max="8962" width="11.453125" style="213" customWidth="1"/>
    <col min="8963" max="8963" width="13.453125" style="213" bestFit="1" customWidth="1"/>
    <col min="8964" max="8964" width="10.90625" style="213"/>
    <col min="8965" max="8965" width="11.453125" style="213" customWidth="1"/>
    <col min="8966" max="8966" width="10.90625" style="213"/>
    <col min="8967" max="8967" width="14" style="213" bestFit="1" customWidth="1"/>
    <col min="8968" max="8968" width="13.453125" style="213" bestFit="1" customWidth="1"/>
    <col min="8969" max="9217" width="10.90625" style="213"/>
    <col min="9218" max="9218" width="11.453125" style="213" customWidth="1"/>
    <col min="9219" max="9219" width="13.453125" style="213" bestFit="1" customWidth="1"/>
    <col min="9220" max="9220" width="10.90625" style="213"/>
    <col min="9221" max="9221" width="11.453125" style="213" customWidth="1"/>
    <col min="9222" max="9222" width="10.90625" style="213"/>
    <col min="9223" max="9223" width="14" style="213" bestFit="1" customWidth="1"/>
    <col min="9224" max="9224" width="13.453125" style="213" bestFit="1" customWidth="1"/>
    <col min="9225" max="9473" width="10.90625" style="213"/>
    <col min="9474" max="9474" width="11.453125" style="213" customWidth="1"/>
    <col min="9475" max="9475" width="13.453125" style="213" bestFit="1" customWidth="1"/>
    <col min="9476" max="9476" width="10.90625" style="213"/>
    <col min="9477" max="9477" width="11.453125" style="213" customWidth="1"/>
    <col min="9478" max="9478" width="10.90625" style="213"/>
    <col min="9479" max="9479" width="14" style="213" bestFit="1" customWidth="1"/>
    <col min="9480" max="9480" width="13.453125" style="213" bestFit="1" customWidth="1"/>
    <col min="9481" max="9729" width="10.90625" style="213"/>
    <col min="9730" max="9730" width="11.453125" style="213" customWidth="1"/>
    <col min="9731" max="9731" width="13.453125" style="213" bestFit="1" customWidth="1"/>
    <col min="9732" max="9732" width="10.90625" style="213"/>
    <col min="9733" max="9733" width="11.453125" style="213" customWidth="1"/>
    <col min="9734" max="9734" width="10.90625" style="213"/>
    <col min="9735" max="9735" width="14" style="213" bestFit="1" customWidth="1"/>
    <col min="9736" max="9736" width="13.453125" style="213" bestFit="1" customWidth="1"/>
    <col min="9737" max="9985" width="10.90625" style="213"/>
    <col min="9986" max="9986" width="11.453125" style="213" customWidth="1"/>
    <col min="9987" max="9987" width="13.453125" style="213" bestFit="1" customWidth="1"/>
    <col min="9988" max="9988" width="10.90625" style="213"/>
    <col min="9989" max="9989" width="11.453125" style="213" customWidth="1"/>
    <col min="9990" max="9990" width="10.90625" style="213"/>
    <col min="9991" max="9991" width="14" style="213" bestFit="1" customWidth="1"/>
    <col min="9992" max="9992" width="13.453125" style="213" bestFit="1" customWidth="1"/>
    <col min="9993" max="10241" width="10.90625" style="213"/>
    <col min="10242" max="10242" width="11.453125" style="213" customWidth="1"/>
    <col min="10243" max="10243" width="13.453125" style="213" bestFit="1" customWidth="1"/>
    <col min="10244" max="10244" width="10.90625" style="213"/>
    <col min="10245" max="10245" width="11.453125" style="213" customWidth="1"/>
    <col min="10246" max="10246" width="10.90625" style="213"/>
    <col min="10247" max="10247" width="14" style="213" bestFit="1" customWidth="1"/>
    <col min="10248" max="10248" width="13.453125" style="213" bestFit="1" customWidth="1"/>
    <col min="10249" max="10497" width="10.90625" style="213"/>
    <col min="10498" max="10498" width="11.453125" style="213" customWidth="1"/>
    <col min="10499" max="10499" width="13.453125" style="213" bestFit="1" customWidth="1"/>
    <col min="10500" max="10500" width="10.90625" style="213"/>
    <col min="10501" max="10501" width="11.453125" style="213" customWidth="1"/>
    <col min="10502" max="10502" width="10.90625" style="213"/>
    <col min="10503" max="10503" width="14" style="213" bestFit="1" customWidth="1"/>
    <col min="10504" max="10504" width="13.453125" style="213" bestFit="1" customWidth="1"/>
    <col min="10505" max="10753" width="10.90625" style="213"/>
    <col min="10754" max="10754" width="11.453125" style="213" customWidth="1"/>
    <col min="10755" max="10755" width="13.453125" style="213" bestFit="1" customWidth="1"/>
    <col min="10756" max="10756" width="10.90625" style="213"/>
    <col min="10757" max="10757" width="11.453125" style="213" customWidth="1"/>
    <col min="10758" max="10758" width="10.90625" style="213"/>
    <col min="10759" max="10759" width="14" style="213" bestFit="1" customWidth="1"/>
    <col min="10760" max="10760" width="13.453125" style="213" bestFit="1" customWidth="1"/>
    <col min="10761" max="11009" width="10.90625" style="213"/>
    <col min="11010" max="11010" width="11.453125" style="213" customWidth="1"/>
    <col min="11011" max="11011" width="13.453125" style="213" bestFit="1" customWidth="1"/>
    <col min="11012" max="11012" width="10.90625" style="213"/>
    <col min="11013" max="11013" width="11.453125" style="213" customWidth="1"/>
    <col min="11014" max="11014" width="10.90625" style="213"/>
    <col min="11015" max="11015" width="14" style="213" bestFit="1" customWidth="1"/>
    <col min="11016" max="11016" width="13.453125" style="213" bestFit="1" customWidth="1"/>
    <col min="11017" max="11265" width="10.90625" style="213"/>
    <col min="11266" max="11266" width="11.453125" style="213" customWidth="1"/>
    <col min="11267" max="11267" width="13.453125" style="213" bestFit="1" customWidth="1"/>
    <col min="11268" max="11268" width="10.90625" style="213"/>
    <col min="11269" max="11269" width="11.453125" style="213" customWidth="1"/>
    <col min="11270" max="11270" width="10.90625" style="213"/>
    <col min="11271" max="11271" width="14" style="213" bestFit="1" customWidth="1"/>
    <col min="11272" max="11272" width="13.453125" style="213" bestFit="1" customWidth="1"/>
    <col min="11273" max="11521" width="10.90625" style="213"/>
    <col min="11522" max="11522" width="11.453125" style="213" customWidth="1"/>
    <col min="11523" max="11523" width="13.453125" style="213" bestFit="1" customWidth="1"/>
    <col min="11524" max="11524" width="10.90625" style="213"/>
    <col min="11525" max="11525" width="11.453125" style="213" customWidth="1"/>
    <col min="11526" max="11526" width="10.90625" style="213"/>
    <col min="11527" max="11527" width="14" style="213" bestFit="1" customWidth="1"/>
    <col min="11528" max="11528" width="13.453125" style="213" bestFit="1" customWidth="1"/>
    <col min="11529" max="11777" width="10.90625" style="213"/>
    <col min="11778" max="11778" width="11.453125" style="213" customWidth="1"/>
    <col min="11779" max="11779" width="13.453125" style="213" bestFit="1" customWidth="1"/>
    <col min="11780" max="11780" width="10.90625" style="213"/>
    <col min="11781" max="11781" width="11.453125" style="213" customWidth="1"/>
    <col min="11782" max="11782" width="10.90625" style="213"/>
    <col min="11783" max="11783" width="14" style="213" bestFit="1" customWidth="1"/>
    <col min="11784" max="11784" width="13.453125" style="213" bestFit="1" customWidth="1"/>
    <col min="11785" max="12033" width="10.90625" style="213"/>
    <col min="12034" max="12034" width="11.453125" style="213" customWidth="1"/>
    <col min="12035" max="12035" width="13.453125" style="213" bestFit="1" customWidth="1"/>
    <col min="12036" max="12036" width="10.90625" style="213"/>
    <col min="12037" max="12037" width="11.453125" style="213" customWidth="1"/>
    <col min="12038" max="12038" width="10.90625" style="213"/>
    <col min="12039" max="12039" width="14" style="213" bestFit="1" customWidth="1"/>
    <col min="12040" max="12040" width="13.453125" style="213" bestFit="1" customWidth="1"/>
    <col min="12041" max="12289" width="10.90625" style="213"/>
    <col min="12290" max="12290" width="11.453125" style="213" customWidth="1"/>
    <col min="12291" max="12291" width="13.453125" style="213" bestFit="1" customWidth="1"/>
    <col min="12292" max="12292" width="10.90625" style="213"/>
    <col min="12293" max="12293" width="11.453125" style="213" customWidth="1"/>
    <col min="12294" max="12294" width="10.90625" style="213"/>
    <col min="12295" max="12295" width="14" style="213" bestFit="1" customWidth="1"/>
    <col min="12296" max="12296" width="13.453125" style="213" bestFit="1" customWidth="1"/>
    <col min="12297" max="12545" width="10.90625" style="213"/>
    <col min="12546" max="12546" width="11.453125" style="213" customWidth="1"/>
    <col min="12547" max="12547" width="13.453125" style="213" bestFit="1" customWidth="1"/>
    <col min="12548" max="12548" width="10.90625" style="213"/>
    <col min="12549" max="12549" width="11.453125" style="213" customWidth="1"/>
    <col min="12550" max="12550" width="10.90625" style="213"/>
    <col min="12551" max="12551" width="14" style="213" bestFit="1" customWidth="1"/>
    <col min="12552" max="12552" width="13.453125" style="213" bestFit="1" customWidth="1"/>
    <col min="12553" max="12801" width="10.90625" style="213"/>
    <col min="12802" max="12802" width="11.453125" style="213" customWidth="1"/>
    <col min="12803" max="12803" width="13.453125" style="213" bestFit="1" customWidth="1"/>
    <col min="12804" max="12804" width="10.90625" style="213"/>
    <col min="12805" max="12805" width="11.453125" style="213" customWidth="1"/>
    <col min="12806" max="12806" width="10.90625" style="213"/>
    <col min="12807" max="12807" width="14" style="213" bestFit="1" customWidth="1"/>
    <col min="12808" max="12808" width="13.453125" style="213" bestFit="1" customWidth="1"/>
    <col min="12809" max="13057" width="10.90625" style="213"/>
    <col min="13058" max="13058" width="11.453125" style="213" customWidth="1"/>
    <col min="13059" max="13059" width="13.453125" style="213" bestFit="1" customWidth="1"/>
    <col min="13060" max="13060" width="10.90625" style="213"/>
    <col min="13061" max="13061" width="11.453125" style="213" customWidth="1"/>
    <col min="13062" max="13062" width="10.90625" style="213"/>
    <col min="13063" max="13063" width="14" style="213" bestFit="1" customWidth="1"/>
    <col min="13064" max="13064" width="13.453125" style="213" bestFit="1" customWidth="1"/>
    <col min="13065" max="13313" width="10.90625" style="213"/>
    <col min="13314" max="13314" width="11.453125" style="213" customWidth="1"/>
    <col min="13315" max="13315" width="13.453125" style="213" bestFit="1" customWidth="1"/>
    <col min="13316" max="13316" width="10.90625" style="213"/>
    <col min="13317" max="13317" width="11.453125" style="213" customWidth="1"/>
    <col min="13318" max="13318" width="10.90625" style="213"/>
    <col min="13319" max="13319" width="14" style="213" bestFit="1" customWidth="1"/>
    <col min="13320" max="13320" width="13.453125" style="213" bestFit="1" customWidth="1"/>
    <col min="13321" max="13569" width="10.90625" style="213"/>
    <col min="13570" max="13570" width="11.453125" style="213" customWidth="1"/>
    <col min="13571" max="13571" width="13.453125" style="213" bestFit="1" customWidth="1"/>
    <col min="13572" max="13572" width="10.90625" style="213"/>
    <col min="13573" max="13573" width="11.453125" style="213" customWidth="1"/>
    <col min="13574" max="13574" width="10.90625" style="213"/>
    <col min="13575" max="13575" width="14" style="213" bestFit="1" customWidth="1"/>
    <col min="13576" max="13576" width="13.453125" style="213" bestFit="1" customWidth="1"/>
    <col min="13577" max="13825" width="10.90625" style="213"/>
    <col min="13826" max="13826" width="11.453125" style="213" customWidth="1"/>
    <col min="13827" max="13827" width="13.453125" style="213" bestFit="1" customWidth="1"/>
    <col min="13828" max="13828" width="10.90625" style="213"/>
    <col min="13829" max="13829" width="11.453125" style="213" customWidth="1"/>
    <col min="13830" max="13830" width="10.90625" style="213"/>
    <col min="13831" max="13831" width="14" style="213" bestFit="1" customWidth="1"/>
    <col min="13832" max="13832" width="13.453125" style="213" bestFit="1" customWidth="1"/>
    <col min="13833" max="14081" width="10.90625" style="213"/>
    <col min="14082" max="14082" width="11.453125" style="213" customWidth="1"/>
    <col min="14083" max="14083" width="13.453125" style="213" bestFit="1" customWidth="1"/>
    <col min="14084" max="14084" width="10.90625" style="213"/>
    <col min="14085" max="14085" width="11.453125" style="213" customWidth="1"/>
    <col min="14086" max="14086" width="10.90625" style="213"/>
    <col min="14087" max="14087" width="14" style="213" bestFit="1" customWidth="1"/>
    <col min="14088" max="14088" width="13.453125" style="213" bestFit="1" customWidth="1"/>
    <col min="14089" max="14337" width="10.90625" style="213"/>
    <col min="14338" max="14338" width="11.453125" style="213" customWidth="1"/>
    <col min="14339" max="14339" width="13.453125" style="213" bestFit="1" customWidth="1"/>
    <col min="14340" max="14340" width="10.90625" style="213"/>
    <col min="14341" max="14341" width="11.453125" style="213" customWidth="1"/>
    <col min="14342" max="14342" width="10.90625" style="213"/>
    <col min="14343" max="14343" width="14" style="213" bestFit="1" customWidth="1"/>
    <col min="14344" max="14344" width="13.453125" style="213" bestFit="1" customWidth="1"/>
    <col min="14345" max="14593" width="10.90625" style="213"/>
    <col min="14594" max="14594" width="11.453125" style="213" customWidth="1"/>
    <col min="14595" max="14595" width="13.453125" style="213" bestFit="1" customWidth="1"/>
    <col min="14596" max="14596" width="10.90625" style="213"/>
    <col min="14597" max="14597" width="11.453125" style="213" customWidth="1"/>
    <col min="14598" max="14598" width="10.90625" style="213"/>
    <col min="14599" max="14599" width="14" style="213" bestFit="1" customWidth="1"/>
    <col min="14600" max="14600" width="13.453125" style="213" bestFit="1" customWidth="1"/>
    <col min="14601" max="14849" width="10.90625" style="213"/>
    <col min="14850" max="14850" width="11.453125" style="213" customWidth="1"/>
    <col min="14851" max="14851" width="13.453125" style="213" bestFit="1" customWidth="1"/>
    <col min="14852" max="14852" width="10.90625" style="213"/>
    <col min="14853" max="14853" width="11.453125" style="213" customWidth="1"/>
    <col min="14854" max="14854" width="10.90625" style="213"/>
    <col min="14855" max="14855" width="14" style="213" bestFit="1" customWidth="1"/>
    <col min="14856" max="14856" width="13.453125" style="213" bestFit="1" customWidth="1"/>
    <col min="14857" max="15105" width="10.90625" style="213"/>
    <col min="15106" max="15106" width="11.453125" style="213" customWidth="1"/>
    <col min="15107" max="15107" width="13.453125" style="213" bestFit="1" customWidth="1"/>
    <col min="15108" max="15108" width="10.90625" style="213"/>
    <col min="15109" max="15109" width="11.453125" style="213" customWidth="1"/>
    <col min="15110" max="15110" width="10.90625" style="213"/>
    <col min="15111" max="15111" width="14" style="213" bestFit="1" customWidth="1"/>
    <col min="15112" max="15112" width="13.453125" style="213" bestFit="1" customWidth="1"/>
    <col min="15113" max="15361" width="10.90625" style="213"/>
    <col min="15362" max="15362" width="11.453125" style="213" customWidth="1"/>
    <col min="15363" max="15363" width="13.453125" style="213" bestFit="1" customWidth="1"/>
    <col min="15364" max="15364" width="10.90625" style="213"/>
    <col min="15365" max="15365" width="11.453125" style="213" customWidth="1"/>
    <col min="15366" max="15366" width="10.90625" style="213"/>
    <col min="15367" max="15367" width="14" style="213" bestFit="1" customWidth="1"/>
    <col min="15368" max="15368" width="13.453125" style="213" bestFit="1" customWidth="1"/>
    <col min="15369" max="15617" width="10.90625" style="213"/>
    <col min="15618" max="15618" width="11.453125" style="213" customWidth="1"/>
    <col min="15619" max="15619" width="13.453125" style="213" bestFit="1" customWidth="1"/>
    <col min="15620" max="15620" width="10.90625" style="213"/>
    <col min="15621" max="15621" width="11.453125" style="213" customWidth="1"/>
    <col min="15622" max="15622" width="10.90625" style="213"/>
    <col min="15623" max="15623" width="14" style="213" bestFit="1" customWidth="1"/>
    <col min="15624" max="15624" width="13.453125" style="213" bestFit="1" customWidth="1"/>
    <col min="15625" max="15873" width="10.90625" style="213"/>
    <col min="15874" max="15874" width="11.453125" style="213" customWidth="1"/>
    <col min="15875" max="15875" width="13.453125" style="213" bestFit="1" customWidth="1"/>
    <col min="15876" max="15876" width="10.90625" style="213"/>
    <col min="15877" max="15877" width="11.453125" style="213" customWidth="1"/>
    <col min="15878" max="15878" width="10.90625" style="213"/>
    <col min="15879" max="15879" width="14" style="213" bestFit="1" customWidth="1"/>
    <col min="15880" max="15880" width="13.453125" style="213" bestFit="1" customWidth="1"/>
    <col min="15881" max="16129" width="10.90625" style="213"/>
    <col min="16130" max="16130" width="11.453125" style="213" customWidth="1"/>
    <col min="16131" max="16131" width="13.453125" style="213" bestFit="1" customWidth="1"/>
    <col min="16132" max="16132" width="10.90625" style="213"/>
    <col min="16133" max="16133" width="11.453125" style="213" customWidth="1"/>
    <col min="16134" max="16134" width="10.90625" style="213"/>
    <col min="16135" max="16135" width="14" style="213" bestFit="1" customWidth="1"/>
    <col min="16136" max="16136" width="13.453125" style="213" bestFit="1" customWidth="1"/>
    <col min="16137" max="16384" width="10.90625" style="213"/>
  </cols>
  <sheetData>
    <row r="2" spans="2:14" x14ac:dyDescent="0.35">
      <c r="B2" s="211" t="s">
        <v>232</v>
      </c>
    </row>
    <row r="3" spans="2:14" ht="13" x14ac:dyDescent="0.3">
      <c r="C3" s="215" t="s">
        <v>233</v>
      </c>
      <c r="D3" s="216"/>
      <c r="E3" s="217"/>
      <c r="F3" s="216"/>
      <c r="G3" s="215"/>
      <c r="H3" s="215"/>
      <c r="I3" s="216"/>
    </row>
    <row r="4" spans="2:14" x14ac:dyDescent="0.35">
      <c r="B4" s="214" t="s">
        <v>234</v>
      </c>
    </row>
    <row r="6" spans="2:14" x14ac:dyDescent="0.35">
      <c r="B6" s="214" t="s">
        <v>235</v>
      </c>
      <c r="C6" s="218">
        <f>'S8-Outil - Charges '!I19</f>
        <v>153183.28868324819</v>
      </c>
    </row>
    <row r="7" spans="2:14" x14ac:dyDescent="0.35">
      <c r="B7" s="214" t="s">
        <v>236</v>
      </c>
      <c r="C7" s="218">
        <f>'S8-Outil - Charges '!I20</f>
        <v>39982.370179214609</v>
      </c>
    </row>
    <row r="8" spans="2:14" x14ac:dyDescent="0.35">
      <c r="B8" s="214" t="s">
        <v>237</v>
      </c>
      <c r="C8" s="218">
        <f>'S8-Outil - Charges '!I21</f>
        <v>31122.248761775532</v>
      </c>
    </row>
    <row r="9" spans="2:14" x14ac:dyDescent="0.35">
      <c r="B9" s="214" t="s">
        <v>238</v>
      </c>
      <c r="C9" s="219">
        <f>0.04*C6</f>
        <v>6127.3315473299281</v>
      </c>
      <c r="I9" s="216" t="s">
        <v>239</v>
      </c>
      <c r="J9" s="216"/>
      <c r="K9" s="216"/>
      <c r="L9" s="216"/>
      <c r="M9" s="216"/>
      <c r="N9" s="220"/>
    </row>
    <row r="10" spans="2:14" x14ac:dyDescent="0.35">
      <c r="J10" s="220"/>
      <c r="K10" s="220"/>
      <c r="L10" s="220"/>
      <c r="M10" s="220"/>
    </row>
    <row r="11" spans="2:14" x14ac:dyDescent="0.35">
      <c r="B11" s="214" t="s">
        <v>240</v>
      </c>
      <c r="C11" s="221">
        <f>1/4.3333/3</f>
        <v>7.6923668643604948E-2</v>
      </c>
      <c r="D11" s="213" t="s">
        <v>241</v>
      </c>
    </row>
    <row r="12" spans="2:14" ht="15" thickBot="1" x14ac:dyDescent="0.4"/>
    <row r="13" spans="2:14" x14ac:dyDescent="0.35">
      <c r="D13" s="222"/>
      <c r="E13" s="223"/>
      <c r="F13" s="224"/>
      <c r="G13" s="225"/>
      <c r="H13" s="225"/>
      <c r="I13" s="224"/>
      <c r="J13" s="224"/>
      <c r="K13" s="226"/>
    </row>
    <row r="14" spans="2:14" x14ac:dyDescent="0.35">
      <c r="D14" s="227"/>
      <c r="G14" s="228" t="s">
        <v>242</v>
      </c>
      <c r="H14" s="229" t="s">
        <v>243</v>
      </c>
      <c r="K14" s="230"/>
    </row>
    <row r="15" spans="2:14" x14ac:dyDescent="0.35">
      <c r="D15" s="227"/>
      <c r="G15" s="231"/>
      <c r="H15" s="232"/>
      <c r="K15" s="230"/>
    </row>
    <row r="16" spans="2:14" x14ac:dyDescent="0.35">
      <c r="D16" s="227"/>
      <c r="E16" s="214" t="s">
        <v>244</v>
      </c>
      <c r="G16" s="233">
        <f>-(G29+G30+G31-H16-H17-H18)</f>
        <v>-104493.08855887757</v>
      </c>
      <c r="H16" s="234">
        <f>(C6-C7)*C11</f>
        <v>8707.8299451560069</v>
      </c>
      <c r="J16" s="213" t="s">
        <v>240</v>
      </c>
      <c r="K16" s="230"/>
    </row>
    <row r="17" spans="3:11" x14ac:dyDescent="0.35">
      <c r="C17" s="231"/>
      <c r="D17" s="227"/>
      <c r="G17" s="231"/>
      <c r="H17" s="234">
        <f>G30+C7</f>
        <v>71104.618940990142</v>
      </c>
      <c r="J17" s="213" t="s">
        <v>245</v>
      </c>
      <c r="K17" s="230"/>
    </row>
    <row r="18" spans="3:11" x14ac:dyDescent="0.35">
      <c r="C18" s="231"/>
      <c r="D18" s="227"/>
      <c r="G18" s="231"/>
      <c r="H18" s="234">
        <f>G31</f>
        <v>6127.3315473299281</v>
      </c>
      <c r="J18" s="213" t="s">
        <v>246</v>
      </c>
      <c r="K18" s="230"/>
    </row>
    <row r="19" spans="3:11" x14ac:dyDescent="0.35">
      <c r="D19" s="227"/>
      <c r="G19" s="231"/>
      <c r="H19" s="232"/>
      <c r="K19" s="230"/>
    </row>
    <row r="20" spans="3:11" x14ac:dyDescent="0.35">
      <c r="D20" s="227"/>
      <c r="G20" s="231"/>
      <c r="H20" s="232"/>
      <c r="K20" s="230"/>
    </row>
    <row r="21" spans="3:11" x14ac:dyDescent="0.35">
      <c r="D21" s="227"/>
      <c r="G21" s="231"/>
      <c r="H21" s="232"/>
      <c r="K21" s="230"/>
    </row>
    <row r="22" spans="3:11" x14ac:dyDescent="0.35">
      <c r="D22" s="227"/>
      <c r="G22" s="231"/>
      <c r="H22" s="232"/>
      <c r="K22" s="230"/>
    </row>
    <row r="23" spans="3:11" x14ac:dyDescent="0.35">
      <c r="D23" s="227"/>
      <c r="G23" s="231"/>
      <c r="H23" s="232"/>
      <c r="K23" s="230"/>
    </row>
    <row r="24" spans="3:11" x14ac:dyDescent="0.35">
      <c r="D24" s="227"/>
      <c r="G24" s="231"/>
      <c r="H24" s="232"/>
      <c r="K24" s="230"/>
    </row>
    <row r="25" spans="3:11" x14ac:dyDescent="0.35">
      <c r="D25" s="227"/>
      <c r="G25" s="231"/>
      <c r="H25" s="232"/>
      <c r="K25" s="230"/>
    </row>
    <row r="26" spans="3:11" x14ac:dyDescent="0.35">
      <c r="D26" s="227"/>
      <c r="G26" s="231"/>
      <c r="H26" s="232"/>
      <c r="K26" s="230"/>
    </row>
    <row r="27" spans="3:11" x14ac:dyDescent="0.35">
      <c r="D27" s="227"/>
      <c r="E27" s="235"/>
      <c r="F27" s="236"/>
      <c r="G27" s="237"/>
      <c r="H27" s="238"/>
      <c r="I27" s="236"/>
      <c r="J27" s="236"/>
      <c r="K27" s="239"/>
    </row>
    <row r="28" spans="3:11" x14ac:dyDescent="0.35">
      <c r="D28" s="227"/>
      <c r="G28" s="231"/>
      <c r="H28" s="232"/>
      <c r="K28" s="230"/>
    </row>
    <row r="29" spans="3:11" x14ac:dyDescent="0.35">
      <c r="D29" s="227"/>
      <c r="E29" s="214" t="s">
        <v>247</v>
      </c>
      <c r="G29" s="233">
        <f>C6</f>
        <v>153183.28868324819</v>
      </c>
      <c r="H29" s="232"/>
      <c r="K29" s="230"/>
    </row>
    <row r="30" spans="3:11" x14ac:dyDescent="0.35">
      <c r="D30" s="227"/>
      <c r="E30" s="214" t="s">
        <v>248</v>
      </c>
      <c r="G30" s="233">
        <f>C8</f>
        <v>31122.248761775532</v>
      </c>
      <c r="H30" s="232"/>
      <c r="K30" s="230"/>
    </row>
    <row r="31" spans="3:11" x14ac:dyDescent="0.35">
      <c r="D31" s="227"/>
      <c r="E31" s="214" t="s">
        <v>249</v>
      </c>
      <c r="G31" s="233">
        <f>C9</f>
        <v>6127.3315473299281</v>
      </c>
      <c r="H31" s="232"/>
      <c r="K31" s="230"/>
    </row>
    <row r="32" spans="3:11" x14ac:dyDescent="0.35">
      <c r="D32" s="227"/>
      <c r="G32" s="231"/>
      <c r="H32" s="232"/>
      <c r="K32" s="230"/>
    </row>
    <row r="33" spans="4:11" x14ac:dyDescent="0.35">
      <c r="D33" s="227"/>
      <c r="G33" s="231"/>
      <c r="H33" s="232"/>
      <c r="K33" s="230"/>
    </row>
    <row r="34" spans="4:11" x14ac:dyDescent="0.35">
      <c r="D34" s="227"/>
      <c r="G34" s="231"/>
      <c r="H34" s="231"/>
      <c r="K34" s="230"/>
    </row>
    <row r="35" spans="4:11" ht="15" thickBot="1" x14ac:dyDescent="0.4">
      <c r="D35" s="240"/>
      <c r="E35" s="241"/>
      <c r="F35" s="242"/>
      <c r="G35" s="243">
        <f>SUM(G16:G31)</f>
        <v>85939.780433476088</v>
      </c>
      <c r="H35" s="243">
        <f>SUM(H16:H31)</f>
        <v>85939.780433476073</v>
      </c>
      <c r="I35" s="242"/>
      <c r="J35" s="242"/>
      <c r="K35" s="244"/>
    </row>
  </sheetData>
  <sheetProtection sheet="1" objects="1" scenarios="1" formatCells="1" formatColumns="0" formatRows="0" insertColumns="1" insertRows="1" insertHyperlinks="1" deleteColumns="1" deleteRows="1" selectLockedCells="0" selectUnlockedCells="0" sort="0" autoFilter="0" pivotTables="0"/>
  <pageMargins left="0.78740157480314965" right="0.78740157480314965" top="0.98425196850393704" bottom="0.98425196850393704" header="0.51181102362204722" footer="0.51181102362204722"/>
  <pageSetup scale="56"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6864-85BD-4E76-8431-AECE3BAABFAE}">
  <dimension ref="A1:D57"/>
  <sheetViews>
    <sheetView topLeftCell="A47" zoomScale="95" zoomScaleNormal="95" workbookViewId="0">
      <selection activeCell="D57" sqref="D57"/>
    </sheetView>
  </sheetViews>
  <sheetFormatPr baseColWidth="10" defaultRowHeight="14.5" x14ac:dyDescent="0.35"/>
  <cols>
    <col min="1" max="1" width="38.90625" customWidth="1"/>
    <col min="2" max="2" width="12.453125" bestFit="1" customWidth="1"/>
    <col min="3" max="3" width="13.81640625" bestFit="1" customWidth="1"/>
    <col min="4" max="4" width="14.7265625" bestFit="1" customWidth="1"/>
  </cols>
  <sheetData>
    <row r="1" spans="1:4" ht="15" thickBot="1" x14ac:dyDescent="0.4"/>
    <row r="2" spans="1:4" x14ac:dyDescent="0.35">
      <c r="C2" s="517" t="s">
        <v>752</v>
      </c>
    </row>
    <row r="3" spans="1:4" x14ac:dyDescent="0.35">
      <c r="C3" s="32" t="s">
        <v>780</v>
      </c>
    </row>
    <row r="4" spans="1:4" ht="15" thickBot="1" x14ac:dyDescent="0.4">
      <c r="C4" s="518" t="s">
        <v>781</v>
      </c>
    </row>
    <row r="6" spans="1:4" ht="18.5" x14ac:dyDescent="0.45">
      <c r="B6" s="760" t="s">
        <v>203</v>
      </c>
      <c r="C6" s="760"/>
      <c r="D6" s="760"/>
    </row>
    <row r="7" spans="1:4" x14ac:dyDescent="0.35">
      <c r="A7" s="19" t="s">
        <v>782</v>
      </c>
    </row>
    <row r="8" spans="1:4" x14ac:dyDescent="0.35">
      <c r="A8" t="s">
        <v>630</v>
      </c>
      <c r="C8" s="507">
        <v>350227.53</v>
      </c>
    </row>
    <row r="9" spans="1:4" x14ac:dyDescent="0.35">
      <c r="A9" t="s">
        <v>625</v>
      </c>
      <c r="C9" s="507">
        <v>906247</v>
      </c>
    </row>
    <row r="10" spans="1:4" x14ac:dyDescent="0.35">
      <c r="A10" t="s">
        <v>211</v>
      </c>
      <c r="C10" s="507">
        <v>25000</v>
      </c>
    </row>
    <row r="11" spans="1:4" x14ac:dyDescent="0.35">
      <c r="A11" t="s">
        <v>783</v>
      </c>
      <c r="C11" s="507">
        <v>10821</v>
      </c>
    </row>
    <row r="12" spans="1:4" ht="16" x14ac:dyDescent="0.4">
      <c r="A12" s="513" t="s">
        <v>784</v>
      </c>
      <c r="B12" s="513"/>
      <c r="C12" s="519"/>
      <c r="D12" s="520">
        <v>1292295.53</v>
      </c>
    </row>
    <row r="13" spans="1:4" x14ac:dyDescent="0.35">
      <c r="A13" s="19"/>
      <c r="C13" s="507"/>
    </row>
    <row r="14" spans="1:4" x14ac:dyDescent="0.35">
      <c r="A14" s="19" t="s">
        <v>785</v>
      </c>
      <c r="C14" s="507"/>
    </row>
    <row r="15" spans="1:4" x14ac:dyDescent="0.35">
      <c r="A15" t="s">
        <v>217</v>
      </c>
      <c r="C15" s="521">
        <v>105131</v>
      </c>
    </row>
    <row r="16" spans="1:4" ht="15" thickBot="1" x14ac:dyDescent="0.4">
      <c r="A16" s="522" t="s">
        <v>786</v>
      </c>
      <c r="B16" s="522"/>
      <c r="C16" s="523">
        <v>-5257</v>
      </c>
      <c r="D16" s="95">
        <f>C15+C16</f>
        <v>99874</v>
      </c>
    </row>
    <row r="17" spans="1:4" ht="15" thickTop="1" x14ac:dyDescent="0.35">
      <c r="C17" s="507"/>
    </row>
    <row r="18" spans="1:4" x14ac:dyDescent="0.35">
      <c r="A18" t="s">
        <v>218</v>
      </c>
      <c r="C18" s="521">
        <v>40000</v>
      </c>
    </row>
    <row r="19" spans="1:4" ht="15" thickBot="1" x14ac:dyDescent="0.4">
      <c r="A19" s="522" t="s">
        <v>787</v>
      </c>
      <c r="B19" s="522"/>
      <c r="C19" s="523">
        <v>-3000</v>
      </c>
      <c r="D19" s="95">
        <f>C18+C19</f>
        <v>37000</v>
      </c>
    </row>
    <row r="20" spans="1:4" ht="15" thickTop="1" x14ac:dyDescent="0.35">
      <c r="C20" s="507"/>
    </row>
    <row r="21" spans="1:4" x14ac:dyDescent="0.35">
      <c r="A21" t="s">
        <v>788</v>
      </c>
      <c r="C21" s="521">
        <v>31500</v>
      </c>
    </row>
    <row r="22" spans="1:4" ht="15" thickBot="1" x14ac:dyDescent="0.4">
      <c r="A22" s="522" t="s">
        <v>789</v>
      </c>
      <c r="B22" s="522"/>
      <c r="C22" s="523">
        <v>-1575</v>
      </c>
      <c r="D22" s="95">
        <f>C21+C22</f>
        <v>29925</v>
      </c>
    </row>
    <row r="23" spans="1:4" ht="15" thickTop="1" x14ac:dyDescent="0.35">
      <c r="C23" s="507"/>
    </row>
    <row r="24" spans="1:4" x14ac:dyDescent="0.35">
      <c r="A24" t="s">
        <v>790</v>
      </c>
      <c r="C24" s="521">
        <v>39700</v>
      </c>
    </row>
    <row r="25" spans="1:4" ht="15" thickBot="1" x14ac:dyDescent="0.4">
      <c r="A25" s="522" t="s">
        <v>791</v>
      </c>
      <c r="B25" s="522"/>
      <c r="C25" s="523">
        <v>-1985</v>
      </c>
      <c r="D25" s="95">
        <f>C24+C25</f>
        <v>37715</v>
      </c>
    </row>
    <row r="26" spans="1:4" ht="15" thickTop="1" x14ac:dyDescent="0.35">
      <c r="C26" s="507"/>
    </row>
    <row r="27" spans="1:4" x14ac:dyDescent="0.35">
      <c r="A27" t="s">
        <v>215</v>
      </c>
      <c r="C27" s="521">
        <v>349000</v>
      </c>
      <c r="D27" s="95"/>
    </row>
    <row r="28" spans="1:4" ht="15" thickBot="1" x14ac:dyDescent="0.4">
      <c r="A28" s="522" t="s">
        <v>792</v>
      </c>
      <c r="B28" s="522"/>
      <c r="C28" s="523">
        <v>-17450</v>
      </c>
      <c r="D28" s="95">
        <f>C27+C28</f>
        <v>331550</v>
      </c>
    </row>
    <row r="29" spans="1:4" ht="15" thickTop="1" x14ac:dyDescent="0.35">
      <c r="C29" s="507"/>
    </row>
    <row r="30" spans="1:4" x14ac:dyDescent="0.35">
      <c r="A30" t="s">
        <v>793</v>
      </c>
      <c r="C30" s="521">
        <v>6500</v>
      </c>
    </row>
    <row r="31" spans="1:4" ht="15" thickBot="1" x14ac:dyDescent="0.4">
      <c r="A31" s="522" t="s">
        <v>794</v>
      </c>
      <c r="B31" s="522"/>
      <c r="C31" s="523">
        <v>-750</v>
      </c>
      <c r="D31" s="95">
        <f>C30+C31</f>
        <v>5750</v>
      </c>
    </row>
    <row r="32" spans="1:4" ht="15" thickTop="1" x14ac:dyDescent="0.35"/>
    <row r="33" spans="1:4" ht="16.5" thickBot="1" x14ac:dyDescent="0.45">
      <c r="A33" s="19" t="s">
        <v>795</v>
      </c>
      <c r="D33" s="524">
        <v>541814</v>
      </c>
    </row>
    <row r="34" spans="1:4" ht="16.5" thickBot="1" x14ac:dyDescent="0.45">
      <c r="A34" s="525" t="s">
        <v>796</v>
      </c>
      <c r="B34" s="526"/>
      <c r="C34" s="526"/>
      <c r="D34" s="527">
        <v>1834109.53</v>
      </c>
    </row>
    <row r="36" spans="1:4" ht="18.5" x14ac:dyDescent="0.45">
      <c r="B36" s="761" t="s">
        <v>204</v>
      </c>
      <c r="C36" s="761"/>
      <c r="D36" s="761"/>
    </row>
    <row r="37" spans="1:4" x14ac:dyDescent="0.35">
      <c r="A37" s="19" t="s">
        <v>797</v>
      </c>
    </row>
    <row r="38" spans="1:4" x14ac:dyDescent="0.35">
      <c r="A38" t="s">
        <v>210</v>
      </c>
      <c r="C38" s="507">
        <v>851612</v>
      </c>
      <c r="D38" s="507"/>
    </row>
    <row r="39" spans="1:4" x14ac:dyDescent="0.35">
      <c r="A39" t="s">
        <v>240</v>
      </c>
      <c r="C39" s="507">
        <v>7456.51</v>
      </c>
      <c r="D39" s="507"/>
    </row>
    <row r="40" spans="1:4" x14ac:dyDescent="0.35">
      <c r="A40" t="s">
        <v>246</v>
      </c>
      <c r="C40" s="507">
        <v>5246.83</v>
      </c>
      <c r="D40" s="507"/>
    </row>
    <row r="41" spans="1:4" x14ac:dyDescent="0.35">
      <c r="A41" t="s">
        <v>798</v>
      </c>
      <c r="C41" s="507">
        <v>60886.86</v>
      </c>
      <c r="D41" s="507"/>
    </row>
    <row r="42" spans="1:4" x14ac:dyDescent="0.35">
      <c r="A42" t="s">
        <v>799</v>
      </c>
      <c r="C42" s="507">
        <v>235601</v>
      </c>
      <c r="D42" s="507"/>
    </row>
    <row r="43" spans="1:4" x14ac:dyDescent="0.35">
      <c r="A43" t="s">
        <v>214</v>
      </c>
      <c r="C43" s="507">
        <v>149763.22</v>
      </c>
      <c r="D43" s="507"/>
    </row>
    <row r="44" spans="1:4" ht="16" x14ac:dyDescent="0.4">
      <c r="A44" s="513" t="s">
        <v>800</v>
      </c>
      <c r="B44" s="528"/>
      <c r="C44" s="520">
        <v>1310566.42</v>
      </c>
      <c r="D44" s="507" t="s">
        <v>779</v>
      </c>
    </row>
    <row r="45" spans="1:4" x14ac:dyDescent="0.35">
      <c r="A45" s="19"/>
      <c r="B45" s="507"/>
      <c r="C45" s="512"/>
      <c r="D45" s="507"/>
    </row>
    <row r="46" spans="1:4" x14ac:dyDescent="0.35">
      <c r="A46" s="19" t="s">
        <v>801</v>
      </c>
      <c r="B46" s="507"/>
      <c r="C46" s="507"/>
      <c r="D46" s="507"/>
    </row>
    <row r="47" spans="1:4" x14ac:dyDescent="0.35">
      <c r="A47" t="s">
        <v>639</v>
      </c>
      <c r="C47" s="507">
        <v>58199.19</v>
      </c>
      <c r="D47" s="507"/>
    </row>
    <row r="48" spans="1:4" ht="16.5" thickBot="1" x14ac:dyDescent="0.45">
      <c r="A48" s="513" t="s">
        <v>802</v>
      </c>
      <c r="B48" s="529"/>
      <c r="C48" s="530">
        <v>58199.19</v>
      </c>
      <c r="D48" s="507"/>
    </row>
    <row r="49" spans="1:4" ht="15" thickBot="1" x14ac:dyDescent="0.4">
      <c r="A49" s="531" t="s">
        <v>803</v>
      </c>
      <c r="B49" s="532"/>
      <c r="C49" s="533">
        <v>1368765.61</v>
      </c>
    </row>
    <row r="50" spans="1:4" x14ac:dyDescent="0.35">
      <c r="B50" s="507"/>
      <c r="C50" s="507"/>
      <c r="D50" s="507"/>
    </row>
    <row r="51" spans="1:4" ht="18.5" x14ac:dyDescent="0.45">
      <c r="B51" s="762" t="s">
        <v>804</v>
      </c>
      <c r="C51" s="762"/>
      <c r="D51" s="762"/>
    </row>
    <row r="52" spans="1:4" x14ac:dyDescent="0.35">
      <c r="A52" t="s">
        <v>805</v>
      </c>
      <c r="B52" s="507"/>
      <c r="C52" s="507">
        <v>450000</v>
      </c>
      <c r="D52" s="507"/>
    </row>
    <row r="53" spans="1:4" x14ac:dyDescent="0.35">
      <c r="A53" t="s">
        <v>806</v>
      </c>
      <c r="B53" s="507"/>
      <c r="C53" s="507">
        <v>85000</v>
      </c>
      <c r="D53" s="507"/>
    </row>
    <row r="54" spans="1:4" ht="15" thickBot="1" x14ac:dyDescent="0.4">
      <c r="A54" t="s">
        <v>807</v>
      </c>
      <c r="B54" s="507"/>
      <c r="C54" s="534">
        <v>-69656.08</v>
      </c>
      <c r="D54" s="507"/>
    </row>
    <row r="55" spans="1:4" ht="16.5" thickBot="1" x14ac:dyDescent="0.45">
      <c r="A55" s="535" t="s">
        <v>808</v>
      </c>
      <c r="B55" s="536"/>
      <c r="C55" s="536"/>
      <c r="D55" s="537">
        <v>465343.92</v>
      </c>
    </row>
    <row r="56" spans="1:4" ht="15" thickBot="1" x14ac:dyDescent="0.4">
      <c r="B56" s="148"/>
      <c r="C56" s="148"/>
      <c r="D56" s="148"/>
    </row>
    <row r="57" spans="1:4" ht="16.5" thickBot="1" x14ac:dyDescent="0.45">
      <c r="A57" s="538" t="s">
        <v>809</v>
      </c>
      <c r="B57" s="539"/>
      <c r="C57" s="539"/>
      <c r="D57" s="540">
        <v>1834109.53</v>
      </c>
    </row>
  </sheetData>
  <sheetProtection sheet="1" objects="1" scenarios="1" formatCells="1" formatColumns="0" formatRows="0" insertColumns="1" insertRows="1" insertHyperlinks="1" deleteColumns="1" deleteRows="1" selectLockedCells="0" selectUnlockedCells="0" sort="0" autoFilter="0" pivotTables="0"/>
  <mergeCells count="3">
    <mergeCell ref="B6:D6"/>
    <mergeCell ref="B36:D36"/>
    <mergeCell ref="B51:D5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9EA5-70EB-448F-BE3A-43C1595A1430}">
  <sheetPr>
    <pageSetUpPr fitToPage="1"/>
  </sheetPr>
  <dimension ref="A1:H102"/>
  <sheetViews>
    <sheetView workbookViewId="0">
      <selection activeCell="H3207" sqref="H3207"/>
    </sheetView>
  </sheetViews>
  <sheetFormatPr baseColWidth="10" defaultRowHeight="14.5" x14ac:dyDescent="0.35"/>
  <cols>
    <col min="1" max="1" width="47.36328125" customWidth="1"/>
    <col min="2" max="3" width="14.36328125" bestFit="1" customWidth="1"/>
    <col min="6" max="6" width="33.453125" customWidth="1"/>
    <col min="7" max="7" width="17.453125" customWidth="1"/>
    <col min="8" max="8" width="20" customWidth="1"/>
  </cols>
  <sheetData>
    <row r="1" spans="1:5" ht="15" thickBot="1" x14ac:dyDescent="0.4">
      <c r="A1" t="s">
        <v>201</v>
      </c>
      <c r="D1" s="25">
        <v>0.05</v>
      </c>
      <c r="E1" s="369">
        <v>9.9750000000000005E-2</v>
      </c>
    </row>
    <row r="2" spans="1:5" x14ac:dyDescent="0.35">
      <c r="A2" s="370" t="s">
        <v>622</v>
      </c>
      <c r="B2" s="371" t="s">
        <v>623</v>
      </c>
      <c r="C2" s="372" t="s">
        <v>624</v>
      </c>
    </row>
    <row r="3" spans="1:5" x14ac:dyDescent="0.35">
      <c r="A3" s="373" t="s">
        <v>625</v>
      </c>
      <c r="B3" s="374">
        <f>C6+C5+C4</f>
        <v>3045335.4148612497</v>
      </c>
      <c r="C3" s="375"/>
    </row>
    <row r="4" spans="1:5" x14ac:dyDescent="0.35">
      <c r="A4" s="373" t="s">
        <v>626</v>
      </c>
      <c r="B4" s="374"/>
      <c r="C4" s="375">
        <f>C6*D1</f>
        <v>132434.67775</v>
      </c>
    </row>
    <row r="5" spans="1:5" x14ac:dyDescent="0.35">
      <c r="A5" s="373" t="s">
        <v>627</v>
      </c>
      <c r="B5" s="374"/>
      <c r="C5" s="375">
        <f>C6*E1</f>
        <v>264207.18211125</v>
      </c>
    </row>
    <row r="6" spans="1:5" ht="15" thickBot="1" x14ac:dyDescent="0.4">
      <c r="A6" s="376" t="s">
        <v>628</v>
      </c>
      <c r="B6" s="377"/>
      <c r="C6" s="378">
        <f>'S8-Outil - Charges '!B5</f>
        <v>2648693.5550000002</v>
      </c>
      <c r="D6" t="s">
        <v>629</v>
      </c>
    </row>
    <row r="7" spans="1:5" ht="17.399999999999999" customHeight="1" thickBot="1" x14ac:dyDescent="0.4"/>
    <row r="8" spans="1:5" x14ac:dyDescent="0.35">
      <c r="A8" s="379" t="s">
        <v>630</v>
      </c>
      <c r="B8" s="380">
        <f>C9</f>
        <v>1979468.0196598123</v>
      </c>
      <c r="C8" s="381"/>
    </row>
    <row r="9" spans="1:5" ht="15" thickBot="1" x14ac:dyDescent="0.4">
      <c r="A9" s="376" t="s">
        <v>625</v>
      </c>
      <c r="B9" s="377"/>
      <c r="C9" s="382">
        <f>B3*D9</f>
        <v>1979468.0196598123</v>
      </c>
      <c r="D9" s="26">
        <v>0.65</v>
      </c>
    </row>
    <row r="10" spans="1:5" ht="16.25" customHeight="1" thickBot="1" x14ac:dyDescent="0.4"/>
    <row r="11" spans="1:5" x14ac:dyDescent="0.35">
      <c r="A11" s="379" t="s">
        <v>148</v>
      </c>
      <c r="B11" s="383">
        <f>'Bon de commande TRIM 2'!G25</f>
        <v>1766912.5</v>
      </c>
      <c r="C11" s="381"/>
      <c r="D11" s="187" t="s">
        <v>632</v>
      </c>
    </row>
    <row r="12" spans="1:5" x14ac:dyDescent="0.35">
      <c r="A12" s="373" t="s">
        <v>633</v>
      </c>
      <c r="B12" s="384">
        <f>Facture5[[#Totals],[Total de la ligne]]</f>
        <v>251069.77499999999</v>
      </c>
      <c r="C12" s="375"/>
    </row>
    <row r="13" spans="1:5" x14ac:dyDescent="0.35">
      <c r="A13" s="373" t="s">
        <v>634</v>
      </c>
      <c r="B13" s="374">
        <f>(B11+B12)*D1</f>
        <v>100899.11375</v>
      </c>
      <c r="C13" s="375"/>
    </row>
    <row r="14" spans="1:5" x14ac:dyDescent="0.35">
      <c r="A14" s="373" t="s">
        <v>635</v>
      </c>
      <c r="B14" s="374">
        <f>(B11+B12)*E1</f>
        <v>201293.73193124999</v>
      </c>
      <c r="C14" s="375"/>
    </row>
    <row r="15" spans="1:5" x14ac:dyDescent="0.35">
      <c r="A15" s="373" t="s">
        <v>210</v>
      </c>
      <c r="B15" s="374"/>
      <c r="C15" s="385">
        <f>D15*(B11+B12+B13+B14)</f>
        <v>1160087.560340625</v>
      </c>
      <c r="D15" s="26">
        <v>0.5</v>
      </c>
    </row>
    <row r="16" spans="1:5" ht="15" thickBot="1" x14ac:dyDescent="0.4">
      <c r="A16" s="376" t="s">
        <v>630</v>
      </c>
      <c r="B16" s="386"/>
      <c r="C16" s="387">
        <f>D16*(B11+B12+B13+B14)</f>
        <v>1160087.560340625</v>
      </c>
      <c r="D16" s="26">
        <v>0.5</v>
      </c>
    </row>
    <row r="18" spans="1:4" ht="15" thickBot="1" x14ac:dyDescent="0.4">
      <c r="A18" s="19" t="s">
        <v>636</v>
      </c>
    </row>
    <row r="19" spans="1:4" x14ac:dyDescent="0.35">
      <c r="A19" s="379" t="str">
        <f>'S5 -Outil - Charges'!A28</f>
        <v>Téléphonie et système de communication</v>
      </c>
      <c r="B19" s="388">
        <f>'S8-Outil - Charges '!B33</f>
        <v>2250</v>
      </c>
      <c r="C19" s="389"/>
    </row>
    <row r="20" spans="1:4" x14ac:dyDescent="0.35">
      <c r="A20" s="373" t="str">
        <f>'S5 -Outil - Charges'!A36</f>
        <v>Électricité (même valeur pour tous) - Dépenses fixes (facture équilibrée)</v>
      </c>
      <c r="B20" s="390">
        <f>'S8-Outil - Charges '!D37</f>
        <v>18500</v>
      </c>
      <c r="C20" s="385"/>
    </row>
    <row r="21" spans="1:4" x14ac:dyDescent="0.35">
      <c r="A21" s="373" t="str">
        <f>'S5 -Outil - Charges'!A41</f>
        <v>Frais d'entretien</v>
      </c>
      <c r="B21" s="390">
        <f>'S8-Outil - Charges '!D50</f>
        <v>190621.45877122902</v>
      </c>
      <c r="C21" s="385"/>
    </row>
    <row r="22" spans="1:4" x14ac:dyDescent="0.35">
      <c r="A22" s="391" t="str">
        <f>'S5 -Outil - Charges'!A62</f>
        <v>Taxes municipales:</v>
      </c>
      <c r="B22" s="390">
        <f>'S8-Outil - Charges '!D64</f>
        <v>10907.722134733091</v>
      </c>
      <c r="C22" s="385"/>
    </row>
    <row r="23" spans="1:4" x14ac:dyDescent="0.35">
      <c r="A23" s="373" t="str">
        <f>'S5 -Outil - Charges'!F28</f>
        <v>Frais de livraison aux clients:</v>
      </c>
      <c r="B23" s="390">
        <f>'S8-Outil - Charges '!J40</f>
        <v>98620</v>
      </c>
      <c r="C23" s="392"/>
      <c r="D23" s="50"/>
    </row>
    <row r="24" spans="1:4" x14ac:dyDescent="0.35">
      <c r="A24" s="373" t="str">
        <f>'S5 -Outil - Charges'!F45</f>
        <v>Loyer</v>
      </c>
      <c r="B24" s="390">
        <f>'S8-Outil - Charges '!G47</f>
        <v>94242.719244093911</v>
      </c>
      <c r="C24" s="393"/>
      <c r="D24" s="50"/>
    </row>
    <row r="25" spans="1:4" x14ac:dyDescent="0.35">
      <c r="A25" s="373" t="str">
        <f>'S5 -Outil - Charges'!F50</f>
        <v>Publicité</v>
      </c>
      <c r="B25" s="390">
        <f>'S8-Outil - Charges '!G55</f>
        <v>9000</v>
      </c>
      <c r="C25" s="393"/>
    </row>
    <row r="26" spans="1:4" x14ac:dyDescent="0.35">
      <c r="A26" s="373" t="str">
        <f>'S5 -Outil - Charges'!F59</f>
        <v>Fournitures de bureau:</v>
      </c>
      <c r="B26" s="390">
        <f>'S8-Outil - Charges '!G63</f>
        <v>1739.0113960113958</v>
      </c>
      <c r="C26" s="393"/>
    </row>
    <row r="27" spans="1:4" x14ac:dyDescent="0.35">
      <c r="A27" s="373" t="str">
        <f>'S5 -Outil - Charges'!F82</f>
        <v>Frais de site électronique</v>
      </c>
      <c r="B27" s="390"/>
      <c r="C27" s="393"/>
    </row>
    <row r="28" spans="1:4" x14ac:dyDescent="0.35">
      <c r="A28" s="373" t="str">
        <f>'S5 -Outil - Charges'!F90</f>
        <v>Frais de transactions via internet</v>
      </c>
      <c r="B28" s="390">
        <f>'S5 -Outil - Charges'!G92</f>
        <v>0</v>
      </c>
      <c r="C28" s="393"/>
    </row>
    <row r="29" spans="1:4" x14ac:dyDescent="0.35">
      <c r="A29" s="373" t="str">
        <f>'S5 -Outil - Charges'!F75</f>
        <v>Honoraires professionnelles</v>
      </c>
      <c r="B29" s="390">
        <f>'S8-Outil - Charges '!G81</f>
        <v>9270.4274425000003</v>
      </c>
      <c r="C29" s="393"/>
    </row>
    <row r="30" spans="1:4" x14ac:dyDescent="0.35">
      <c r="A30" s="373" t="s">
        <v>634</v>
      </c>
      <c r="B30" s="68">
        <f>SUM(B19:B29)*D1</f>
        <v>21757.566949428376</v>
      </c>
      <c r="C30" s="393"/>
    </row>
    <row r="31" spans="1:4" x14ac:dyDescent="0.35">
      <c r="A31" s="373" t="s">
        <v>635</v>
      </c>
      <c r="B31" s="68">
        <f>SUM(B19:B29)*E1</f>
        <v>43406.34606410961</v>
      </c>
      <c r="C31" s="393"/>
    </row>
    <row r="32" spans="1:4" ht="15" thickBot="1" x14ac:dyDescent="0.4">
      <c r="A32" s="376" t="s">
        <v>630</v>
      </c>
      <c r="B32" s="386"/>
      <c r="C32" s="387">
        <f>SUM(B19:B31)</f>
        <v>500315.25200210541</v>
      </c>
    </row>
    <row r="34" spans="1:5" ht="15" thickBot="1" x14ac:dyDescent="0.4">
      <c r="A34" s="19" t="s">
        <v>637</v>
      </c>
    </row>
    <row r="35" spans="1:5" x14ac:dyDescent="0.35">
      <c r="A35" s="379" t="str">
        <f>'S5 -Outil - Charges'!A53</f>
        <v>Assurances:</v>
      </c>
      <c r="B35" s="394">
        <f>'S8-Outil - Charges '!D59</f>
        <v>2478.8391069258923</v>
      </c>
      <c r="C35" s="395"/>
    </row>
    <row r="36" spans="1:5" x14ac:dyDescent="0.35">
      <c r="A36" s="373" t="str">
        <f>'S5 -Outil - Charges'!F67</f>
        <v>Frais de banque (pas taxables)</v>
      </c>
      <c r="B36" s="396">
        <f>'S8-Outil - Charges '!G74</f>
        <v>147.04500000000002</v>
      </c>
      <c r="C36" s="393"/>
    </row>
    <row r="37" spans="1:5" ht="15" thickBot="1" x14ac:dyDescent="0.4">
      <c r="A37" s="376" t="s">
        <v>630</v>
      </c>
      <c r="B37" s="386"/>
      <c r="C37" s="397">
        <f>SUM(B35:B36)</f>
        <v>2625.8841069258924</v>
      </c>
      <c r="D37" s="95"/>
    </row>
    <row r="39" spans="1:5" ht="15" thickBot="1" x14ac:dyDescent="0.4">
      <c r="A39" s="19" t="s">
        <v>638</v>
      </c>
    </row>
    <row r="40" spans="1:5" x14ac:dyDescent="0.35">
      <c r="A40" s="379" t="s">
        <v>639</v>
      </c>
      <c r="B40" s="398">
        <f>'S8 -Emprunt '!C13+'S8 -Emprunt '!C14+'S8 -Emprunt '!C15</f>
        <v>1107.2516316260844</v>
      </c>
      <c r="C40" s="395"/>
    </row>
    <row r="41" spans="1:5" x14ac:dyDescent="0.35">
      <c r="A41" s="373" t="s">
        <v>640</v>
      </c>
      <c r="B41" s="399">
        <f>'S8 -Emprunt '!D13+'S8 -Emprunt '!D14+'S8 -Emprunt '!D15</f>
        <v>867.47003641003414</v>
      </c>
      <c r="C41" s="393"/>
    </row>
    <row r="42" spans="1:5" ht="15" thickBot="1" x14ac:dyDescent="0.4">
      <c r="A42" s="376" t="s">
        <v>630</v>
      </c>
      <c r="B42" s="386"/>
      <c r="C42" s="400">
        <f>SUM(B40:B41)</f>
        <v>1974.7216680361184</v>
      </c>
    </row>
    <row r="43" spans="1:5" x14ac:dyDescent="0.35">
      <c r="E43">
        <f>50000*30.2%</f>
        <v>15100</v>
      </c>
    </row>
    <row r="44" spans="1:5" ht="15" thickBot="1" x14ac:dyDescent="0.4">
      <c r="A44" s="19" t="s">
        <v>641</v>
      </c>
      <c r="E44">
        <f>10*21103</f>
        <v>211030</v>
      </c>
    </row>
    <row r="45" spans="1:5" x14ac:dyDescent="0.35">
      <c r="A45" s="379" t="s">
        <v>214</v>
      </c>
      <c r="B45" s="398">
        <f>'S8 -Emprunt '!K13+'S8 -Emprunt '!K14+'S8 -Emprunt '!K15</f>
        <v>2301.3675571881349</v>
      </c>
      <c r="C45" s="395"/>
    </row>
    <row r="46" spans="1:5" x14ac:dyDescent="0.35">
      <c r="A46" s="373" t="s">
        <v>640</v>
      </c>
      <c r="B46" s="399">
        <f>'S8 -Emprunt '!L13+'S8 -Emprunt '!L14+'S8 -Emprunt '!L15</f>
        <v>3724.9835611676485</v>
      </c>
      <c r="C46" s="393"/>
    </row>
    <row r="47" spans="1:5" ht="15" thickBot="1" x14ac:dyDescent="0.4">
      <c r="A47" s="376" t="s">
        <v>630</v>
      </c>
      <c r="B47" s="386"/>
      <c r="C47" s="400">
        <f>SUM(B45:B46)</f>
        <v>6026.3511183557839</v>
      </c>
    </row>
    <row r="49" spans="1:3" x14ac:dyDescent="0.35">
      <c r="A49" s="269" t="s">
        <v>642</v>
      </c>
      <c r="B49" s="401" t="s">
        <v>643</v>
      </c>
    </row>
    <row r="51" spans="1:3" x14ac:dyDescent="0.35">
      <c r="A51" s="269" t="s">
        <v>644</v>
      </c>
    </row>
    <row r="52" spans="1:3" ht="15" thickBot="1" x14ac:dyDescent="0.4"/>
    <row r="53" spans="1:3" x14ac:dyDescent="0.35">
      <c r="A53" s="379" t="str">
        <f>'S5 -Outil - Charges'!A70</f>
        <v>Terrain</v>
      </c>
      <c r="B53" s="402">
        <f>'S5 -Outil - Charges'!D70</f>
        <v>0</v>
      </c>
      <c r="C53" s="372"/>
    </row>
    <row r="54" spans="1:3" x14ac:dyDescent="0.35">
      <c r="A54" s="403" t="s">
        <v>645</v>
      </c>
      <c r="B54" s="404">
        <f>'S5 -Outil - Charges'!D71</f>
        <v>0</v>
      </c>
      <c r="C54" s="405"/>
    </row>
    <row r="55" spans="1:3" x14ac:dyDescent="0.35">
      <c r="A55" s="403" t="s">
        <v>646</v>
      </c>
      <c r="B55" s="404"/>
      <c r="C55" s="406">
        <f>B54</f>
        <v>0</v>
      </c>
    </row>
    <row r="56" spans="1:3" x14ac:dyDescent="0.35">
      <c r="A56" s="373" t="s">
        <v>647</v>
      </c>
      <c r="B56" s="127">
        <f>'S8-Outil - Charges '!D76</f>
        <v>17450</v>
      </c>
      <c r="C56" s="407"/>
    </row>
    <row r="57" spans="1:3" x14ac:dyDescent="0.35">
      <c r="A57" s="373" t="s">
        <v>648</v>
      </c>
      <c r="B57" s="127"/>
      <c r="C57" s="408">
        <f>B56</f>
        <v>17450</v>
      </c>
    </row>
    <row r="58" spans="1:3" x14ac:dyDescent="0.35">
      <c r="A58" s="403" t="s">
        <v>649</v>
      </c>
      <c r="B58" s="404">
        <f>'S5 -Outil - Charges'!D73</f>
        <v>0</v>
      </c>
      <c r="C58" s="405"/>
    </row>
    <row r="59" spans="1:3" x14ac:dyDescent="0.35">
      <c r="A59" s="403" t="s">
        <v>650</v>
      </c>
      <c r="B59" s="404"/>
      <c r="C59" s="406">
        <f>B58</f>
        <v>0</v>
      </c>
    </row>
    <row r="60" spans="1:3" x14ac:dyDescent="0.35">
      <c r="A60" s="373" t="s">
        <v>651</v>
      </c>
      <c r="B60" s="127">
        <f>'S8-Outil - Charges '!D78</f>
        <v>1575</v>
      </c>
      <c r="C60" s="407"/>
    </row>
    <row r="61" spans="1:3" x14ac:dyDescent="0.35">
      <c r="A61" s="373" t="s">
        <v>652</v>
      </c>
      <c r="B61" s="127"/>
      <c r="C61" s="408">
        <f>B60</f>
        <v>1575</v>
      </c>
    </row>
    <row r="62" spans="1:3" x14ac:dyDescent="0.35">
      <c r="A62" s="403" t="s">
        <v>653</v>
      </c>
      <c r="B62" s="404">
        <f>'S8-Outil - Charges '!D79</f>
        <v>250</v>
      </c>
      <c r="C62" s="405"/>
    </row>
    <row r="63" spans="1:3" x14ac:dyDescent="0.35">
      <c r="A63" s="403" t="s">
        <v>654</v>
      </c>
      <c r="B63" s="404"/>
      <c r="C63" s="406">
        <f>B62</f>
        <v>250</v>
      </c>
    </row>
    <row r="64" spans="1:3" x14ac:dyDescent="0.35">
      <c r="A64" s="373" t="s">
        <v>655</v>
      </c>
      <c r="B64" s="127">
        <f>'S8-Outil - Charges '!D80</f>
        <v>1735</v>
      </c>
      <c r="C64" s="407"/>
    </row>
    <row r="65" spans="1:8" x14ac:dyDescent="0.35">
      <c r="A65" s="373" t="s">
        <v>656</v>
      </c>
      <c r="B65" s="127"/>
      <c r="C65" s="408">
        <f>B64</f>
        <v>1735</v>
      </c>
    </row>
    <row r="66" spans="1:8" x14ac:dyDescent="0.35">
      <c r="A66" s="403" t="s">
        <v>657</v>
      </c>
      <c r="B66" s="404">
        <f>'S8-Outil - Charges '!D81</f>
        <v>3000</v>
      </c>
      <c r="C66" s="405"/>
    </row>
    <row r="67" spans="1:8" x14ac:dyDescent="0.35">
      <c r="A67" s="403" t="s">
        <v>658</v>
      </c>
      <c r="B67" s="404"/>
      <c r="C67" s="406">
        <f>B66</f>
        <v>3000</v>
      </c>
    </row>
    <row r="68" spans="1:8" x14ac:dyDescent="0.35">
      <c r="A68" s="373" t="s">
        <v>659</v>
      </c>
      <c r="B68" s="127">
        <f>'S8-Outil - Charges '!D82</f>
        <v>5256.5727312254121</v>
      </c>
      <c r="C68" s="407"/>
    </row>
    <row r="69" spans="1:8" x14ac:dyDescent="0.35">
      <c r="A69" s="373" t="s">
        <v>660</v>
      </c>
      <c r="B69" s="62"/>
      <c r="C69" s="408">
        <f>B68</f>
        <v>5256.5727312254121</v>
      </c>
    </row>
    <row r="70" spans="1:8" x14ac:dyDescent="0.35">
      <c r="A70" s="403" t="s">
        <v>661</v>
      </c>
      <c r="B70" s="404">
        <f>3000*25%</f>
        <v>750</v>
      </c>
      <c r="C70" s="406"/>
    </row>
    <row r="71" spans="1:8" ht="15" thickBot="1" x14ac:dyDescent="0.4">
      <c r="A71" s="409" t="s">
        <v>662</v>
      </c>
      <c r="B71" s="410"/>
      <c r="C71" s="411">
        <f>B70</f>
        <v>750</v>
      </c>
    </row>
    <row r="72" spans="1:8" x14ac:dyDescent="0.35">
      <c r="B72" s="41"/>
      <c r="C72" s="159"/>
    </row>
    <row r="73" spans="1:8" x14ac:dyDescent="0.35">
      <c r="A73" s="98" t="s">
        <v>663</v>
      </c>
    </row>
    <row r="75" spans="1:8" ht="15" thickBot="1" x14ac:dyDescent="0.4">
      <c r="A75" s="19" t="s">
        <v>664</v>
      </c>
      <c r="B75" s="615">
        <v>25000</v>
      </c>
    </row>
    <row r="76" spans="1:8" x14ac:dyDescent="0.35">
      <c r="A76" s="379" t="s">
        <v>665</v>
      </c>
      <c r="B76" s="413"/>
      <c r="C76" s="414">
        <f>D76*B75</f>
        <v>6250</v>
      </c>
      <c r="D76" s="26">
        <v>0.25</v>
      </c>
    </row>
    <row r="77" spans="1:8" ht="15" thickBot="1" x14ac:dyDescent="0.4">
      <c r="A77" s="376" t="s">
        <v>666</v>
      </c>
      <c r="B77" s="415">
        <f>C76</f>
        <v>6250</v>
      </c>
      <c r="C77" s="416"/>
    </row>
    <row r="79" spans="1:8" ht="15" thickBot="1" x14ac:dyDescent="0.4">
      <c r="A79" t="s">
        <v>819</v>
      </c>
      <c r="B79" s="85"/>
      <c r="F79" s="483" t="s">
        <v>728</v>
      </c>
      <c r="G79" s="61"/>
      <c r="H79" s="61"/>
    </row>
    <row r="80" spans="1:8" x14ac:dyDescent="0.35">
      <c r="A80" s="379" t="s">
        <v>279</v>
      </c>
      <c r="B80" s="380">
        <f>'S8-Outil - Charges '!B12</f>
        <v>1766912.5</v>
      </c>
      <c r="C80" s="381"/>
      <c r="F80" s="484" t="s">
        <v>729</v>
      </c>
      <c r="G80" s="79">
        <f>'S8-Outil - Charges '!B11</f>
        <v>10821</v>
      </c>
      <c r="H80" s="390"/>
    </row>
    <row r="81" spans="1:8" x14ac:dyDescent="0.35">
      <c r="A81" s="373" t="s">
        <v>209</v>
      </c>
      <c r="B81" s="374"/>
      <c r="C81" s="375">
        <f>B80</f>
        <v>1766912.5</v>
      </c>
      <c r="F81" s="484" t="str">
        <f>A81</f>
        <v>Stock de marchandises</v>
      </c>
      <c r="G81" s="390"/>
      <c r="H81" s="384">
        <f>G80</f>
        <v>10821</v>
      </c>
    </row>
    <row r="82" spans="1:8" x14ac:dyDescent="0.35">
      <c r="A82" s="373" t="s">
        <v>832</v>
      </c>
      <c r="B82" s="374">
        <f>'S8-Outil - Charges '!B14</f>
        <v>2613</v>
      </c>
      <c r="C82" s="375"/>
      <c r="F82" s="484" t="str">
        <f>A82</f>
        <v>Stock de marchandises de fin</v>
      </c>
      <c r="G82" s="384">
        <f>B82</f>
        <v>2613</v>
      </c>
      <c r="H82" s="390"/>
    </row>
    <row r="83" spans="1:8" ht="15" thickBot="1" x14ac:dyDescent="0.4">
      <c r="A83" s="376" t="s">
        <v>286</v>
      </c>
      <c r="B83" s="377"/>
      <c r="C83" s="382">
        <f>B82</f>
        <v>2613</v>
      </c>
      <c r="F83" s="484" t="str">
        <f>A83</f>
        <v>Inventaire de fin</v>
      </c>
      <c r="G83" s="390"/>
      <c r="H83" s="384">
        <f>G82</f>
        <v>2613</v>
      </c>
    </row>
    <row r="85" spans="1:8" ht="15" thickBot="1" x14ac:dyDescent="0.4">
      <c r="A85" t="s">
        <v>669</v>
      </c>
      <c r="B85" s="420" t="s">
        <v>670</v>
      </c>
    </row>
    <row r="86" spans="1:8" x14ac:dyDescent="0.35">
      <c r="A86" s="379" t="s">
        <v>640</v>
      </c>
      <c r="B86" s="371">
        <f>('S4 - Montage financier'!D2*11%)/4</f>
        <v>18425</v>
      </c>
      <c r="C86" s="395"/>
    </row>
    <row r="87" spans="1:8" ht="15" thickBot="1" x14ac:dyDescent="0.4">
      <c r="A87" s="376" t="s">
        <v>630</v>
      </c>
      <c r="B87" s="386"/>
      <c r="C87" s="419">
        <f>B86</f>
        <v>18425</v>
      </c>
    </row>
    <row r="89" spans="1:8" ht="15" thickBot="1" x14ac:dyDescent="0.4">
      <c r="A89" t="s">
        <v>671</v>
      </c>
    </row>
    <row r="90" spans="1:8" x14ac:dyDescent="0.35">
      <c r="A90" s="379" t="s">
        <v>630</v>
      </c>
      <c r="B90" s="487">
        <f>'S4 - Montage financier'!C2</f>
        <v>217650.768125</v>
      </c>
      <c r="C90" s="395"/>
      <c r="D90" s="92"/>
    </row>
    <row r="91" spans="1:8" ht="15" thickBot="1" x14ac:dyDescent="0.4">
      <c r="A91" s="376" t="s">
        <v>672</v>
      </c>
      <c r="B91" s="386"/>
      <c r="C91" s="488">
        <f>B90</f>
        <v>217650.768125</v>
      </c>
    </row>
    <row r="93" spans="1:8" ht="15" thickBot="1" x14ac:dyDescent="0.4">
      <c r="A93" t="s">
        <v>820</v>
      </c>
    </row>
    <row r="94" spans="1:8" x14ac:dyDescent="0.35">
      <c r="A94" s="379" t="s">
        <v>674</v>
      </c>
      <c r="B94" s="371">
        <f>135435-3000</f>
        <v>132435</v>
      </c>
      <c r="C94" s="372"/>
      <c r="D94" s="269" t="s">
        <v>730</v>
      </c>
    </row>
    <row r="95" spans="1:8" x14ac:dyDescent="0.35">
      <c r="A95" s="373" t="s">
        <v>675</v>
      </c>
      <c r="B95" s="62">
        <v>264206</v>
      </c>
      <c r="C95" s="407"/>
    </row>
    <row r="96" spans="1:8" x14ac:dyDescent="0.35">
      <c r="A96" s="373" t="s">
        <v>676</v>
      </c>
      <c r="B96" s="61"/>
      <c r="C96" s="62">
        <v>122657</v>
      </c>
    </row>
    <row r="97" spans="1:4" x14ac:dyDescent="0.35">
      <c r="A97" s="373" t="s">
        <v>677</v>
      </c>
      <c r="B97" s="61"/>
      <c r="C97" s="62">
        <v>244700</v>
      </c>
      <c r="D97" s="25"/>
    </row>
    <row r="98" spans="1:4" ht="15" thickBot="1" x14ac:dyDescent="0.4">
      <c r="A98" s="376" t="s">
        <v>678</v>
      </c>
      <c r="B98" s="61"/>
      <c r="C98" s="490">
        <f>(B94+B95)-(C96+C97)</f>
        <v>29284</v>
      </c>
    </row>
    <row r="100" spans="1:4" ht="15" thickBot="1" x14ac:dyDescent="0.4">
      <c r="A100" s="417" t="s">
        <v>668</v>
      </c>
      <c r="B100" s="418"/>
      <c r="C100" s="418"/>
    </row>
    <row r="101" spans="1:4" x14ac:dyDescent="0.35">
      <c r="A101" s="379" t="s">
        <v>207</v>
      </c>
      <c r="B101" s="371">
        <f>670000</f>
        <v>670000</v>
      </c>
      <c r="C101" s="395"/>
    </row>
    <row r="102" spans="1:4" ht="15" thickBot="1" x14ac:dyDescent="0.4">
      <c r="A102" s="376" t="s">
        <v>630</v>
      </c>
      <c r="B102" s="386"/>
      <c r="C102" s="419">
        <f>B101</f>
        <v>670000</v>
      </c>
    </row>
  </sheetData>
  <sheetProtection sheet="1" objects="1" scenarios="1" formatCells="1" formatColumns="0" formatRows="0" insertColumns="1" insertRows="1" insertHyperlinks="1" deleteColumns="1" deleteRows="1" selectLockedCells="0" selectUnlockedCells="0" sort="0" autoFilter="0" pivotTables="0"/>
  <pageMargins left="0.70866141732283472" right="0.70866141732283472" top="0.74803149606299213" bottom="0.74803149606299213" header="0.31496062992125984" footer="0.31496062992125984"/>
  <pageSetup scale="68" fitToHeight="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955A-8392-4715-8081-8B05EA5A749E}">
  <dimension ref="A1:H58"/>
  <sheetViews>
    <sheetView topLeftCell="A31" zoomScale="85" zoomScaleNormal="85" workbookViewId="0">
      <selection activeCell="D44" sqref="D44"/>
    </sheetView>
  </sheetViews>
  <sheetFormatPr baseColWidth="10" defaultRowHeight="14.5" x14ac:dyDescent="0.35"/>
  <cols>
    <col min="1" max="1" width="38.90625" customWidth="1"/>
    <col min="2" max="2" width="15" bestFit="1" customWidth="1"/>
    <col min="3" max="4" width="15" customWidth="1"/>
    <col min="5" max="5" width="15" bestFit="1" customWidth="1"/>
    <col min="6" max="6" width="14.7265625" bestFit="1" customWidth="1"/>
  </cols>
  <sheetData>
    <row r="1" spans="1:8" ht="15" thickBot="1" x14ac:dyDescent="0.4"/>
    <row r="2" spans="1:8" ht="18.5" x14ac:dyDescent="0.45">
      <c r="C2" s="763" t="s">
        <v>752</v>
      </c>
      <c r="D2" s="764"/>
      <c r="E2" s="765"/>
    </row>
    <row r="3" spans="1:8" ht="18.5" x14ac:dyDescent="0.45">
      <c r="C3" s="766" t="s">
        <v>780</v>
      </c>
      <c r="D3" s="767"/>
      <c r="E3" s="768"/>
    </row>
    <row r="4" spans="1:8" ht="19" thickBot="1" x14ac:dyDescent="0.5">
      <c r="C4" s="769" t="s">
        <v>833</v>
      </c>
      <c r="D4" s="770"/>
      <c r="E4" s="771"/>
    </row>
    <row r="5" spans="1:8" ht="18.5" x14ac:dyDescent="0.45">
      <c r="C5" s="652"/>
      <c r="D5" s="652"/>
      <c r="E5" s="652"/>
    </row>
    <row r="6" spans="1:8" x14ac:dyDescent="0.35">
      <c r="B6" s="19" t="s">
        <v>843</v>
      </c>
      <c r="C6" s="19"/>
      <c r="D6" s="19" t="s">
        <v>844</v>
      </c>
      <c r="E6" s="19" t="s">
        <v>43</v>
      </c>
      <c r="F6" s="19"/>
      <c r="G6" s="19" t="s">
        <v>845</v>
      </c>
      <c r="H6" s="19" t="s">
        <v>846</v>
      </c>
    </row>
    <row r="7" spans="1:8" ht="18.5" x14ac:dyDescent="0.45">
      <c r="B7" s="760" t="s">
        <v>203</v>
      </c>
      <c r="C7" s="760"/>
      <c r="D7" s="760"/>
      <c r="E7" s="760"/>
      <c r="F7" s="760"/>
      <c r="G7" s="760"/>
      <c r="H7" s="760"/>
    </row>
    <row r="8" spans="1:8" x14ac:dyDescent="0.35">
      <c r="A8" s="19" t="s">
        <v>782</v>
      </c>
    </row>
    <row r="9" spans="1:8" x14ac:dyDescent="0.35">
      <c r="A9" t="s">
        <v>630</v>
      </c>
      <c r="B9" s="643">
        <v>350227.53</v>
      </c>
      <c r="D9" s="479">
        <f>B9/$C$35</f>
        <v>0.19095235277470043</v>
      </c>
      <c r="E9" s="643">
        <v>304863</v>
      </c>
      <c r="G9" s="479">
        <f>E9/$F$35</f>
        <v>0.15904789232053423</v>
      </c>
      <c r="H9" s="479">
        <f>(E9-B9)/B9</f>
        <v>-0.12952873807493095</v>
      </c>
    </row>
    <row r="10" spans="1:8" x14ac:dyDescent="0.35">
      <c r="A10" t="s">
        <v>625</v>
      </c>
      <c r="B10" s="643">
        <v>906247</v>
      </c>
      <c r="D10" s="631">
        <f t="shared" ref="D10:D12" si="0">B10/$C$35</f>
        <v>0.49410735028458197</v>
      </c>
      <c r="E10" s="643">
        <v>1065867</v>
      </c>
      <c r="G10" s="631">
        <f t="shared" ref="G10:G12" si="1">E10/$F$35</f>
        <v>0.55606583889816363</v>
      </c>
      <c r="H10" s="479">
        <f t="shared" ref="H10:H12" si="2">(E10-B10)/B10</f>
        <v>0.17613299685405856</v>
      </c>
    </row>
    <row r="11" spans="1:8" x14ac:dyDescent="0.35">
      <c r="A11" t="s">
        <v>211</v>
      </c>
      <c r="B11" s="643">
        <v>25000</v>
      </c>
      <c r="D11" s="479">
        <f t="shared" si="0"/>
        <v>1.3630592716019527E-2</v>
      </c>
      <c r="E11" s="643">
        <v>31500</v>
      </c>
      <c r="G11" s="479">
        <f t="shared" si="1"/>
        <v>1.6433639398998331E-2</v>
      </c>
      <c r="H11" s="479">
        <f t="shared" si="2"/>
        <v>0.26</v>
      </c>
    </row>
    <row r="12" spans="1:8" ht="15" thickBot="1" x14ac:dyDescent="0.4">
      <c r="A12" t="s">
        <v>847</v>
      </c>
      <c r="B12" s="643">
        <v>10821</v>
      </c>
      <c r="D12" s="479">
        <f t="shared" si="0"/>
        <v>5.8998657512018922E-3</v>
      </c>
      <c r="E12" s="508">
        <v>2613</v>
      </c>
      <c r="G12" s="479">
        <f t="shared" si="1"/>
        <v>1.3632095158597664E-3</v>
      </c>
      <c r="H12" s="636">
        <f t="shared" si="2"/>
        <v>-0.75852509010257829</v>
      </c>
    </row>
    <row r="13" spans="1:8" ht="16.5" thickBot="1" x14ac:dyDescent="0.45">
      <c r="A13" s="616" t="s">
        <v>784</v>
      </c>
      <c r="B13" s="511"/>
      <c r="C13" s="637">
        <v>1292295.53</v>
      </c>
      <c r="D13" s="631">
        <f>C13/$C$35</f>
        <v>0.70459016152650378</v>
      </c>
      <c r="E13" s="639"/>
      <c r="F13" s="638">
        <v>1404843</v>
      </c>
      <c r="G13" s="631">
        <f>F13/$F$35</f>
        <v>0.73291058013355592</v>
      </c>
      <c r="H13" s="479">
        <f>(F13-C13)/C13</f>
        <v>8.7091123808189577E-2</v>
      </c>
    </row>
    <row r="14" spans="1:8" x14ac:dyDescent="0.35">
      <c r="A14" s="19"/>
      <c r="E14" s="507"/>
      <c r="G14" s="479"/>
      <c r="H14" s="479"/>
    </row>
    <row r="15" spans="1:8" x14ac:dyDescent="0.35">
      <c r="A15" s="19" t="s">
        <v>785</v>
      </c>
      <c r="E15" s="507"/>
      <c r="G15" s="479"/>
      <c r="H15" s="479"/>
    </row>
    <row r="16" spans="1:8" x14ac:dyDescent="0.35">
      <c r="A16" t="s">
        <v>217</v>
      </c>
      <c r="B16" s="521">
        <v>105131</v>
      </c>
      <c r="E16" s="521">
        <v>105131</v>
      </c>
      <c r="G16" s="479"/>
      <c r="H16" s="479"/>
    </row>
    <row r="17" spans="1:8" ht="15" thickBot="1" x14ac:dyDescent="0.4">
      <c r="A17" s="522" t="s">
        <v>786</v>
      </c>
      <c r="B17" s="523">
        <v>-5257</v>
      </c>
      <c r="C17" s="640">
        <f>B16+B17</f>
        <v>99874</v>
      </c>
      <c r="D17" s="629">
        <f>C17/$C$35</f>
        <v>5.4453672676789376E-2</v>
      </c>
      <c r="E17" s="620">
        <v>-10514</v>
      </c>
      <c r="F17" s="640">
        <f>E16+E17</f>
        <v>94617</v>
      </c>
      <c r="G17" s="479">
        <f>F17/$F$35</f>
        <v>4.9361957429048413E-2</v>
      </c>
      <c r="H17" s="479">
        <f>(F17-C17)/C17</f>
        <v>-5.2636321765424432E-2</v>
      </c>
    </row>
    <row r="18" spans="1:8" ht="15" thickTop="1" x14ac:dyDescent="0.35">
      <c r="B18" s="507"/>
      <c r="D18" s="479"/>
      <c r="E18" s="507"/>
      <c r="G18" s="479"/>
      <c r="H18" s="479"/>
    </row>
    <row r="19" spans="1:8" x14ac:dyDescent="0.35">
      <c r="A19" t="s">
        <v>218</v>
      </c>
      <c r="B19" s="521">
        <v>40000</v>
      </c>
      <c r="D19" s="479"/>
      <c r="E19" s="521">
        <v>40000</v>
      </c>
      <c r="G19" s="479"/>
      <c r="H19" s="479"/>
    </row>
    <row r="20" spans="1:8" ht="15" thickBot="1" x14ac:dyDescent="0.4">
      <c r="A20" s="522" t="s">
        <v>787</v>
      </c>
      <c r="B20" s="523">
        <v>-3000</v>
      </c>
      <c r="C20" s="640">
        <f>B19+B20</f>
        <v>37000</v>
      </c>
      <c r="D20" s="629">
        <f>C20/$C$35</f>
        <v>2.01732772197089E-2</v>
      </c>
      <c r="E20" s="620">
        <v>-6000</v>
      </c>
      <c r="F20" s="640">
        <f>E19+E20</f>
        <v>34000</v>
      </c>
      <c r="G20" s="479">
        <f t="shared" ref="G20:G35" si="3">F20/$F$35</f>
        <v>1.7737896494156927E-2</v>
      </c>
      <c r="H20" s="479">
        <f t="shared" ref="H20:H32" si="4">(F20-C20)/C20</f>
        <v>-8.1081081081081086E-2</v>
      </c>
    </row>
    <row r="21" spans="1:8" ht="15" thickTop="1" x14ac:dyDescent="0.35">
      <c r="B21" s="507"/>
      <c r="D21" s="629"/>
      <c r="E21" s="507"/>
      <c r="G21" s="479"/>
      <c r="H21" s="479"/>
    </row>
    <row r="22" spans="1:8" x14ac:dyDescent="0.35">
      <c r="A22" t="s">
        <v>788</v>
      </c>
      <c r="B22" s="521">
        <v>31500</v>
      </c>
      <c r="D22" s="629"/>
      <c r="E22" s="521">
        <v>31500</v>
      </c>
      <c r="G22" s="479"/>
      <c r="H22" s="479"/>
    </row>
    <row r="23" spans="1:8" ht="15" thickBot="1" x14ac:dyDescent="0.4">
      <c r="A23" s="522" t="s">
        <v>789</v>
      </c>
      <c r="B23" s="523">
        <v>-1575</v>
      </c>
      <c r="C23" s="640">
        <f>B22+B23</f>
        <v>29925</v>
      </c>
      <c r="D23" s="629">
        <f t="shared" ref="D23:D34" si="5">C23/$C$35</f>
        <v>1.6315819481075376E-2</v>
      </c>
      <c r="E23" s="620">
        <v>-3150</v>
      </c>
      <c r="F23" s="640">
        <f>E22+E23</f>
        <v>28350</v>
      </c>
      <c r="G23" s="479">
        <f t="shared" si="3"/>
        <v>1.4790275459098497E-2</v>
      </c>
      <c r="H23" s="479">
        <f t="shared" si="4"/>
        <v>-5.2631578947368418E-2</v>
      </c>
    </row>
    <row r="24" spans="1:8" ht="15" thickTop="1" x14ac:dyDescent="0.35">
      <c r="B24" s="507"/>
      <c r="D24" s="629"/>
      <c r="E24" s="507"/>
      <c r="G24" s="479"/>
      <c r="H24" s="479"/>
    </row>
    <row r="25" spans="1:8" x14ac:dyDescent="0.35">
      <c r="A25" t="s">
        <v>790</v>
      </c>
      <c r="B25" s="521">
        <v>39700</v>
      </c>
      <c r="D25" s="629"/>
      <c r="E25" s="521">
        <v>39700</v>
      </c>
      <c r="G25" s="479"/>
      <c r="H25" s="479"/>
    </row>
    <row r="26" spans="1:8" ht="15" thickBot="1" x14ac:dyDescent="0.4">
      <c r="A26" s="522" t="s">
        <v>791</v>
      </c>
      <c r="B26" s="523">
        <v>-1985</v>
      </c>
      <c r="C26" s="640">
        <f>B25+B26</f>
        <v>37715</v>
      </c>
      <c r="D26" s="629">
        <f t="shared" si="5"/>
        <v>2.0563112171387059E-2</v>
      </c>
      <c r="E26" s="620">
        <v>-3810</v>
      </c>
      <c r="F26" s="640">
        <f>E25+E26</f>
        <v>35890</v>
      </c>
      <c r="G26" s="479">
        <f t="shared" si="3"/>
        <v>1.8723914858096827E-2</v>
      </c>
      <c r="H26" s="479">
        <f t="shared" si="4"/>
        <v>-4.8389235052366433E-2</v>
      </c>
    </row>
    <row r="27" spans="1:8" ht="15" thickTop="1" x14ac:dyDescent="0.35">
      <c r="B27" s="507"/>
      <c r="D27" s="629"/>
      <c r="E27" s="507"/>
      <c r="G27" s="479"/>
      <c r="H27" s="479"/>
    </row>
    <row r="28" spans="1:8" x14ac:dyDescent="0.35">
      <c r="A28" t="s">
        <v>215</v>
      </c>
      <c r="B28" s="521">
        <v>349000</v>
      </c>
      <c r="C28" s="95"/>
      <c r="D28" s="629"/>
      <c r="E28" s="521">
        <v>349000</v>
      </c>
      <c r="F28" s="95"/>
      <c r="G28" s="479"/>
      <c r="H28" s="479"/>
    </row>
    <row r="29" spans="1:8" ht="15" thickBot="1" x14ac:dyDescent="0.4">
      <c r="A29" s="522" t="s">
        <v>792</v>
      </c>
      <c r="B29" s="523">
        <v>-17450</v>
      </c>
      <c r="C29" s="640">
        <f>B28+B29</f>
        <v>331550</v>
      </c>
      <c r="D29" s="629">
        <f t="shared" si="5"/>
        <v>0.18076892059985097</v>
      </c>
      <c r="E29" s="620">
        <v>-34900</v>
      </c>
      <c r="F29" s="640">
        <f>E28+E29</f>
        <v>314100</v>
      </c>
      <c r="G29" s="479">
        <f t="shared" si="3"/>
        <v>0.16386686143572621</v>
      </c>
      <c r="H29" s="479">
        <f t="shared" si="4"/>
        <v>-5.2631578947368418E-2</v>
      </c>
    </row>
    <row r="30" spans="1:8" ht="15" thickTop="1" x14ac:dyDescent="0.35">
      <c r="B30" s="507"/>
      <c r="D30" s="629"/>
      <c r="E30" s="507"/>
      <c r="G30" s="479"/>
      <c r="H30" s="479"/>
    </row>
    <row r="31" spans="1:8" x14ac:dyDescent="0.35">
      <c r="A31" t="s">
        <v>793</v>
      </c>
      <c r="B31" s="521">
        <v>6500</v>
      </c>
      <c r="D31" s="629"/>
      <c r="E31" s="521">
        <v>6500</v>
      </c>
      <c r="G31" s="479"/>
      <c r="H31" s="479"/>
    </row>
    <row r="32" spans="1:8" ht="15" thickBot="1" x14ac:dyDescent="0.4">
      <c r="A32" s="522" t="s">
        <v>794</v>
      </c>
      <c r="B32" s="523">
        <v>-750</v>
      </c>
      <c r="C32" s="640">
        <f>B31+B32</f>
        <v>5750</v>
      </c>
      <c r="D32" s="629">
        <f t="shared" si="5"/>
        <v>3.1350363246844914E-3</v>
      </c>
      <c r="E32" s="620">
        <v>-1500</v>
      </c>
      <c r="F32" s="640">
        <f>E31+E32</f>
        <v>5000</v>
      </c>
      <c r="G32" s="629">
        <f t="shared" si="3"/>
        <v>2.6085141903171953E-3</v>
      </c>
      <c r="H32" s="479">
        <f t="shared" si="4"/>
        <v>-0.13043478260869565</v>
      </c>
    </row>
    <row r="33" spans="1:8" ht="15.5" thickTop="1" thickBot="1" x14ac:dyDescent="0.4">
      <c r="C33" s="145"/>
      <c r="D33" s="629"/>
      <c r="G33" s="479"/>
      <c r="H33" s="479"/>
    </row>
    <row r="34" spans="1:8" ht="16.5" thickBot="1" x14ac:dyDescent="0.45">
      <c r="A34" s="616" t="s">
        <v>795</v>
      </c>
      <c r="C34" s="642">
        <v>541814</v>
      </c>
      <c r="D34" s="632">
        <f t="shared" si="5"/>
        <v>0.29540983847349617</v>
      </c>
      <c r="F34" s="617">
        <v>511957</v>
      </c>
      <c r="G34" s="631">
        <f t="shared" si="3"/>
        <v>0.26708941986644408</v>
      </c>
      <c r="H34" s="479">
        <f>(F34-C34)/C34</f>
        <v>-5.5105626654165449E-2</v>
      </c>
    </row>
    <row r="35" spans="1:8" ht="16.5" thickBot="1" x14ac:dyDescent="0.45">
      <c r="A35" s="621" t="s">
        <v>796</v>
      </c>
      <c r="B35" s="526"/>
      <c r="C35" s="641">
        <v>1834109.53</v>
      </c>
      <c r="D35" s="630">
        <f>C35/$C$35</f>
        <v>1</v>
      </c>
      <c r="E35" s="19"/>
      <c r="F35" s="622">
        <v>1916800</v>
      </c>
      <c r="G35" s="479">
        <f t="shared" si="3"/>
        <v>1</v>
      </c>
      <c r="H35" s="479">
        <f>(F35-C35)/C35</f>
        <v>4.5084804722649238E-2</v>
      </c>
    </row>
    <row r="36" spans="1:8" x14ac:dyDescent="0.35">
      <c r="H36" s="479"/>
    </row>
    <row r="37" spans="1:8" ht="18.5" x14ac:dyDescent="0.45">
      <c r="B37" s="761" t="s">
        <v>204</v>
      </c>
      <c r="C37" s="761"/>
      <c r="D37" s="761"/>
      <c r="E37" s="761"/>
      <c r="F37" s="761"/>
      <c r="G37" s="761"/>
      <c r="H37" s="761"/>
    </row>
    <row r="38" spans="1:8" x14ac:dyDescent="0.35">
      <c r="A38" s="19" t="s">
        <v>797</v>
      </c>
      <c r="H38" s="479"/>
    </row>
    <row r="39" spans="1:8" x14ac:dyDescent="0.35">
      <c r="A39" t="s">
        <v>210</v>
      </c>
      <c r="B39" s="643">
        <v>851612</v>
      </c>
      <c r="C39" s="78"/>
      <c r="D39" s="631">
        <f>B39/$C$35</f>
        <v>0.46431905296299286</v>
      </c>
      <c r="E39" s="507"/>
      <c r="F39" s="643">
        <v>1160088</v>
      </c>
      <c r="G39" s="631">
        <f>F39/$F$35</f>
        <v>0.60522120200333884</v>
      </c>
      <c r="H39" s="479">
        <f>(F39-B39)/B39</f>
        <v>0.3622259902396866</v>
      </c>
    </row>
    <row r="40" spans="1:8" x14ac:dyDescent="0.35">
      <c r="A40" t="s">
        <v>240</v>
      </c>
      <c r="B40" s="643">
        <v>7456.51</v>
      </c>
      <c r="C40" s="78"/>
      <c r="D40" s="479">
        <f t="shared" ref="D40:D54" si="6">B40/$C$35</f>
        <v>4.065466035717071E-3</v>
      </c>
      <c r="E40" s="507"/>
      <c r="F40" s="643">
        <v>71104.62</v>
      </c>
      <c r="G40" s="479">
        <f t="shared" ref="G40:G44" si="7">F40/$F$35</f>
        <v>3.709548205342237E-2</v>
      </c>
      <c r="H40" s="636">
        <f t="shared" ref="H40:H55" si="8">(F40-B40)/B40</f>
        <v>8.5359115725721537</v>
      </c>
    </row>
    <row r="41" spans="1:8" x14ac:dyDescent="0.35">
      <c r="A41" t="s">
        <v>246</v>
      </c>
      <c r="B41" s="643">
        <v>5246.83</v>
      </c>
      <c r="C41" s="78"/>
      <c r="D41" s="479">
        <f t="shared" si="6"/>
        <v>2.8606961112077095E-3</v>
      </c>
      <c r="E41" s="507"/>
      <c r="F41" s="643">
        <v>11374.16</v>
      </c>
      <c r="G41" s="479">
        <f t="shared" si="7"/>
        <v>5.9339315525876457E-3</v>
      </c>
      <c r="H41" s="636">
        <f t="shared" si="8"/>
        <v>1.1678156143804925</v>
      </c>
    </row>
    <row r="42" spans="1:8" x14ac:dyDescent="0.35">
      <c r="A42" t="s">
        <v>798</v>
      </c>
      <c r="B42" s="643">
        <v>60886.86</v>
      </c>
      <c r="C42" s="78"/>
      <c r="D42" s="479">
        <f t="shared" si="6"/>
        <v>3.3196959616692029E-2</v>
      </c>
      <c r="E42" s="507"/>
      <c r="F42" s="643">
        <v>8707.83</v>
      </c>
      <c r="G42" s="479">
        <f t="shared" si="7"/>
        <v>4.5428996243739566E-3</v>
      </c>
      <c r="H42" s="636">
        <f t="shared" si="8"/>
        <v>-0.85698342795144955</v>
      </c>
    </row>
    <row r="43" spans="1:8" x14ac:dyDescent="0.35">
      <c r="A43" t="s">
        <v>799</v>
      </c>
      <c r="B43" s="643">
        <v>235601</v>
      </c>
      <c r="C43" s="78"/>
      <c r="D43" s="479">
        <f t="shared" si="6"/>
        <v>0.12845525097947666</v>
      </c>
      <c r="E43" s="507"/>
      <c r="F43" s="643">
        <v>29284</v>
      </c>
      <c r="G43" s="479">
        <f t="shared" si="7"/>
        <v>1.5277545909849749E-2</v>
      </c>
      <c r="H43" s="636">
        <f t="shared" si="8"/>
        <v>-0.87570511160818498</v>
      </c>
    </row>
    <row r="44" spans="1:8" ht="15" thickBot="1" x14ac:dyDescent="0.4">
      <c r="A44" t="s">
        <v>214</v>
      </c>
      <c r="B44" s="643">
        <v>149763.22</v>
      </c>
      <c r="D44" s="479">
        <f t="shared" si="6"/>
        <v>8.1654458226385201E-2</v>
      </c>
      <c r="E44" s="507"/>
      <c r="F44" s="643">
        <v>147461.85</v>
      </c>
      <c r="G44" s="479">
        <f t="shared" si="7"/>
        <v>7.6931265651085143E-2</v>
      </c>
      <c r="H44" s="479">
        <f t="shared" si="8"/>
        <v>-1.5366723552017614E-2</v>
      </c>
    </row>
    <row r="45" spans="1:8" ht="16.5" thickBot="1" x14ac:dyDescent="0.45">
      <c r="A45" s="616" t="s">
        <v>800</v>
      </c>
      <c r="B45" s="646">
        <v>1310566.42</v>
      </c>
      <c r="C45" s="148"/>
      <c r="D45" s="631">
        <f t="shared" si="6"/>
        <v>0.71455188393247149</v>
      </c>
      <c r="F45" s="647">
        <v>1428020.46</v>
      </c>
      <c r="G45" s="631">
        <f>F45/$F$35</f>
        <v>0.74500232679465772</v>
      </c>
      <c r="H45" s="479">
        <f t="shared" si="8"/>
        <v>8.9620822117508589E-2</v>
      </c>
    </row>
    <row r="46" spans="1:8" x14ac:dyDescent="0.35">
      <c r="A46" s="19"/>
      <c r="B46" s="512"/>
      <c r="C46" s="148"/>
      <c r="D46" s="479"/>
      <c r="E46" s="512"/>
      <c r="F46" s="507"/>
      <c r="G46" s="479"/>
      <c r="H46" s="479"/>
    </row>
    <row r="47" spans="1:8" x14ac:dyDescent="0.35">
      <c r="A47" s="19" t="s">
        <v>801</v>
      </c>
      <c r="B47" s="507"/>
      <c r="C47" s="635"/>
      <c r="D47" s="479"/>
      <c r="E47" s="507"/>
      <c r="F47" s="507"/>
      <c r="G47" s="479"/>
      <c r="H47" s="479"/>
    </row>
    <row r="48" spans="1:8" ht="15" thickBot="1" x14ac:dyDescent="0.4">
      <c r="A48" t="s">
        <v>639</v>
      </c>
      <c r="B48" s="643">
        <v>58199.19</v>
      </c>
      <c r="C48" s="182"/>
      <c r="D48" s="479">
        <f t="shared" si="6"/>
        <v>3.1731578211689461E-2</v>
      </c>
      <c r="E48" s="507"/>
      <c r="F48" s="506">
        <v>57091.94</v>
      </c>
      <c r="G48" s="479">
        <f>F48/$F$35</f>
        <v>2.9785027128547581E-2</v>
      </c>
      <c r="H48" s="479">
        <f t="shared" si="8"/>
        <v>-1.9025178872764378E-2</v>
      </c>
    </row>
    <row r="49" spans="1:8" ht="16.5" thickBot="1" x14ac:dyDescent="0.45">
      <c r="A49" s="616" t="s">
        <v>802</v>
      </c>
      <c r="B49" s="530">
        <v>58199.19</v>
      </c>
      <c r="C49" s="633"/>
      <c r="D49" s="479">
        <f t="shared" si="6"/>
        <v>3.1731578211689461E-2</v>
      </c>
      <c r="F49" s="617">
        <v>57091.94</v>
      </c>
      <c r="G49" s="479">
        <f>F49/$F$35</f>
        <v>2.9785027128547581E-2</v>
      </c>
      <c r="H49" s="479">
        <f t="shared" si="8"/>
        <v>-1.9025178872764378E-2</v>
      </c>
    </row>
    <row r="50" spans="1:8" ht="15" thickBot="1" x14ac:dyDescent="0.4">
      <c r="A50" s="531" t="s">
        <v>803</v>
      </c>
      <c r="B50" s="533">
        <v>1368765.61</v>
      </c>
      <c r="C50" s="648"/>
      <c r="D50" s="649">
        <f t="shared" si="6"/>
        <v>0.74628346214416108</v>
      </c>
      <c r="E50" s="634"/>
      <c r="F50" s="618">
        <v>1485112.4</v>
      </c>
      <c r="G50" s="649">
        <f t="shared" ref="G50" si="9">F50/$F$35</f>
        <v>0.7747873539232053</v>
      </c>
      <c r="H50" s="649">
        <f t="shared" si="8"/>
        <v>8.5001251602164221E-2</v>
      </c>
    </row>
    <row r="51" spans="1:8" x14ac:dyDescent="0.35">
      <c r="B51" s="507"/>
      <c r="C51" s="507"/>
      <c r="D51" s="479"/>
      <c r="E51" s="507"/>
      <c r="F51" s="507"/>
      <c r="G51" s="479"/>
      <c r="H51" s="479"/>
    </row>
    <row r="52" spans="1:8" ht="18.5" x14ac:dyDescent="0.45">
      <c r="B52" s="762" t="s">
        <v>804</v>
      </c>
      <c r="C52" s="762"/>
      <c r="D52" s="762"/>
      <c r="E52" s="762"/>
      <c r="F52" s="762"/>
      <c r="G52" s="762"/>
      <c r="H52" s="762"/>
    </row>
    <row r="53" spans="1:8" x14ac:dyDescent="0.35">
      <c r="A53" t="s">
        <v>805</v>
      </c>
      <c r="B53" s="643">
        <v>450000</v>
      </c>
      <c r="C53" s="507"/>
      <c r="D53" s="479">
        <f t="shared" si="6"/>
        <v>0.2453506688883515</v>
      </c>
      <c r="F53" s="643">
        <v>450000</v>
      </c>
      <c r="G53" s="479">
        <f>F53/$F$35</f>
        <v>0.23476627712854758</v>
      </c>
      <c r="H53" s="479">
        <f>(F53-B53)/B53</f>
        <v>0</v>
      </c>
    </row>
    <row r="54" spans="1:8" x14ac:dyDescent="0.35">
      <c r="A54" t="s">
        <v>806</v>
      </c>
      <c r="B54" s="643">
        <v>85000</v>
      </c>
      <c r="C54" s="507"/>
      <c r="D54" s="479">
        <f t="shared" si="6"/>
        <v>4.6344015234466393E-2</v>
      </c>
      <c r="F54" s="643">
        <v>85000</v>
      </c>
      <c r="G54" s="479">
        <f>F54/$F$35</f>
        <v>4.4344741235392324E-2</v>
      </c>
      <c r="H54" s="479">
        <f t="shared" si="8"/>
        <v>0</v>
      </c>
    </row>
    <row r="55" spans="1:8" ht="15" thickBot="1" x14ac:dyDescent="0.4">
      <c r="A55" s="300" t="s">
        <v>807</v>
      </c>
      <c r="B55" s="534">
        <v>-69656.08</v>
      </c>
      <c r="C55" s="507"/>
      <c r="D55" s="479">
        <f>B55/$C$35</f>
        <v>-3.7978146266978943E-2</v>
      </c>
      <c r="F55" s="623">
        <v>-103312.4</v>
      </c>
      <c r="G55" s="479">
        <f>F55/$F$35</f>
        <v>-5.3898372287145238E-2</v>
      </c>
      <c r="H55" s="636">
        <f t="shared" si="8"/>
        <v>0.48317849640691796</v>
      </c>
    </row>
    <row r="56" spans="1:8" ht="16.5" thickBot="1" x14ac:dyDescent="0.45">
      <c r="A56" s="535" t="s">
        <v>808</v>
      </c>
      <c r="B56" s="536"/>
      <c r="C56" s="537">
        <v>465343.92</v>
      </c>
      <c r="D56" s="650">
        <f>C56/$C$35</f>
        <v>0.25371653785583892</v>
      </c>
      <c r="E56" s="536"/>
      <c r="F56" s="619">
        <v>431687.6</v>
      </c>
      <c r="G56" s="650">
        <f>F56/$F$35</f>
        <v>0.22521264607679464</v>
      </c>
      <c r="H56" s="651">
        <f>(F56-C56)/C56</f>
        <v>-7.232568978230125E-2</v>
      </c>
    </row>
    <row r="57" spans="1:8" ht="15" thickBot="1" x14ac:dyDescent="0.4">
      <c r="B57" s="148"/>
      <c r="C57" s="148"/>
      <c r="D57" s="479"/>
      <c r="E57" s="644"/>
      <c r="F57" s="148"/>
      <c r="G57" s="479"/>
      <c r="H57" s="479"/>
    </row>
    <row r="58" spans="1:8" ht="16.5" thickBot="1" x14ac:dyDescent="0.45">
      <c r="A58" s="538" t="s">
        <v>809</v>
      </c>
      <c r="B58" s="539"/>
      <c r="C58" s="540">
        <v>1834109.53</v>
      </c>
      <c r="D58" s="479">
        <f>C58/$C$35</f>
        <v>1</v>
      </c>
      <c r="E58" s="645"/>
      <c r="F58" s="617">
        <v>1916800</v>
      </c>
      <c r="G58" s="479">
        <f>F58/$F$35</f>
        <v>1</v>
      </c>
      <c r="H58" s="479">
        <f>(F58-C58)/C58</f>
        <v>4.5084804722649238E-2</v>
      </c>
    </row>
  </sheetData>
  <sheetProtection sheet="1" objects="1" scenarios="1" formatCells="1" formatColumns="0" formatRows="0" insertColumns="1" insertRows="1" insertHyperlinks="1" deleteColumns="1" deleteRows="1" selectLockedCells="0" selectUnlockedCells="0" sort="0" autoFilter="0" pivotTables="0"/>
  <mergeCells count="6">
    <mergeCell ref="C2:E2"/>
    <mergeCell ref="C3:E3"/>
    <mergeCell ref="C4:E4"/>
    <mergeCell ref="B7:H7"/>
    <mergeCell ref="B52:H52"/>
    <mergeCell ref="B37:H3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8959-98E8-4C18-8CC0-E55F81233300}">
  <dimension ref="A1:T47"/>
  <sheetViews>
    <sheetView topLeftCell="B2" zoomScale="82" workbookViewId="0">
      <selection activeCell="L23" sqref="L23"/>
    </sheetView>
  </sheetViews>
  <sheetFormatPr baseColWidth="10" defaultRowHeight="14.5" x14ac:dyDescent="0.35"/>
  <cols>
    <col min="1" max="1" width="37.7265625" bestFit="1" customWidth="1"/>
    <col min="2" max="2" width="13.81640625" bestFit="1" customWidth="1"/>
    <col min="3" max="5" width="13.81640625" customWidth="1"/>
    <col min="6" max="6" width="17" bestFit="1" customWidth="1"/>
    <col min="7" max="7" width="21.1796875" bestFit="1" customWidth="1"/>
    <col min="11" max="12" width="9.36328125" customWidth="1"/>
    <col min="13" max="13" width="11.08984375" customWidth="1"/>
  </cols>
  <sheetData>
    <row r="1" spans="1:20" ht="15" thickBot="1" x14ac:dyDescent="0.4"/>
    <row r="2" spans="1:20" ht="18.5" x14ac:dyDescent="0.45">
      <c r="B2" s="763" t="s">
        <v>752</v>
      </c>
      <c r="C2" s="764"/>
      <c r="D2" s="764"/>
      <c r="E2" s="764"/>
      <c r="F2" s="764"/>
      <c r="G2" s="765"/>
    </row>
    <row r="3" spans="1:20" ht="18.5" x14ac:dyDescent="0.45">
      <c r="B3" s="766" t="s">
        <v>753</v>
      </c>
      <c r="C3" s="767"/>
      <c r="D3" s="767"/>
      <c r="E3" s="767"/>
      <c r="F3" s="767"/>
      <c r="G3" s="768"/>
    </row>
    <row r="4" spans="1:20" ht="19" thickBot="1" x14ac:dyDescent="0.5">
      <c r="B4" s="769" t="s">
        <v>838</v>
      </c>
      <c r="C4" s="770"/>
      <c r="D4" s="770"/>
      <c r="E4" s="770"/>
      <c r="F4" s="770"/>
      <c r="G4" s="771"/>
    </row>
    <row r="7" spans="1:20" ht="16" x14ac:dyDescent="0.4">
      <c r="A7" s="505" t="s">
        <v>755</v>
      </c>
      <c r="B7" s="506" t="s">
        <v>756</v>
      </c>
      <c r="C7" s="506" t="s">
        <v>839</v>
      </c>
      <c r="D7" s="506" t="s">
        <v>837</v>
      </c>
      <c r="E7" s="506" t="s">
        <v>840</v>
      </c>
      <c r="F7" s="506" t="s">
        <v>841</v>
      </c>
      <c r="G7" s="506" t="s">
        <v>842</v>
      </c>
    </row>
    <row r="8" spans="1:20" ht="15" thickBot="1" x14ac:dyDescent="0.4">
      <c r="A8" t="s">
        <v>628</v>
      </c>
      <c r="B8" s="507">
        <v>2252034</v>
      </c>
      <c r="C8" s="479">
        <f>B8/$B$8</f>
        <v>1</v>
      </c>
      <c r="D8">
        <v>2648694</v>
      </c>
      <c r="E8" s="479">
        <f>D8/$D$8</f>
        <v>1</v>
      </c>
      <c r="F8" s="507">
        <f>B8+D8</f>
        <v>4900728</v>
      </c>
      <c r="G8" s="479">
        <f>F8/$F$8</f>
        <v>1</v>
      </c>
      <c r="Q8" s="41"/>
      <c r="R8" s="41"/>
      <c r="S8" s="41"/>
    </row>
    <row r="9" spans="1:20" x14ac:dyDescent="0.35">
      <c r="A9" t="s">
        <v>759</v>
      </c>
      <c r="B9" s="507">
        <v>2252034</v>
      </c>
      <c r="C9" s="479">
        <f>B9/$B$8</f>
        <v>1</v>
      </c>
      <c r="D9">
        <v>2648694</v>
      </c>
      <c r="E9" s="479">
        <f t="shared" ref="E9:E16" si="0">D9/$D$8</f>
        <v>1</v>
      </c>
      <c r="F9" s="507">
        <f>B9+D9</f>
        <v>4900728</v>
      </c>
      <c r="G9" s="479">
        <f>F9/$F$8</f>
        <v>1</v>
      </c>
      <c r="J9" s="23" t="s">
        <v>903</v>
      </c>
      <c r="K9" s="277"/>
      <c r="L9" s="277"/>
      <c r="M9" s="277"/>
      <c r="N9" s="27"/>
      <c r="O9" s="41"/>
      <c r="Q9" s="302"/>
      <c r="R9" s="302"/>
      <c r="S9" s="302"/>
    </row>
    <row r="10" spans="1:20" x14ac:dyDescent="0.35">
      <c r="A10" s="19" t="s">
        <v>760</v>
      </c>
      <c r="B10" s="507"/>
      <c r="C10" s="479"/>
      <c r="D10" s="507"/>
      <c r="E10" s="479"/>
      <c r="F10" s="507"/>
      <c r="G10" s="479"/>
      <c r="J10" s="29"/>
      <c r="K10" s="88" t="s">
        <v>904</v>
      </c>
      <c r="L10" s="88"/>
      <c r="M10" t="s">
        <v>914</v>
      </c>
      <c r="N10" s="700">
        <f>'S8 Bilan TRIM2 '!B55/'S8 Bilan TRIM2 '!C56</f>
        <v>-0.14968731083883077</v>
      </c>
      <c r="O10" s="698"/>
      <c r="Q10" s="41"/>
      <c r="R10" s="41"/>
      <c r="S10" s="41"/>
    </row>
    <row r="11" spans="1:20" ht="15" thickBot="1" x14ac:dyDescent="0.4">
      <c r="A11" t="s">
        <v>279</v>
      </c>
      <c r="B11" s="507">
        <v>1453428</v>
      </c>
      <c r="C11" s="479">
        <f t="shared" ref="C11:C16" si="1">B11/$B$8</f>
        <v>0.64538457234659863</v>
      </c>
      <c r="D11" s="78">
        <v>1766913</v>
      </c>
      <c r="E11" s="479">
        <f t="shared" si="0"/>
        <v>0.66708838393563019</v>
      </c>
      <c r="F11" s="507">
        <f>B11+D11</f>
        <v>3220341</v>
      </c>
      <c r="G11" s="479">
        <f t="shared" ref="G11:G16" si="2">F11/$F$8</f>
        <v>0.65711482049197589</v>
      </c>
      <c r="J11" s="255"/>
      <c r="K11" s="145"/>
      <c r="L11" s="145"/>
      <c r="M11" s="145" t="s">
        <v>816</v>
      </c>
      <c r="N11" s="701">
        <f>'S8 Bilan TRIM2 '!F55/'S8 Bilan TRIM2 '!F56</f>
        <v>-0.23932213943601807</v>
      </c>
      <c r="O11" s="698"/>
      <c r="Q11" s="41"/>
      <c r="R11" s="699"/>
      <c r="S11" s="699"/>
    </row>
    <row r="12" spans="1:20" x14ac:dyDescent="0.35">
      <c r="A12" t="s">
        <v>834</v>
      </c>
      <c r="B12" s="507"/>
      <c r="C12" s="479"/>
      <c r="D12" s="78">
        <v>251070</v>
      </c>
      <c r="E12" s="479">
        <f t="shared" si="0"/>
        <v>9.4790111655026973E-2</v>
      </c>
      <c r="F12" s="507">
        <f>B12+D12</f>
        <v>251070</v>
      </c>
      <c r="G12" s="479">
        <f t="shared" si="2"/>
        <v>5.123116402297781E-2</v>
      </c>
    </row>
    <row r="13" spans="1:20" x14ac:dyDescent="0.35">
      <c r="A13" t="s">
        <v>835</v>
      </c>
      <c r="B13" s="507"/>
      <c r="C13" s="479"/>
      <c r="D13" s="78">
        <v>10821</v>
      </c>
      <c r="E13" s="479">
        <f t="shared" si="0"/>
        <v>4.0854096396186193E-3</v>
      </c>
      <c r="F13" s="507">
        <f>D13</f>
        <v>10821</v>
      </c>
      <c r="G13" s="479">
        <f t="shared" si="2"/>
        <v>2.208039295386318E-3</v>
      </c>
    </row>
    <row r="14" spans="1:20" ht="15" thickBot="1" x14ac:dyDescent="0.4">
      <c r="A14" t="s">
        <v>761</v>
      </c>
      <c r="B14" s="507">
        <v>-10821</v>
      </c>
      <c r="C14" s="479">
        <f>B14/$B$8</f>
        <v>-4.8049896227143991E-3</v>
      </c>
      <c r="D14" s="78">
        <v>-2613</v>
      </c>
      <c r="E14" s="479">
        <f t="shared" si="0"/>
        <v>-9.8652392462096421E-4</v>
      </c>
      <c r="F14" s="507">
        <f>-(-B14-D14)</f>
        <v>-13434</v>
      </c>
      <c r="G14" s="479">
        <f t="shared" si="2"/>
        <v>-2.7412253852896959E-3</v>
      </c>
    </row>
    <row r="15" spans="1:20" x14ac:dyDescent="0.35">
      <c r="A15" t="s">
        <v>276</v>
      </c>
      <c r="B15" s="507">
        <v>1442607</v>
      </c>
      <c r="C15" s="479">
        <f>B15/$B$8</f>
        <v>0.64057958272388427</v>
      </c>
      <c r="D15" s="79">
        <f>SUM(D11:D14)</f>
        <v>2026191</v>
      </c>
      <c r="E15" s="479">
        <f t="shared" si="0"/>
        <v>0.76497738130565474</v>
      </c>
      <c r="F15" s="507">
        <f>B15+D15</f>
        <v>3468798</v>
      </c>
      <c r="G15" s="479">
        <f t="shared" si="2"/>
        <v>0.70781279842505029</v>
      </c>
      <c r="I15" s="702" t="s">
        <v>905</v>
      </c>
      <c r="J15" s="277"/>
      <c r="K15" s="27"/>
      <c r="N15" s="702" t="s">
        <v>906</v>
      </c>
      <c r="O15" s="277"/>
      <c r="P15" s="27"/>
      <c r="R15" s="705" t="s">
        <v>907</v>
      </c>
      <c r="S15" s="277"/>
      <c r="T15" s="27"/>
    </row>
    <row r="16" spans="1:20" x14ac:dyDescent="0.35">
      <c r="A16" s="506" t="s">
        <v>762</v>
      </c>
      <c r="B16" s="508">
        <f>B9-B15</f>
        <v>809427</v>
      </c>
      <c r="C16" s="624">
        <f t="shared" si="1"/>
        <v>0.35942041727611573</v>
      </c>
      <c r="D16" s="508">
        <f>D9-D15</f>
        <v>622503</v>
      </c>
      <c r="E16" s="624">
        <f t="shared" si="0"/>
        <v>0.23502261869434521</v>
      </c>
      <c r="F16" s="508">
        <f>F9-F15</f>
        <v>1431930</v>
      </c>
      <c r="G16" s="624">
        <f t="shared" si="2"/>
        <v>0.29218720157494971</v>
      </c>
      <c r="I16" s="29"/>
      <c r="K16" s="655" t="s">
        <v>908</v>
      </c>
      <c r="L16" s="41"/>
      <c r="M16" s="41"/>
      <c r="N16" s="29"/>
      <c r="O16" s="41" t="s">
        <v>909</v>
      </c>
      <c r="P16" s="279"/>
      <c r="R16" s="253"/>
      <c r="S16" s="41" t="s">
        <v>910</v>
      </c>
      <c r="T16" s="279"/>
    </row>
    <row r="17" spans="1:20" ht="15" thickBot="1" x14ac:dyDescent="0.4">
      <c r="A17" s="509"/>
      <c r="B17" s="510"/>
      <c r="C17" s="510"/>
      <c r="D17" s="510"/>
      <c r="E17" s="510"/>
      <c r="F17" s="510"/>
      <c r="G17" s="479"/>
      <c r="I17" s="29"/>
      <c r="J17" t="s">
        <v>914</v>
      </c>
      <c r="K17" s="703">
        <f>B16/B8</f>
        <v>0.35942041727611573</v>
      </c>
      <c r="L17" s="711"/>
      <c r="N17" s="29"/>
      <c r="O17" t="s">
        <v>914</v>
      </c>
      <c r="P17" s="703">
        <f>B8/'S8 Bilan TRIM2 '!C35</f>
        <v>1.227862329465133</v>
      </c>
      <c r="R17" s="29"/>
      <c r="S17" t="s">
        <v>914</v>
      </c>
      <c r="T17" s="706">
        <f>'S8 Bilan TRIM2 '!C35/'S8 Bilan TRIM2 '!C56</f>
        <v>3.9414064548216299</v>
      </c>
    </row>
    <row r="18" spans="1:20" ht="15" thickBot="1" x14ac:dyDescent="0.4">
      <c r="A18" s="19"/>
      <c r="B18" s="511"/>
      <c r="C18" s="511"/>
      <c r="D18" s="511"/>
      <c r="E18" s="511"/>
      <c r="F18" s="511"/>
      <c r="G18" s="479"/>
      <c r="I18" s="255"/>
      <c r="J18" s="145" t="s">
        <v>816</v>
      </c>
      <c r="K18" s="704">
        <f>D16/D8</f>
        <v>0.23502261869434521</v>
      </c>
      <c r="L18" s="711"/>
      <c r="N18" s="255"/>
      <c r="O18" s="145" t="s">
        <v>816</v>
      </c>
      <c r="P18" s="704">
        <f>D8/'S8 Bilan TRIM2 '!F35</f>
        <v>1.3818311769616027</v>
      </c>
      <c r="R18" s="255"/>
      <c r="S18" s="145" t="s">
        <v>816</v>
      </c>
      <c r="T18" s="707">
        <f>'S8 Bilan TRIM2 '!F35/'S8 Bilan TRIM2 '!F56</f>
        <v>4.440247994151326</v>
      </c>
    </row>
    <row r="19" spans="1:20" ht="15" thickBot="1" x14ac:dyDescent="0.4">
      <c r="A19" s="19" t="s">
        <v>763</v>
      </c>
      <c r="B19" s="507"/>
      <c r="C19" s="507"/>
      <c r="D19" s="507"/>
      <c r="E19" s="507"/>
      <c r="F19" s="507"/>
      <c r="G19" s="479"/>
    </row>
    <row r="20" spans="1:20" x14ac:dyDescent="0.35">
      <c r="A20" t="s">
        <v>247</v>
      </c>
      <c r="B20" s="507">
        <v>131170.79999999999</v>
      </c>
      <c r="C20" s="479">
        <f>B20/$B$8</f>
        <v>5.8245479419937705E-2</v>
      </c>
      <c r="D20">
        <v>153183.29</v>
      </c>
      <c r="E20" s="479">
        <f>D20/$D$8</f>
        <v>5.7833517197532068E-2</v>
      </c>
      <c r="F20" s="507">
        <f>B20+D20</f>
        <v>284354.08999999997</v>
      </c>
      <c r="G20" s="479">
        <f t="shared" ref="G20:G42" si="3">F20/$F$8</f>
        <v>5.8022826404566824E-2</v>
      </c>
      <c r="N20" s="23" t="s">
        <v>911</v>
      </c>
      <c r="O20" s="321" t="s">
        <v>912</v>
      </c>
      <c r="P20" s="697" t="s">
        <v>913</v>
      </c>
    </row>
    <row r="21" spans="1:20" x14ac:dyDescent="0.35">
      <c r="A21" t="s">
        <v>248</v>
      </c>
      <c r="B21" s="507">
        <v>26649.97</v>
      </c>
      <c r="C21" s="479">
        <f t="shared" ref="C21:C42" si="4">B21/$B$8</f>
        <v>1.1833733416102955E-2</v>
      </c>
      <c r="D21">
        <v>31122.25</v>
      </c>
      <c r="E21" s="479">
        <f t="shared" ref="E21:E42" si="5">D21/$D$8</f>
        <v>1.175003605550509E-2</v>
      </c>
      <c r="F21" s="507">
        <f t="shared" ref="F21:F41" si="6">B21+D21</f>
        <v>57772.22</v>
      </c>
      <c r="G21" s="479">
        <f t="shared" si="3"/>
        <v>1.1788497545670766E-2</v>
      </c>
      <c r="N21" s="29" t="s">
        <v>914</v>
      </c>
      <c r="O21" s="712">
        <f>'S8 Bilan TRIM2 '!C13/'S8 Bilan TRIM2 '!B45</f>
        <v>0.98605878365172828</v>
      </c>
      <c r="P21" s="708">
        <f>'S8 Bilan TRIM2 '!C13-'S8 Bilan TRIM2 '!B45</f>
        <v>-18270.889999999898</v>
      </c>
    </row>
    <row r="22" spans="1:20" ht="15" thickBot="1" x14ac:dyDescent="0.4">
      <c r="A22" t="s">
        <v>249</v>
      </c>
      <c r="B22" s="507">
        <v>5246.83</v>
      </c>
      <c r="C22" s="479">
        <f t="shared" si="4"/>
        <v>2.3298182887114493E-3</v>
      </c>
      <c r="D22">
        <v>6127.33</v>
      </c>
      <c r="E22" s="479">
        <f t="shared" si="5"/>
        <v>2.313340083829993E-3</v>
      </c>
      <c r="F22" s="507">
        <f t="shared" si="6"/>
        <v>11374.16</v>
      </c>
      <c r="G22" s="479">
        <f t="shared" si="3"/>
        <v>2.3209123215979341E-3</v>
      </c>
      <c r="N22" s="255" t="s">
        <v>816</v>
      </c>
      <c r="O22" s="709">
        <f>'S8 Bilan TRIM2 '!F13/'S8 Bilan TRIM2 '!F45</f>
        <v>0.9837695182602636</v>
      </c>
      <c r="P22" s="710">
        <f>'S8 Bilan TRIM2 '!F13-'S8 Bilan TRIM2 '!F45</f>
        <v>-23177.459999999963</v>
      </c>
      <c r="S22" s="108"/>
    </row>
    <row r="23" spans="1:20" x14ac:dyDescent="0.35">
      <c r="A23" t="s">
        <v>298</v>
      </c>
      <c r="B23" s="507">
        <v>2250</v>
      </c>
      <c r="C23" s="479">
        <f t="shared" si="4"/>
        <v>9.9909681647790405E-4</v>
      </c>
      <c r="D23">
        <v>2250</v>
      </c>
      <c r="E23" s="479">
        <f t="shared" si="5"/>
        <v>8.4947525082172573E-4</v>
      </c>
      <c r="F23" s="507">
        <f t="shared" si="6"/>
        <v>4500</v>
      </c>
      <c r="G23" s="479">
        <f t="shared" si="3"/>
        <v>9.1823092405862966E-4</v>
      </c>
    </row>
    <row r="24" spans="1:20" x14ac:dyDescent="0.35">
      <c r="A24" t="s">
        <v>332</v>
      </c>
      <c r="B24" s="507">
        <v>276244</v>
      </c>
      <c r="C24" s="479">
        <f t="shared" si="4"/>
        <v>0.12266422265383205</v>
      </c>
      <c r="D24">
        <v>9000</v>
      </c>
      <c r="E24" s="479">
        <f t="shared" si="5"/>
        <v>3.3979010032869029E-3</v>
      </c>
      <c r="F24" s="507">
        <f t="shared" si="6"/>
        <v>285244</v>
      </c>
      <c r="G24" s="479">
        <f t="shared" si="3"/>
        <v>5.8204413711595501E-2</v>
      </c>
    </row>
    <row r="25" spans="1:20" x14ac:dyDescent="0.35">
      <c r="A25" t="s">
        <v>746</v>
      </c>
      <c r="B25" s="507">
        <v>77108</v>
      </c>
      <c r="C25" s="479">
        <f t="shared" si="4"/>
        <v>3.4239269922212545E-2</v>
      </c>
      <c r="D25">
        <v>98620</v>
      </c>
      <c r="E25" s="479">
        <f t="shared" si="5"/>
        <v>3.723344410490604E-2</v>
      </c>
      <c r="F25" s="507">
        <f t="shared" si="6"/>
        <v>175728</v>
      </c>
      <c r="G25" s="479">
        <f t="shared" si="3"/>
        <v>3.5857529738438858E-2</v>
      </c>
    </row>
    <row r="26" spans="1:20" x14ac:dyDescent="0.35">
      <c r="A26" t="s">
        <v>172</v>
      </c>
      <c r="B26" s="507">
        <v>94243</v>
      </c>
      <c r="C26" s="479">
        <f t="shared" si="4"/>
        <v>4.1847947233478712E-2</v>
      </c>
      <c r="D26">
        <v>94243</v>
      </c>
      <c r="E26" s="479">
        <f t="shared" si="5"/>
        <v>3.558093158364084E-2</v>
      </c>
      <c r="F26" s="507">
        <f t="shared" si="6"/>
        <v>188486</v>
      </c>
      <c r="G26" s="479">
        <f t="shared" si="3"/>
        <v>3.8460816433803308E-2</v>
      </c>
    </row>
    <row r="27" spans="1:20" x14ac:dyDescent="0.35">
      <c r="A27" t="s">
        <v>764</v>
      </c>
      <c r="B27" s="507">
        <v>18500</v>
      </c>
      <c r="C27" s="479">
        <f t="shared" si="4"/>
        <v>8.2147960465961001E-3</v>
      </c>
      <c r="D27">
        <v>18500</v>
      </c>
      <c r="E27" s="479">
        <f t="shared" si="5"/>
        <v>6.9845742845341891E-3</v>
      </c>
      <c r="F27" s="507">
        <f t="shared" si="6"/>
        <v>37000</v>
      </c>
      <c r="G27" s="479">
        <f t="shared" si="3"/>
        <v>7.5498987089265106E-3</v>
      </c>
    </row>
    <row r="28" spans="1:20" x14ac:dyDescent="0.35">
      <c r="A28" t="s">
        <v>765</v>
      </c>
      <c r="B28" s="507">
        <v>2479</v>
      </c>
      <c r="C28" s="479">
        <f t="shared" si="4"/>
        <v>1.1007826702438773E-3</v>
      </c>
      <c r="D28">
        <v>2626</v>
      </c>
      <c r="E28" s="479">
        <f t="shared" si="5"/>
        <v>9.9143200384793411E-4</v>
      </c>
      <c r="F28" s="507">
        <f t="shared" si="6"/>
        <v>5105</v>
      </c>
      <c r="G28" s="479">
        <f t="shared" si="3"/>
        <v>1.0416819705154009E-3</v>
      </c>
    </row>
    <row r="29" spans="1:20" x14ac:dyDescent="0.35">
      <c r="A29" t="s">
        <v>766</v>
      </c>
      <c r="B29" s="507">
        <v>7882</v>
      </c>
      <c r="C29" s="479">
        <f t="shared" si="4"/>
        <v>3.499947158879484E-3</v>
      </c>
      <c r="D29">
        <v>9270</v>
      </c>
      <c r="E29" s="479">
        <f t="shared" si="5"/>
        <v>3.49983803338551E-3</v>
      </c>
      <c r="F29" s="507">
        <f t="shared" si="6"/>
        <v>17152</v>
      </c>
      <c r="G29" s="479">
        <f t="shared" si="3"/>
        <v>3.4998881798785813E-3</v>
      </c>
    </row>
    <row r="30" spans="1:20" x14ac:dyDescent="0.35">
      <c r="A30" t="s">
        <v>767</v>
      </c>
      <c r="B30" s="507">
        <v>1437</v>
      </c>
      <c r="C30" s="479">
        <f t="shared" si="4"/>
        <v>6.3808983345722131E-4</v>
      </c>
      <c r="D30">
        <v>1739</v>
      </c>
      <c r="E30" s="479">
        <f t="shared" si="5"/>
        <v>6.5654998274621381E-4</v>
      </c>
      <c r="F30" s="507">
        <f t="shared" si="6"/>
        <v>3176</v>
      </c>
      <c r="G30" s="479">
        <f t="shared" si="3"/>
        <v>6.4806698106893506E-4</v>
      </c>
    </row>
    <row r="31" spans="1:20" x14ac:dyDescent="0.35">
      <c r="A31" t="s">
        <v>836</v>
      </c>
      <c r="B31" s="507"/>
      <c r="C31" s="479">
        <f t="shared" si="4"/>
        <v>0</v>
      </c>
      <c r="D31">
        <v>-6500</v>
      </c>
      <c r="E31" s="479">
        <f t="shared" si="5"/>
        <v>-2.4540396134849853E-3</v>
      </c>
      <c r="F31" s="507">
        <f t="shared" si="6"/>
        <v>-6500</v>
      </c>
      <c r="G31" s="479">
        <f t="shared" si="3"/>
        <v>-1.3263335569735763E-3</v>
      </c>
    </row>
    <row r="32" spans="1:20" x14ac:dyDescent="0.35">
      <c r="A32" t="s">
        <v>768</v>
      </c>
      <c r="B32" s="507">
        <v>10908</v>
      </c>
      <c r="C32" s="479">
        <f t="shared" si="4"/>
        <v>4.8436213662848785E-3</v>
      </c>
      <c r="D32">
        <v>10908</v>
      </c>
      <c r="E32" s="479">
        <f t="shared" si="5"/>
        <v>4.1182560159837263E-3</v>
      </c>
      <c r="F32" s="507">
        <f t="shared" si="6"/>
        <v>21816</v>
      </c>
      <c r="G32" s="479">
        <f t="shared" si="3"/>
        <v>4.4515835198362368E-3</v>
      </c>
    </row>
    <row r="33" spans="1:7" x14ac:dyDescent="0.35">
      <c r="A33" t="s">
        <v>769</v>
      </c>
      <c r="B33" s="507">
        <v>190163</v>
      </c>
      <c r="C33" s="479">
        <f t="shared" si="4"/>
        <v>8.4440554627505618E-2</v>
      </c>
      <c r="D33">
        <v>190621</v>
      </c>
      <c r="E33" s="479">
        <f t="shared" si="5"/>
        <v>7.1967920794172524E-2</v>
      </c>
      <c r="F33" s="507">
        <f t="shared" si="6"/>
        <v>380784</v>
      </c>
      <c r="G33" s="18">
        <f t="shared" si="3"/>
        <v>7.7699476485942498E-2</v>
      </c>
    </row>
    <row r="34" spans="1:7" x14ac:dyDescent="0.35">
      <c r="A34" t="s">
        <v>770</v>
      </c>
      <c r="B34" s="507">
        <v>5257</v>
      </c>
      <c r="C34" s="479">
        <f t="shared" si="4"/>
        <v>2.3343342063219296E-3</v>
      </c>
      <c r="D34">
        <v>5257</v>
      </c>
      <c r="E34" s="479">
        <f t="shared" si="5"/>
        <v>1.9847517304754721E-3</v>
      </c>
      <c r="F34" s="507">
        <f t="shared" si="6"/>
        <v>10514</v>
      </c>
      <c r="G34" s="479">
        <f t="shared" si="3"/>
        <v>2.1453955412338737E-3</v>
      </c>
    </row>
    <row r="35" spans="1:7" x14ac:dyDescent="0.35">
      <c r="A35" t="s">
        <v>771</v>
      </c>
      <c r="B35" s="507">
        <v>3000</v>
      </c>
      <c r="C35" s="479">
        <f t="shared" si="4"/>
        <v>1.3321290886372053E-3</v>
      </c>
      <c r="D35">
        <v>3000</v>
      </c>
      <c r="E35" s="479">
        <f t="shared" si="5"/>
        <v>1.132633667762301E-3</v>
      </c>
      <c r="F35" s="507">
        <f t="shared" si="6"/>
        <v>6000</v>
      </c>
      <c r="G35" s="479">
        <f t="shared" si="3"/>
        <v>1.2243078987448396E-3</v>
      </c>
    </row>
    <row r="36" spans="1:7" x14ac:dyDescent="0.35">
      <c r="A36" t="s">
        <v>772</v>
      </c>
      <c r="B36" s="507">
        <v>1575</v>
      </c>
      <c r="C36" s="479">
        <f t="shared" si="4"/>
        <v>6.9936777153453277E-4</v>
      </c>
      <c r="D36">
        <v>1575</v>
      </c>
      <c r="E36" s="479">
        <f t="shared" si="5"/>
        <v>5.9463267557520797E-4</v>
      </c>
      <c r="F36" s="507">
        <f t="shared" si="6"/>
        <v>3150</v>
      </c>
      <c r="G36" s="479">
        <f t="shared" si="3"/>
        <v>6.4276164684104074E-4</v>
      </c>
    </row>
    <row r="37" spans="1:7" x14ac:dyDescent="0.35">
      <c r="A37" t="s">
        <v>773</v>
      </c>
      <c r="B37" s="507">
        <v>1985</v>
      </c>
      <c r="C37" s="479">
        <f t="shared" si="4"/>
        <v>8.8142541364828416E-4</v>
      </c>
      <c r="D37">
        <v>1825</v>
      </c>
      <c r="E37" s="479">
        <f t="shared" si="5"/>
        <v>6.890188145553997E-4</v>
      </c>
      <c r="F37" s="507">
        <f t="shared" si="6"/>
        <v>3810</v>
      </c>
      <c r="G37" s="479">
        <f t="shared" si="3"/>
        <v>7.774355157029731E-4</v>
      </c>
    </row>
    <row r="38" spans="1:7" x14ac:dyDescent="0.35">
      <c r="A38" t="s">
        <v>774</v>
      </c>
      <c r="B38" s="507">
        <v>17450</v>
      </c>
      <c r="C38" s="479">
        <f t="shared" si="4"/>
        <v>7.7485508655730775E-3</v>
      </c>
      <c r="D38">
        <v>17450</v>
      </c>
      <c r="E38" s="479">
        <f t="shared" si="5"/>
        <v>6.588152500817384E-3</v>
      </c>
      <c r="F38" s="507">
        <f t="shared" si="6"/>
        <v>34900</v>
      </c>
      <c r="G38" s="479">
        <f t="shared" si="3"/>
        <v>7.1213909443658165E-3</v>
      </c>
    </row>
    <row r="39" spans="1:7" x14ac:dyDescent="0.35">
      <c r="A39" t="s">
        <v>775</v>
      </c>
      <c r="B39" s="507">
        <v>750</v>
      </c>
      <c r="C39" s="479">
        <f t="shared" si="4"/>
        <v>3.3303227215930131E-4</v>
      </c>
      <c r="D39">
        <v>750</v>
      </c>
      <c r="E39" s="479">
        <f t="shared" si="5"/>
        <v>2.8315841694057526E-4</v>
      </c>
      <c r="F39" s="507">
        <f t="shared" si="6"/>
        <v>1500</v>
      </c>
      <c r="G39" s="479">
        <f t="shared" si="3"/>
        <v>3.060769746862099E-4</v>
      </c>
    </row>
    <row r="40" spans="1:7" x14ac:dyDescent="0.35">
      <c r="A40" t="s">
        <v>776</v>
      </c>
      <c r="B40" s="507">
        <v>4784.4799999999996</v>
      </c>
      <c r="C40" s="479">
        <f t="shared" si="4"/>
        <v>2.1245149940009784E-3</v>
      </c>
      <c r="D40">
        <v>4592.45</v>
      </c>
      <c r="E40" s="479">
        <f t="shared" si="5"/>
        <v>1.7338544958383263E-3</v>
      </c>
      <c r="F40" s="507">
        <f t="shared" si="6"/>
        <v>9376.93</v>
      </c>
      <c r="G40" s="479">
        <f t="shared" si="3"/>
        <v>1.9133749108295748E-3</v>
      </c>
    </row>
    <row r="41" spans="1:7" ht="15" thickBot="1" x14ac:dyDescent="0.4">
      <c r="A41" s="19" t="s">
        <v>777</v>
      </c>
      <c r="B41" s="512">
        <f>SUM(B20:B40)</f>
        <v>879083.08</v>
      </c>
      <c r="C41" s="624">
        <f t="shared" si="4"/>
        <v>0.39035071406559579</v>
      </c>
      <c r="D41" s="512">
        <f>SUM(D20:D40)</f>
        <v>656159.31999999995</v>
      </c>
      <c r="E41" s="624">
        <f t="shared" si="5"/>
        <v>0.24772937908267242</v>
      </c>
      <c r="F41" s="512">
        <f t="shared" si="6"/>
        <v>1535242.4</v>
      </c>
      <c r="G41" s="624">
        <f t="shared" si="3"/>
        <v>0.3132682328013307</v>
      </c>
    </row>
    <row r="42" spans="1:7" ht="15" thickBot="1" x14ac:dyDescent="0.4">
      <c r="A42" s="626" t="s">
        <v>778</v>
      </c>
      <c r="B42" s="627">
        <f>B16-B41</f>
        <v>-69656.079999999958</v>
      </c>
      <c r="C42" s="628">
        <f t="shared" si="4"/>
        <v>-3.0930296789480068E-2</v>
      </c>
      <c r="D42" s="627">
        <f>D16-D41</f>
        <v>-33656.319999999949</v>
      </c>
      <c r="E42" s="628">
        <f t="shared" si="5"/>
        <v>-1.270676038832721E-2</v>
      </c>
      <c r="F42" s="627">
        <f>F16-F41</f>
        <v>-103312.39999999991</v>
      </c>
      <c r="G42" s="625">
        <f t="shared" si="3"/>
        <v>-2.1081031226381042E-2</v>
      </c>
    </row>
    <row r="47" spans="1:7" x14ac:dyDescent="0.35">
      <c r="G47" t="s">
        <v>779</v>
      </c>
    </row>
  </sheetData>
  <sheetProtection sheet="1" objects="1" scenarios="1" formatCells="1" formatColumns="0" formatRows="0" insertColumns="1" insertRows="1" insertHyperlinks="1" deleteColumns="1" deleteRows="1" selectLockedCells="0" selectUnlockedCells="0" sort="0" autoFilter="0" pivotTables="0"/>
  <mergeCells count="3">
    <mergeCell ref="B2:G2"/>
    <mergeCell ref="B3:G3"/>
    <mergeCell ref="B4:G4"/>
  </mergeCells>
  <phoneticPr fontId="1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8068-BA94-428D-AC15-303A3329C542}">
  <sheetPr>
    <tabColor rgb="FF00B050"/>
    <pageSetUpPr fitToPage="1"/>
  </sheetPr>
  <dimension ref="A1:O42"/>
  <sheetViews>
    <sheetView tabSelected="1" zoomScaleNormal="100" workbookViewId="0">
      <selection activeCell="H42" sqref="H42"/>
    </sheetView>
  </sheetViews>
  <sheetFormatPr baseColWidth="10" defaultRowHeight="14.5" x14ac:dyDescent="0.35"/>
  <cols>
    <col min="2" max="2" width="23.81640625" bestFit="1" customWidth="1"/>
    <col min="3" max="5" width="15.453125" bestFit="1" customWidth="1"/>
    <col min="6" max="6" width="14.7265625" customWidth="1"/>
    <col min="7" max="7" width="12.26953125" bestFit="1" customWidth="1"/>
    <col min="8" max="8" width="16.7265625" customWidth="1"/>
    <col min="9" max="9" width="13.7265625" customWidth="1"/>
    <col min="10" max="10" width="15.453125" bestFit="1" customWidth="1"/>
    <col min="11" max="11" width="12.26953125" bestFit="1" customWidth="1"/>
    <col min="12" max="12" width="15.1796875" customWidth="1"/>
    <col min="14" max="14" width="13.453125" bestFit="1" customWidth="1"/>
    <col min="15" max="15" width="15.453125" bestFit="1" customWidth="1"/>
    <col min="16" max="16" width="7.7265625" customWidth="1"/>
    <col min="20" max="20" width="15.453125" bestFit="1" customWidth="1"/>
  </cols>
  <sheetData>
    <row r="1" spans="1:12" x14ac:dyDescent="0.35">
      <c r="A1" t="s">
        <v>848</v>
      </c>
      <c r="F1" s="714" t="s">
        <v>849</v>
      </c>
      <c r="G1" s="714"/>
    </row>
    <row r="2" spans="1:12" x14ac:dyDescent="0.35">
      <c r="A2" s="19" t="s">
        <v>850</v>
      </c>
      <c r="C2" s="19" t="s">
        <v>851</v>
      </c>
      <c r="F2" s="715" t="s">
        <v>852</v>
      </c>
      <c r="G2" s="715"/>
    </row>
    <row r="3" spans="1:12" ht="15" thickBot="1" x14ac:dyDescent="0.4"/>
    <row r="4" spans="1:12" ht="43.5" x14ac:dyDescent="0.35">
      <c r="A4" s="654" t="s">
        <v>853</v>
      </c>
      <c r="B4" s="277"/>
      <c r="C4" s="277"/>
      <c r="D4" s="247" t="s">
        <v>854</v>
      </c>
      <c r="H4" s="7" t="s">
        <v>855</v>
      </c>
    </row>
    <row r="5" spans="1:12" ht="15" thickBot="1" x14ac:dyDescent="0.4">
      <c r="A5" s="29"/>
      <c r="B5" t="s">
        <v>856</v>
      </c>
      <c r="C5" s="284">
        <f>'S6 États des résultats TRIM 2'!B15+'S6 États des résultats TRIM 2'!D15</f>
        <v>3468798</v>
      </c>
      <c r="D5" s="655"/>
      <c r="G5" s="88" t="s">
        <v>628</v>
      </c>
      <c r="H5" s="656">
        <f>'S6 États des résultats TRIM 2'!F8</f>
        <v>4900728</v>
      </c>
      <c r="I5" s="507"/>
      <c r="J5" s="303"/>
    </row>
    <row r="6" spans="1:12" x14ac:dyDescent="0.35">
      <c r="A6" s="29"/>
      <c r="B6" t="s">
        <v>287</v>
      </c>
      <c r="C6" s="284">
        <f>'S5 -Outil - Charges'!I14+'S8-Outil - Charges '!I14</f>
        <v>53146.8</v>
      </c>
      <c r="D6" s="657">
        <f>'S8-Outil - Charges '!H14+'S5 -Outil - Charges'!H14</f>
        <v>6.8136923076923077</v>
      </c>
      <c r="G6" s="88" t="s">
        <v>857</v>
      </c>
      <c r="H6" s="658">
        <f>C19</f>
        <v>3960993.3994051237</v>
      </c>
      <c r="I6" s="659">
        <f>H6/H5</f>
        <v>0.80824591762797771</v>
      </c>
      <c r="J6" s="180"/>
    </row>
    <row r="7" spans="1:12" ht="15" thickBot="1" x14ac:dyDescent="0.4">
      <c r="A7" s="29"/>
      <c r="B7" t="s">
        <v>289</v>
      </c>
      <c r="C7" s="284">
        <f>'S5 -Outil - Charges'!I15+'S8-Outil - Charges '!I15</f>
        <v>31166.333333333336</v>
      </c>
      <c r="D7" s="657">
        <f>'S8-Outil - Charges '!H15+'S5 -Outil - Charges'!H15</f>
        <v>2.5235897435897439</v>
      </c>
      <c r="G7" s="88" t="s">
        <v>858</v>
      </c>
      <c r="H7" s="656">
        <f>H5-H6</f>
        <v>939734.60059487633</v>
      </c>
      <c r="I7" s="696">
        <f>H7/H5</f>
        <v>0.19175408237202235</v>
      </c>
      <c r="J7" s="660"/>
    </row>
    <row r="8" spans="1:12" x14ac:dyDescent="0.35">
      <c r="A8" s="661"/>
      <c r="B8" t="s">
        <v>290</v>
      </c>
      <c r="C8" s="284">
        <f>'S5 -Outil - Charges'!I16+'S8-Outil - Charges '!I16</f>
        <v>122518.186625</v>
      </c>
      <c r="D8" s="657">
        <f>'S8-Outil - Charges '!H16+'S5 -Outil - Charges'!H16</f>
        <v>6.8136923076923077</v>
      </c>
      <c r="G8" s="88" t="s">
        <v>859</v>
      </c>
      <c r="H8" s="658">
        <f>C23-C19</f>
        <v>1043047.0005948767</v>
      </c>
      <c r="I8" s="51" t="s">
        <v>860</v>
      </c>
    </row>
    <row r="9" spans="1:12" x14ac:dyDescent="0.35">
      <c r="A9" s="29"/>
      <c r="B9" t="s">
        <v>291</v>
      </c>
      <c r="C9" s="284">
        <f>'S5 -Outil - Charges'!I17+'S8-Outil - Charges '!I17</f>
        <v>19255.2997</v>
      </c>
      <c r="D9" s="657">
        <f>'S8-Outil - Charges '!H17+'S5 -Outil - Charges'!H17</f>
        <v>2.388995</v>
      </c>
      <c r="G9" s="88" t="s">
        <v>861</v>
      </c>
      <c r="H9" s="656">
        <f>H7-H8</f>
        <v>-103312.40000000037</v>
      </c>
      <c r="I9" t="s">
        <v>862</v>
      </c>
    </row>
    <row r="10" spans="1:12" ht="15" thickBot="1" x14ac:dyDescent="0.4">
      <c r="A10" s="29"/>
      <c r="B10" s="19" t="s">
        <v>68</v>
      </c>
      <c r="C10" s="662">
        <f>SUM(C6:C9)</f>
        <v>226086.61965833334</v>
      </c>
      <c r="D10" s="663">
        <f>SUM(D6:D9)</f>
        <v>18.539969358974361</v>
      </c>
    </row>
    <row r="11" spans="1:12" ht="15" thickBot="1" x14ac:dyDescent="0.4">
      <c r="A11" s="664">
        <f>'S8-Outil - Charges '!E21</f>
        <v>0.20316999999999999</v>
      </c>
      <c r="B11" t="s">
        <v>248</v>
      </c>
      <c r="C11" s="665">
        <f>A11*C10</f>
        <v>45934.018515983582</v>
      </c>
      <c r="D11" s="279"/>
      <c r="F11" s="110"/>
      <c r="G11" s="666" t="s">
        <v>863</v>
      </c>
      <c r="H11" s="667">
        <f>H8*2</f>
        <v>2086094.0011897534</v>
      </c>
      <c r="I11" s="269" t="s">
        <v>864</v>
      </c>
    </row>
    <row r="12" spans="1:12" x14ac:dyDescent="0.35">
      <c r="A12" s="668">
        <f>'S8-Outil - Charges '!E24</f>
        <v>0.04</v>
      </c>
      <c r="B12" t="s">
        <v>249</v>
      </c>
      <c r="C12" s="669">
        <f>A12*C10</f>
        <v>9043.4647863333339</v>
      </c>
      <c r="D12" s="279"/>
    </row>
    <row r="13" spans="1:12" ht="15" thickBot="1" x14ac:dyDescent="0.4">
      <c r="A13" s="668">
        <f>'S8-Outil - Charges '!E23</f>
        <v>0.04</v>
      </c>
      <c r="B13" t="s">
        <v>865</v>
      </c>
      <c r="C13" s="670">
        <f>A13*C10</f>
        <v>9043.4647863333339</v>
      </c>
      <c r="D13" s="279"/>
    </row>
    <row r="14" spans="1:12" x14ac:dyDescent="0.35">
      <c r="A14" s="671">
        <v>12</v>
      </c>
      <c r="B14" t="s">
        <v>866</v>
      </c>
      <c r="C14" s="672">
        <f>(A14*D10)*26</f>
        <v>5784.470440000001</v>
      </c>
      <c r="D14" s="279"/>
    </row>
    <row r="15" spans="1:12" x14ac:dyDescent="0.35">
      <c r="A15" s="29"/>
      <c r="B15" t="s">
        <v>867</v>
      </c>
      <c r="C15" s="295">
        <f>'S8-Outil - Charges '!J40+'S5 -Outil - Charges'!J40</f>
        <v>175727.5</v>
      </c>
      <c r="D15" s="279"/>
      <c r="L15" s="7" t="s">
        <v>868</v>
      </c>
    </row>
    <row r="16" spans="1:12" ht="43" x14ac:dyDescent="0.35">
      <c r="A16" s="29"/>
      <c r="B16" t="s">
        <v>869</v>
      </c>
      <c r="C16" s="295">
        <f>('S8-Outil - Charges '!D48+'S8-Outil - Charges '!D49)+('S5 -Outil - Charges'!D48+'S5 -Outil - Charges'!D49)</f>
        <v>3423.3150906400815</v>
      </c>
      <c r="D16" s="279"/>
      <c r="F16" s="88"/>
      <c r="G16" s="95"/>
      <c r="L16" s="152" t="s">
        <v>870</v>
      </c>
    </row>
    <row r="17" spans="1:15" x14ac:dyDescent="0.35">
      <c r="A17" s="29"/>
      <c r="B17" t="s">
        <v>358</v>
      </c>
      <c r="C17" s="672">
        <f>'S8-Outil - Charges '!G81+'S5 -Outil - Charges'!G77</f>
        <v>17152.546127500002</v>
      </c>
      <c r="D17" s="279"/>
      <c r="G17" s="7" t="s">
        <v>871</v>
      </c>
      <c r="H17" s="7" t="s">
        <v>872</v>
      </c>
      <c r="K17" s="7" t="s">
        <v>873</v>
      </c>
      <c r="L17" s="673">
        <f>SUM('S1 - projections'!C37:H37)/'S1 - projections'!O37</f>
        <v>0.3875626087574604</v>
      </c>
    </row>
    <row r="18" spans="1:15" ht="29" x14ac:dyDescent="0.35">
      <c r="A18" s="29"/>
      <c r="B18" t="s">
        <v>355</v>
      </c>
      <c r="C18" s="295">
        <f>'S8-Outil - Charges '!G74+'S5 -Outil - Charges'!G70</f>
        <v>265.73400000000004</v>
      </c>
      <c r="D18" s="279"/>
      <c r="H18" t="s">
        <v>874</v>
      </c>
      <c r="K18" s="474" t="s">
        <v>875</v>
      </c>
      <c r="L18" s="474" t="s">
        <v>876</v>
      </c>
    </row>
    <row r="19" spans="1:15" ht="29.5" thickBot="1" x14ac:dyDescent="0.4">
      <c r="A19" s="29"/>
      <c r="B19" s="19" t="s">
        <v>877</v>
      </c>
      <c r="C19" s="155">
        <f>C5+C10+SUM(C11:C17)</f>
        <v>3960993.3994051237</v>
      </c>
      <c r="D19" s="279"/>
      <c r="G19" s="474" t="s">
        <v>878</v>
      </c>
      <c r="H19" s="41" t="s">
        <v>915</v>
      </c>
      <c r="I19" s="41" t="s">
        <v>916</v>
      </c>
      <c r="J19" s="64" t="s">
        <v>879</v>
      </c>
      <c r="K19" s="674">
        <v>500000</v>
      </c>
      <c r="L19" s="672">
        <f>H5</f>
        <v>4900728</v>
      </c>
    </row>
    <row r="20" spans="1:15" ht="15" thickBot="1" x14ac:dyDescent="0.4">
      <c r="A20" s="255"/>
      <c r="B20" s="145"/>
      <c r="C20" s="145"/>
      <c r="D20" s="147"/>
      <c r="F20" s="88" t="str">
        <f>G5</f>
        <v>Ventes</v>
      </c>
      <c r="G20" s="656">
        <f>H11/I7</f>
        <v>10879006.983238665</v>
      </c>
      <c r="H20" s="675">
        <f>'S1 - projections'!O37</f>
        <v>12761706.581792891</v>
      </c>
      <c r="I20" s="676">
        <f>'S1 - projections'!AE37</f>
        <v>16071565.721325714</v>
      </c>
      <c r="J20" s="677">
        <f>'S1 - projections'!AU37</f>
        <v>15953671.695131632</v>
      </c>
      <c r="K20" s="656">
        <f>(H11+K19)/I7</f>
        <v>13486513.398825424</v>
      </c>
      <c r="L20" s="678">
        <f>L19/L17</f>
        <v>12644996.93536461</v>
      </c>
    </row>
    <row r="21" spans="1:15" x14ac:dyDescent="0.35">
      <c r="B21" s="19"/>
      <c r="C21" s="155"/>
      <c r="F21" s="88" t="str">
        <f t="shared" ref="F21:F24" si="0">G6</f>
        <v>$var</v>
      </c>
      <c r="G21" s="679">
        <f>G20*I6</f>
        <v>8792912.982048912</v>
      </c>
      <c r="H21" s="679">
        <f>H20*$I$6</f>
        <v>10314597.246700197</v>
      </c>
      <c r="I21" s="679">
        <f t="shared" ref="I21:J21" si="1">I20*$I$6</f>
        <v>12989777.384151254</v>
      </c>
      <c r="J21" s="679">
        <f t="shared" si="1"/>
        <v>12894490.018767159</v>
      </c>
      <c r="K21" s="679">
        <f t="shared" ref="K21" si="2">K20*$I$6</f>
        <v>10900419.39763567</v>
      </c>
      <c r="L21" s="679">
        <f t="shared" ref="L21" si="3">L20*$I$6</f>
        <v>10220267.151426734</v>
      </c>
    </row>
    <row r="22" spans="1:15" x14ac:dyDescent="0.35">
      <c r="B22" s="19" t="s">
        <v>880</v>
      </c>
      <c r="C22" s="155"/>
      <c r="F22" s="88" t="str">
        <f t="shared" si="0"/>
        <v>Marge sur coût variable</v>
      </c>
      <c r="G22" s="678">
        <f>G20-G21</f>
        <v>2086094.0011897534</v>
      </c>
      <c r="H22" s="678">
        <f>H20-H21</f>
        <v>2447109.3350926936</v>
      </c>
      <c r="I22" s="678">
        <f t="shared" ref="I22:J22" si="4">I20-I21</f>
        <v>3081788.3371744603</v>
      </c>
      <c r="J22" s="678">
        <f t="shared" si="4"/>
        <v>3059181.6763644721</v>
      </c>
      <c r="K22" s="678">
        <f t="shared" ref="K22" si="5">K20-K21</f>
        <v>2586094.0011897534</v>
      </c>
      <c r="L22" s="678">
        <f t="shared" ref="L22" si="6">L20-L21</f>
        <v>2424729.7839378752</v>
      </c>
    </row>
    <row r="23" spans="1:15" x14ac:dyDescent="0.35">
      <c r="B23" s="19"/>
      <c r="C23" s="680">
        <f>'S6 États des résultats TRIM 2'!F15+'S6 États des résultats TRIM 2'!F41</f>
        <v>5004040.4000000004</v>
      </c>
      <c r="F23" s="88" t="str">
        <f t="shared" si="0"/>
        <v>$fix</v>
      </c>
      <c r="G23" s="679">
        <f>H11</f>
        <v>2086094.0011897534</v>
      </c>
      <c r="H23" s="679">
        <f>$H$11</f>
        <v>2086094.0011897534</v>
      </c>
      <c r="I23" s="679">
        <f t="shared" ref="I23:L23" si="7">$H$11</f>
        <v>2086094.0011897534</v>
      </c>
      <c r="J23" s="679">
        <f t="shared" si="7"/>
        <v>2086094.0011897534</v>
      </c>
      <c r="K23" s="679">
        <f t="shared" si="7"/>
        <v>2086094.0011897534</v>
      </c>
      <c r="L23" s="679">
        <f t="shared" si="7"/>
        <v>2086094.0011897534</v>
      </c>
    </row>
    <row r="24" spans="1:15" x14ac:dyDescent="0.35">
      <c r="B24" s="19"/>
      <c r="C24" s="155"/>
      <c r="F24" s="88" t="str">
        <f t="shared" si="0"/>
        <v>Bénéfice net/Perte nette avant impôt</v>
      </c>
      <c r="G24" s="678">
        <f>G22-G23</f>
        <v>0</v>
      </c>
      <c r="H24" s="681">
        <f>H22-H23</f>
        <v>361015.33390294015</v>
      </c>
      <c r="I24" s="681">
        <f t="shared" ref="I24:J24" si="8">I22-I23</f>
        <v>995694.33598470688</v>
      </c>
      <c r="J24" s="681">
        <f t="shared" si="8"/>
        <v>973087.67517471872</v>
      </c>
      <c r="K24" s="681">
        <f t="shared" ref="K24" si="9">K22-K23</f>
        <v>500000</v>
      </c>
      <c r="L24" s="681">
        <f t="shared" ref="L24" si="10">L22-L23</f>
        <v>338635.78274812177</v>
      </c>
    </row>
    <row r="25" spans="1:15" ht="15" thickBot="1" x14ac:dyDescent="0.4">
      <c r="B25" s="19"/>
      <c r="C25" s="155"/>
      <c r="D25" s="40" t="s">
        <v>881</v>
      </c>
      <c r="F25" s="682" t="s">
        <v>882</v>
      </c>
      <c r="G25" s="95"/>
      <c r="H25" s="683">
        <f>H20-$G$20</f>
        <v>1882699.5985542256</v>
      </c>
      <c r="I25" s="683">
        <f t="shared" ref="I25:L25" si="11">I20-$G$20</f>
        <v>5192558.7380870488</v>
      </c>
      <c r="J25" s="683">
        <f t="shared" si="11"/>
        <v>5074664.7118929662</v>
      </c>
      <c r="K25" s="683">
        <f t="shared" si="11"/>
        <v>2607506.4155867584</v>
      </c>
      <c r="L25" s="683">
        <f t="shared" si="11"/>
        <v>1765989.9521259442</v>
      </c>
    </row>
    <row r="26" spans="1:15" ht="15" thickBot="1" x14ac:dyDescent="0.4">
      <c r="A26" s="684" t="s">
        <v>883</v>
      </c>
      <c r="B26" s="97"/>
    </row>
    <row r="27" spans="1:15" ht="45.75" customHeight="1" thickBot="1" x14ac:dyDescent="0.4">
      <c r="F27" s="716" t="str">
        <f>G19</f>
        <v>Seuil de rentabilité</v>
      </c>
      <c r="G27" s="717"/>
      <c r="H27" s="718" t="s">
        <v>884</v>
      </c>
      <c r="I27" s="719"/>
      <c r="J27" s="720"/>
      <c r="K27" s="720"/>
      <c r="L27" s="53"/>
      <c r="M27" s="53"/>
      <c r="N27" s="53"/>
      <c r="O27" s="53"/>
    </row>
    <row r="28" spans="1:15" ht="58.15" customHeight="1" x14ac:dyDescent="0.35">
      <c r="B28" s="23" t="s">
        <v>24</v>
      </c>
      <c r="C28" s="246" t="s">
        <v>885</v>
      </c>
      <c r="D28" s="321" t="s">
        <v>886</v>
      </c>
      <c r="E28" s="247" t="s">
        <v>887</v>
      </c>
      <c r="F28" s="253" t="s">
        <v>888</v>
      </c>
      <c r="G28" s="655" t="s">
        <v>889</v>
      </c>
      <c r="H28" s="253" t="s">
        <v>888</v>
      </c>
      <c r="I28" s="655" t="s">
        <v>889</v>
      </c>
      <c r="J28" s="41"/>
      <c r="K28" s="41"/>
      <c r="L28" s="41"/>
      <c r="M28" s="41"/>
      <c r="N28" s="41"/>
      <c r="O28" s="41"/>
    </row>
    <row r="29" spans="1:15" x14ac:dyDescent="0.35">
      <c r="B29" s="29" t="s">
        <v>890</v>
      </c>
      <c r="C29" s="284">
        <f>'S5 -Outil - Ventes'!H6+'S8 -Outil - Ventes '!H6</f>
        <v>141310</v>
      </c>
      <c r="D29" s="685">
        <f>C29/$C$42</f>
        <v>2.8834494676393926E-2</v>
      </c>
      <c r="E29" s="713">
        <f>'S7 - Rentabilité par prod. ETUD'!E2</f>
        <v>10.87</v>
      </c>
      <c r="F29" s="686">
        <f>D29*$G$20</f>
        <v>313690.66894264764</v>
      </c>
      <c r="G29" s="687">
        <f>F29/E29</f>
        <v>28858.387207235297</v>
      </c>
      <c r="H29" s="688">
        <f>D29*$H$20</f>
        <v>367977.36049440847</v>
      </c>
      <c r="I29" s="687">
        <f>H29/E29</f>
        <v>33852.563062963061</v>
      </c>
      <c r="J29" s="689"/>
      <c r="K29" s="690"/>
      <c r="L29" s="691"/>
      <c r="M29" s="6"/>
      <c r="N29" s="689"/>
      <c r="O29" s="6"/>
    </row>
    <row r="30" spans="1:15" x14ac:dyDescent="0.35">
      <c r="B30" s="29" t="s">
        <v>891</v>
      </c>
      <c r="C30" s="284">
        <f>'S5 -Outil - Ventes'!H7+'S8 -Outil - Ventes '!H7</f>
        <v>332622</v>
      </c>
      <c r="D30" s="685">
        <f t="shared" ref="D30:D42" si="12">C30/$C$42</f>
        <v>6.787196439212724E-2</v>
      </c>
      <c r="E30" s="713">
        <f>'S7 - Rentabilité par prod. ETUD'!E3</f>
        <v>21.74</v>
      </c>
      <c r="F30" s="686">
        <f t="shared" ref="F30:F41" si="13">D30*$G$20</f>
        <v>738379.57458807831</v>
      </c>
      <c r="G30" s="687">
        <f t="shared" ref="G30:G41" si="14">F30/E30</f>
        <v>33964.101866976926</v>
      </c>
      <c r="H30" s="688">
        <f t="shared" ref="H30:H41" si="15">D30*$H$20</f>
        <v>866162.09470222297</v>
      </c>
      <c r="I30" s="687">
        <f t="shared" ref="I30:I41" si="16">H30/E30</f>
        <v>39841.862681794984</v>
      </c>
      <c r="J30" s="689"/>
      <c r="K30" s="690"/>
      <c r="L30" s="691"/>
      <c r="M30" s="6"/>
      <c r="N30" s="689"/>
      <c r="O30" s="6"/>
    </row>
    <row r="31" spans="1:15" x14ac:dyDescent="0.35">
      <c r="B31" s="29" t="s">
        <v>892</v>
      </c>
      <c r="C31" s="284">
        <f>'S5 -Outil - Ventes'!H8+'S8 -Outil - Ventes '!H8</f>
        <v>121764.54000000001</v>
      </c>
      <c r="D31" s="685">
        <f t="shared" si="12"/>
        <v>2.4846217397236966E-2</v>
      </c>
      <c r="E31" s="713">
        <f>'S7 - Rentabilité par prod. ETUD'!E4</f>
        <v>35.020000000000003</v>
      </c>
      <c r="F31" s="686">
        <f t="shared" si="13"/>
        <v>270302.17257160699</v>
      </c>
      <c r="G31" s="687">
        <f t="shared" si="14"/>
        <v>7718.5086399659331</v>
      </c>
      <c r="H31" s="688">
        <f t="shared" si="15"/>
        <v>317080.13609097601</v>
      </c>
      <c r="I31" s="687">
        <f t="shared" si="16"/>
        <v>9054.2585976863502</v>
      </c>
      <c r="J31" s="689"/>
      <c r="K31" s="690"/>
      <c r="L31" s="691"/>
      <c r="M31" s="6"/>
      <c r="N31" s="689"/>
      <c r="O31" s="6"/>
    </row>
    <row r="32" spans="1:15" x14ac:dyDescent="0.35">
      <c r="B32" s="29" t="s">
        <v>893</v>
      </c>
      <c r="C32" s="284">
        <f>'S5 -Outil - Ventes'!H9+'S8 -Outil - Ventes '!H9</f>
        <v>304272</v>
      </c>
      <c r="D32" s="685">
        <f t="shared" si="12"/>
        <v>6.2087108939039931E-2</v>
      </c>
      <c r="E32" s="713">
        <f>'S7 - Rentabilité par prod. ETUD'!E5</f>
        <v>42.26</v>
      </c>
      <c r="F32" s="686">
        <f t="shared" si="13"/>
        <v>675446.09171691514</v>
      </c>
      <c r="G32" s="687">
        <f t="shared" si="14"/>
        <v>15983.106760930315</v>
      </c>
      <c r="H32" s="688">
        <f t="shared" si="15"/>
        <v>792337.46679183817</v>
      </c>
      <c r="I32" s="687">
        <f t="shared" si="16"/>
        <v>18749.111850256464</v>
      </c>
      <c r="J32" s="689"/>
      <c r="K32" s="690"/>
      <c r="L32" s="691"/>
      <c r="M32" s="6"/>
      <c r="N32" s="689"/>
      <c r="O32" s="6"/>
    </row>
    <row r="33" spans="2:15" x14ac:dyDescent="0.35">
      <c r="B33" s="29" t="s">
        <v>894</v>
      </c>
      <c r="C33" s="284">
        <f>'S5 -Outil - Ventes'!H10+'S8 -Outil - Ventes '!H10</f>
        <v>695188.33000000007</v>
      </c>
      <c r="D33" s="685">
        <f t="shared" si="12"/>
        <v>0.14185410940822438</v>
      </c>
      <c r="E33" s="713">
        <f>'S7 - Rentabilité par prod. ETUD'!E6</f>
        <v>59.17</v>
      </c>
      <c r="F33" s="686">
        <f t="shared" si="13"/>
        <v>1543231.8468531747</v>
      </c>
      <c r="G33" s="687">
        <f t="shared" si="14"/>
        <v>26081.322407523654</v>
      </c>
      <c r="H33" s="688">
        <f t="shared" si="15"/>
        <v>1810300.521689306</v>
      </c>
      <c r="I33" s="687">
        <f t="shared" si="16"/>
        <v>30594.904878981004</v>
      </c>
      <c r="J33" s="689"/>
      <c r="K33" s="690"/>
      <c r="L33" s="691"/>
      <c r="M33" s="6"/>
      <c r="N33" s="689"/>
      <c r="O33" s="6"/>
    </row>
    <row r="34" spans="2:15" x14ac:dyDescent="0.35">
      <c r="B34" s="29" t="s">
        <v>895</v>
      </c>
      <c r="C34" s="284">
        <f>'S5 -Outil - Ventes'!H11+'S8 -Outil - Ventes '!H11</f>
        <v>103744</v>
      </c>
      <c r="D34" s="685">
        <f t="shared" si="12"/>
        <v>2.116910208554109E-2</v>
      </c>
      <c r="E34" s="713">
        <f>'S7 - Rentabilité par prod. ETUD'!E7</f>
        <v>64</v>
      </c>
      <c r="F34" s="686">
        <f t="shared" si="13"/>
        <v>230298.80941749373</v>
      </c>
      <c r="G34" s="687">
        <f t="shared" si="14"/>
        <v>3598.4188971483395</v>
      </c>
      <c r="H34" s="688">
        <f t="shared" si="15"/>
        <v>270153.86941569537</v>
      </c>
      <c r="I34" s="687">
        <f t="shared" si="16"/>
        <v>4221.1542096202402</v>
      </c>
      <c r="J34" s="689"/>
      <c r="K34" s="690"/>
      <c r="L34" s="691"/>
      <c r="M34" s="6"/>
      <c r="N34" s="689"/>
      <c r="O34" s="6"/>
    </row>
    <row r="35" spans="2:15" x14ac:dyDescent="0.35">
      <c r="B35" s="29" t="s">
        <v>896</v>
      </c>
      <c r="C35" s="284">
        <f>'S5 -Outil - Ventes'!H12+'S8 -Outil - Ventes '!H12</f>
        <v>497093.94</v>
      </c>
      <c r="D35" s="685">
        <f t="shared" si="12"/>
        <v>0.10143268393318011</v>
      </c>
      <c r="E35" s="713">
        <f>'S7 - Rentabilité par prod. ETUD'!E8</f>
        <v>82.11</v>
      </c>
      <c r="F35" s="686">
        <f t="shared" si="13"/>
        <v>1103486.8768377069</v>
      </c>
      <c r="G35" s="687">
        <f t="shared" si="14"/>
        <v>13439.128934815575</v>
      </c>
      <c r="H35" s="688">
        <f t="shared" si="15"/>
        <v>1294454.1501589827</v>
      </c>
      <c r="I35" s="687">
        <f t="shared" si="16"/>
        <v>15764.878214090644</v>
      </c>
      <c r="J35" s="689"/>
      <c r="K35" s="690"/>
      <c r="L35" s="691"/>
      <c r="M35" s="6"/>
      <c r="N35" s="689"/>
      <c r="O35" s="6"/>
    </row>
    <row r="36" spans="2:15" x14ac:dyDescent="0.35">
      <c r="B36" s="29" t="s">
        <v>897</v>
      </c>
      <c r="C36" s="284">
        <f>'S5 -Outil - Ventes'!H13+'S8 -Outil - Ventes '!H13</f>
        <v>1594149.35</v>
      </c>
      <c r="D36" s="685">
        <f t="shared" si="12"/>
        <v>0.32528830900822192</v>
      </c>
      <c r="E36" s="713">
        <f>'S7 - Rentabilité par prod. ETUD'!E9</f>
        <v>85.73</v>
      </c>
      <c r="F36" s="686">
        <f t="shared" si="13"/>
        <v>3538813.785266343</v>
      </c>
      <c r="G36" s="687">
        <f t="shared" si="14"/>
        <v>41278.593086041561</v>
      </c>
      <c r="H36" s="688">
        <f t="shared" si="15"/>
        <v>4151233.9540505055</v>
      </c>
      <c r="I36" s="687">
        <f t="shared" si="16"/>
        <v>48422.185396599853</v>
      </c>
      <c r="J36" s="689"/>
      <c r="K36" s="690"/>
      <c r="L36" s="691"/>
      <c r="M36" s="6"/>
      <c r="N36" s="689"/>
      <c r="O36" s="6"/>
    </row>
    <row r="37" spans="2:15" x14ac:dyDescent="0.35">
      <c r="B37" s="29" t="s">
        <v>898</v>
      </c>
      <c r="C37" s="284">
        <f>'S5 -Outil - Ventes'!H14+'S8 -Outil - Ventes '!H14</f>
        <v>464715.68000000005</v>
      </c>
      <c r="D37" s="685">
        <f t="shared" si="12"/>
        <v>9.4825856634327257E-2</v>
      </c>
      <c r="E37" s="713">
        <f>'S7 - Rentabilité par prod. ETUD'!E10</f>
        <v>108.68</v>
      </c>
      <c r="F37" s="686">
        <f t="shared" si="13"/>
        <v>1031611.1565164347</v>
      </c>
      <c r="G37" s="687">
        <f t="shared" si="14"/>
        <v>9492.1895152413945</v>
      </c>
      <c r="H37" s="688">
        <f t="shared" si="15"/>
        <v>1210139.7587344432</v>
      </c>
      <c r="I37" s="687">
        <f t="shared" si="16"/>
        <v>11134.88920440231</v>
      </c>
      <c r="J37" s="689"/>
      <c r="K37" s="690"/>
      <c r="L37" s="691"/>
      <c r="M37" s="6"/>
      <c r="N37" s="689"/>
      <c r="O37" s="6"/>
    </row>
    <row r="38" spans="2:15" x14ac:dyDescent="0.35">
      <c r="B38" s="29" t="s">
        <v>899</v>
      </c>
      <c r="C38" s="284">
        <f>'S5 -Outil - Ventes'!H15+'S8 -Outil - Ventes '!H15</f>
        <v>299626.36</v>
      </c>
      <c r="D38" s="685">
        <f t="shared" si="12"/>
        <v>6.1139159877767246E-2</v>
      </c>
      <c r="E38" s="713">
        <f>'S7 - Rentabilité par prod. ETUD'!E11</f>
        <v>107.47</v>
      </c>
      <c r="F38" s="686">
        <f t="shared" si="13"/>
        <v>665133.34725957515</v>
      </c>
      <c r="G38" s="687">
        <f t="shared" si="14"/>
        <v>6189.0141179824614</v>
      </c>
      <c r="H38" s="688">
        <f t="shared" si="15"/>
        <v>780240.01901739009</v>
      </c>
      <c r="I38" s="687">
        <f t="shared" si="16"/>
        <v>7260.072755349308</v>
      </c>
      <c r="J38" s="689"/>
      <c r="K38" s="690"/>
      <c r="L38" s="691"/>
      <c r="M38" s="6"/>
      <c r="N38" s="689"/>
      <c r="O38" s="6"/>
    </row>
    <row r="39" spans="2:15" x14ac:dyDescent="0.35">
      <c r="B39" s="29" t="s">
        <v>900</v>
      </c>
      <c r="C39" s="284">
        <f>'S5 -Outil - Ventes'!H16+'S8 -Outil - Ventes '!H16</f>
        <v>38349.454999999994</v>
      </c>
      <c r="D39" s="685">
        <f t="shared" si="12"/>
        <v>7.8252576324400851E-3</v>
      </c>
      <c r="E39" s="713">
        <f>'S7 - Rentabilité par prod. ETUD'!E12</f>
        <v>36.229999999999997</v>
      </c>
      <c r="F39" s="686">
        <f t="shared" si="13"/>
        <v>85131.032428957347</v>
      </c>
      <c r="G39" s="687">
        <f t="shared" si="14"/>
        <v>2349.7386814506585</v>
      </c>
      <c r="H39" s="688">
        <f t="shared" si="15"/>
        <v>99863.64183213569</v>
      </c>
      <c r="I39" s="687">
        <f t="shared" si="16"/>
        <v>2756.3798463189537</v>
      </c>
      <c r="J39" s="689"/>
      <c r="K39" s="690"/>
      <c r="L39" s="691"/>
      <c r="M39" s="6"/>
      <c r="N39" s="689"/>
      <c r="O39" s="6"/>
    </row>
    <row r="40" spans="2:15" x14ac:dyDescent="0.35">
      <c r="B40" s="29" t="s">
        <v>901</v>
      </c>
      <c r="C40" s="284">
        <f>'S5 -Outil - Ventes'!H17+'S8 -Outil - Ventes '!H17</f>
        <v>188298</v>
      </c>
      <c r="D40" s="685">
        <f t="shared" si="12"/>
        <v>3.8422458980791337E-2</v>
      </c>
      <c r="E40" s="713">
        <f>'S7 - Rentabilité par prod. ETUD'!E13</f>
        <v>63.4</v>
      </c>
      <c r="F40" s="686">
        <f t="shared" si="13"/>
        <v>417998.19956523011</v>
      </c>
      <c r="G40" s="687">
        <f t="shared" si="14"/>
        <v>6593.0315388837562</v>
      </c>
      <c r="H40" s="688">
        <f t="shared" si="15"/>
        <v>490336.14766383218</v>
      </c>
      <c r="I40" s="687">
        <f t="shared" si="16"/>
        <v>7734.0086382307918</v>
      </c>
      <c r="J40" s="689"/>
      <c r="K40" s="690"/>
      <c r="L40" s="691"/>
      <c r="M40" s="6"/>
      <c r="N40" s="689"/>
      <c r="O40" s="6"/>
    </row>
    <row r="41" spans="2:15" x14ac:dyDescent="0.35">
      <c r="B41" s="29" t="s">
        <v>902</v>
      </c>
      <c r="C41" s="284">
        <f>'S5 -Outil - Ventes'!H18+'S8 -Outil - Ventes '!H18</f>
        <v>119593.81</v>
      </c>
      <c r="D41" s="685">
        <f t="shared" si="12"/>
        <v>2.440327703470856E-2</v>
      </c>
      <c r="E41" s="713">
        <f>'S7 - Rentabilité par prod. ETUD'!E14</f>
        <v>99.62</v>
      </c>
      <c r="F41" s="686">
        <f t="shared" si="13"/>
        <v>265483.42127450218</v>
      </c>
      <c r="G41" s="687">
        <f t="shared" si="14"/>
        <v>2664.9610647912282</v>
      </c>
      <c r="H41" s="688">
        <f t="shared" si="15"/>
        <v>311427.46115115553</v>
      </c>
      <c r="I41" s="687">
        <f t="shared" si="16"/>
        <v>3126.1539966990113</v>
      </c>
      <c r="J41" s="689"/>
      <c r="K41" s="690"/>
      <c r="L41" s="691"/>
      <c r="M41" s="6"/>
      <c r="N41" s="689"/>
      <c r="O41" s="6"/>
    </row>
    <row r="42" spans="2:15" ht="15" thickBot="1" x14ac:dyDescent="0.4">
      <c r="B42" s="255" t="s">
        <v>101</v>
      </c>
      <c r="C42" s="692">
        <f>SUM(C29:C41)</f>
        <v>4900727.4649999999</v>
      </c>
      <c r="D42" s="685">
        <f t="shared" si="12"/>
        <v>1</v>
      </c>
      <c r="E42" s="147"/>
      <c r="F42" s="693">
        <f>SUM(F29:F41)</f>
        <v>10879006.983238665</v>
      </c>
      <c r="G42" s="694"/>
      <c r="H42" s="695">
        <f>SUM(H29:H41)</f>
        <v>12761706.581792893</v>
      </c>
      <c r="I42" s="694"/>
      <c r="J42" s="689"/>
      <c r="K42" s="6"/>
      <c r="L42" s="689"/>
      <c r="N42" s="689"/>
      <c r="O42" s="6"/>
    </row>
  </sheetData>
  <sheetProtection sheet="1" objects="1" scenarios="1" formatCells="1" formatColumns="0" formatRows="0" insertColumns="1" insertRows="1" insertHyperlinks="1" deleteColumns="1" deleteRows="1" selectLockedCells="0" selectUnlockedCells="0" sort="0" autoFilter="0" pivotTables="0"/>
  <mergeCells count="5">
    <mergeCell ref="F1:G1"/>
    <mergeCell ref="F2:G2"/>
    <mergeCell ref="F27:G27"/>
    <mergeCell ref="H27:I27"/>
    <mergeCell ref="J27:K27"/>
  </mergeCells>
  <pageMargins left="0.70866141732283472" right="0.70866141732283472" top="0.74803149606299213" bottom="0.74803149606299213" header="0.31496062992125984" footer="0.31496062992125984"/>
  <pageSetup scale="68"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8</vt:i4>
      </vt:variant>
    </vt:vector>
  </HeadingPairs>
  <TitlesOfParts>
    <vt:vector size="37" baseType="lpstr">
      <vt:lpstr>Données</vt:lpstr>
      <vt:lpstr>S1 - projections</vt:lpstr>
      <vt:lpstr>S2  - Inventaire départ</vt:lpstr>
      <vt:lpstr>S3 - IMMO</vt:lpstr>
      <vt:lpstr>S4 - Montage financier</vt:lpstr>
      <vt:lpstr>IMPORTANT</vt:lpstr>
      <vt:lpstr>S5 -Outil - Ventes</vt:lpstr>
      <vt:lpstr>Desgagné 1</vt:lpstr>
      <vt:lpstr>Fournisseur 1</vt:lpstr>
      <vt:lpstr>S5 -Outil - Charges</vt:lpstr>
      <vt:lpstr>S5 -Emprunt</vt:lpstr>
      <vt:lpstr>S5 - salaire</vt:lpstr>
      <vt:lpstr>S5 - Transactions Acomba</vt:lpstr>
      <vt:lpstr>S6 États des résultats TRIM 1</vt:lpstr>
      <vt:lpstr>S7 - Rentabilité par prod. ETUD</vt:lpstr>
      <vt:lpstr>S6 Bilan TRIM 1</vt:lpstr>
      <vt:lpstr>S8 – Commande TRIM 2</vt:lpstr>
      <vt:lpstr>Ventes potentielle TRIM 2</vt:lpstr>
      <vt:lpstr>Bon de commande TRIM 2</vt:lpstr>
      <vt:lpstr>Desgagné TRIM 2</vt:lpstr>
      <vt:lpstr>S8 -Outil - Ventes </vt:lpstr>
      <vt:lpstr>S8-Outil - Charges </vt:lpstr>
      <vt:lpstr>S8 -Emprunt </vt:lpstr>
      <vt:lpstr>S8 - salaire </vt:lpstr>
      <vt:lpstr>S8 Bilan TRIM1</vt:lpstr>
      <vt:lpstr>S8- Transactions Acomba TRIM 2</vt:lpstr>
      <vt:lpstr>S8 Bilan TRIM2 </vt:lpstr>
      <vt:lpstr>S6 États des résultats TRIM 2</vt:lpstr>
      <vt:lpstr>Fx var et Fx fixe -Simul</vt:lpstr>
      <vt:lpstr>'Desgagné 1'!Impression_des_titres</vt:lpstr>
      <vt:lpstr>'Desgagné TRIM 2'!Impression_des_titres</vt:lpstr>
      <vt:lpstr>'Desgagné TRIM 2'!Nom_Société</vt:lpstr>
      <vt:lpstr>Nom_Société</vt:lpstr>
      <vt:lpstr>'Desgagné TRIM 2'!ZoneTitreColonne1..E13.1</vt:lpstr>
      <vt:lpstr>ZoneTitreColonne1..E13.1</vt:lpstr>
      <vt:lpstr>'Desgagné TRIM 2'!ZoneTitreLigne1..E5</vt:lpstr>
      <vt:lpstr>ZoneTitreLigne1..E5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Issa Ouedraogo</dc:creator>
  <cp:lastModifiedBy>Issa Ouedraogo</cp:lastModifiedBy>
  <dcterms:created xsi:type="dcterms:W3CDTF">2026-01-26T17:53:13Z</dcterms:created>
  <dcterms:modified xsi:type="dcterms:W3CDTF">2026-05-19T17:10:19Z</dcterms:modified>
</cp:coreProperties>
</file>